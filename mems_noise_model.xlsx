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Lumped" sheetId="3" state="visible" r:id="rId5"/>
    <sheet name="Spectrum" sheetId="4" state="visible" r:id="rId6"/>
    <sheet name="Notes" sheetId="5" state="visible" r:id="rId7"/>
  </sheets>
  <definedNames>
    <definedName function="false" hidden="false" name="L_A" vbProcedure="false">Lumped!$C$18</definedName>
    <definedName function="false" hidden="false" name="L_B" vbProcedure="false">Lumped!$C$29</definedName>
    <definedName function="false" hidden="false" name="L_C0" vbProcedure="false">Lumped!$C$19</definedName>
    <definedName function="false" hidden="false" name="L_Cbv" vbProcedure="false">Lumped!$C$37</definedName>
    <definedName function="false" hidden="false" name="L_Cd" vbProcedure="false">Lumped!$C$24</definedName>
    <definedName function="false" hidden="false" name="L_Cf" vbProcedure="false">Lumped!$C$36</definedName>
    <definedName function="false" hidden="false" name="L_Ctot" vbProcedure="false">Lumped!$C$38</definedName>
    <definedName function="false" hidden="false" name="L_eps0" vbProcedure="false">Lumped!$C$6</definedName>
    <definedName function="false" hidden="false" name="L_G" vbProcedure="false">Lumped!$C$39</definedName>
    <definedName function="false" hidden="false" name="L_gam" vbProcedure="false">Lumped!$C$9</definedName>
    <definedName function="false" hidden="false" name="L_gP0" vbProcedure="false">Lumped!$C$16</definedName>
    <definedName function="false" hidden="false" name="L_kB" vbProcedure="false">Lumped!$C$5</definedName>
    <definedName function="false" hidden="false" name="L_ke" vbProcedure="false">Lumped!$C$21</definedName>
    <definedName function="false" hidden="false" name="L_keff" vbProcedure="false">Lumped!$C$23</definedName>
    <definedName function="false" hidden="false" name="L_km" vbProcedure="false">Lumped!$C$20</definedName>
    <definedName function="false" hidden="false" name="L_Kn" vbProcedure="false">Lumped!$C$26</definedName>
    <definedName function="false" hidden="false" name="L_Kt" vbProcedure="false">Lumped!$C$41</definedName>
    <definedName function="false" hidden="false" name="L_kT4" vbProcedure="false">Lumped!$C$13</definedName>
    <definedName function="false" hidden="false" name="L_lam" vbProcedure="false">Lumped!$C$17</definedName>
    <definedName function="false" hidden="false" name="L_Md" vbProcedure="false">Lumped!$C$25</definedName>
    <definedName function="false" hidden="false" name="L_Mh" vbProcedure="false">Lumped!$C$32</definedName>
    <definedName function="false" hidden="false" name="L_Mp" vbProcedure="false">Lumped!$C$33</definedName>
    <definedName function="false" hidden="false" name="L_mu" vbProcedure="false">Lumped!$C$15</definedName>
    <definedName function="false" hidden="false" name="L_muEff" vbProcedure="false">Lumped!$C$27</definedName>
    <definedName function="false" hidden="false" name="L_N" vbProcedure="false">Lumped!$C$28</definedName>
    <definedName function="false" hidden="false" name="L_P0" vbProcedure="false">Lumped!$C$7</definedName>
    <definedName function="false" hidden="false" name="L_PREF" vbProcedure="false">Lumped!$C$11</definedName>
    <definedName function="false" hidden="false" name="L_Rair" vbProcedure="false">Lumped!$C$8</definedName>
    <definedName function="false" hidden="false" name="L_Rh" vbProcedure="false">Lumped!$C$31</definedName>
    <definedName function="false" hidden="false" name="L_rho" vbProcedure="false">Lumped!$C$14</definedName>
    <definedName function="false" hidden="false" name="L_rhoSi" vbProcedure="false">Lumped!$C$10</definedName>
    <definedName function="false" hidden="false" name="L_Rp0" vbProcedure="false">Lumped!$C$34</definedName>
    <definedName function="false" hidden="false" name="L_Rp1" vbProcedure="false">Lumped!$C$35</definedName>
    <definedName function="false" hidden="false" name="L_Rsq" vbProcedure="false">Lumped!$C$30</definedName>
    <definedName function="false" hidden="false" name="L_Tk" vbProcedure="false">Lumped!$C$12</definedName>
    <definedName function="false" hidden="false" name="L_VPI" vbProcedure="false">Lumped!$C$22</definedName>
    <definedName function="false" hidden="false" name="L_Yv" vbProcedure="false">Lumped!$C$40</definedName>
    <definedName function="false" hidden="false" name="preset" vbProcedure="false">Inputs!$C$4</definedName>
    <definedName function="false" hidden="false" name="p_a" vbProcedure="false">Inputs!$J$11</definedName>
    <definedName function="false" hidden="false" name="p_Ci" vbProcedure="false">Inputs!$J$22</definedName>
    <definedName function="false" hidden="false" name="p_Cp" vbProcedure="false">Inputs!$J$21</definedName>
    <definedName function="false" hidden="false" name="p_en" vbProcedure="false">Inputs!$J$24</definedName>
    <definedName function="false" hidden="false" name="p_eo" vbProcedure="false">Inputs!$J$28</definedName>
    <definedName function="false" hidden="false" name="p_fc" vbProcedure="false">Inputs!$J$25</definedName>
    <definedName function="false" hidden="false" name="p_G" vbProcedure="false">Inputs!$J$27</definedName>
    <definedName function="false" hidden="false" name="p_g0" vbProcedure="false">Inputs!$J$14</definedName>
    <definedName function="false" hidden="false" name="p_h" vbProcedure="false">Inputs!$J$12</definedName>
    <definedName function="false" hidden="false" name="p_in" vbProcedure="false">Inputs!$J$26</definedName>
    <definedName function="false" hidden="false" name="p_Lp" vbProcedure="false">Inputs!$J$9</definedName>
    <definedName function="false" hidden="false" name="p_phi" vbProcedure="false">Inputs!$J$16</definedName>
    <definedName function="false" hidden="false" name="p_Rb" vbProcedure="false">Inputs!$J$23</definedName>
    <definedName function="false" hidden="false" name="p_rh" vbProcedure="false">Inputs!$J$15</definedName>
    <definedName function="false" hidden="false" name="p_rp" vbProcedure="false">Inputs!$J$8</definedName>
    <definedName function="false" hidden="false" name="p_Rv" vbProcedure="false">Inputs!$J$19</definedName>
    <definedName function="false" hidden="false" name="p_sm" vbProcedure="false">Inputs!$J$13</definedName>
    <definedName function="false" hidden="false" name="p_T" vbProcedure="false">Inputs!$J$7</definedName>
    <definedName function="false" hidden="false" name="p_tbp" vbProcedure="false">Inputs!$J$17</definedName>
    <definedName function="false" hidden="false" name="p_Vb" vbProcedure="false">Inputs!$J$18</definedName>
    <definedName function="false" hidden="false" name="p_Vbias" vbProcedure="false">Inputs!$J$20</definedName>
    <definedName function="false" hidden="false" name="p_Vf" vbProcedure="false">Inputs!$J$10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SNR = 94 dB SPL − A</t>
        </r>
        <r>
          <rPr>
            <sz val="10"/>
            <rFont val="WenQuanYi Zen Hei"/>
            <family val="2"/>
          </rPr>
          <t xml:space="preserve">特性積分ノイズ</t>
        </r>
        <r>
          <rPr>
            <sz val="10"/>
            <rFont val="Arial"/>
            <family val="2"/>
          </rPr>
          <t xml:space="preserve">(20 Hz–20 kHz)</t>
        </r>
      </text>
    </comment>
  </commentList>
</comments>
</file>

<file path=xl/sharedStrings.xml><?xml version="1.0" encoding="utf-8"?>
<sst xmlns="http://schemas.openxmlformats.org/spreadsheetml/2006/main" count="359" uniqueCount="299">
  <si>
    <r>
      <rPr>
        <b val="true"/>
        <sz val="14"/>
        <rFont val="Arial"/>
        <family val="0"/>
        <charset val="1"/>
      </rPr>
      <t xml:space="preserve">MEMS</t>
    </r>
    <r>
      <rPr>
        <b val="true"/>
        <sz val="14"/>
        <rFont val="WenQuanYi Zen Hei"/>
        <family val="2"/>
      </rPr>
      <t xml:space="preserve">マイク ノイズフロア</t>
    </r>
  </si>
  <si>
    <r>
      <rPr>
        <i val="true"/>
        <sz val="9"/>
        <color rgb="FF666666"/>
        <rFont val="WenQuanYi Zen Hei"/>
        <family val="2"/>
      </rPr>
      <t xml:space="preserve">容量型</t>
    </r>
    <r>
      <rPr>
        <i val="true"/>
        <sz val="9"/>
        <color rgb="FF666666"/>
        <rFont val="Arial"/>
        <family val="0"/>
        <charset val="1"/>
      </rPr>
      <t xml:space="preserve">MEMS</t>
    </r>
    <r>
      <rPr>
        <i val="true"/>
        <sz val="9"/>
        <color rgb="FF666666"/>
        <rFont val="WenQuanYi Zen Hei"/>
        <family val="2"/>
      </rPr>
      <t xml:space="preserve">マイクの集中定数等価回路から、雑音源ごとの入力換算ノイズと</t>
    </r>
    <r>
      <rPr>
        <i val="true"/>
        <sz val="9"/>
        <color rgb="FF666666"/>
        <rFont val="Arial"/>
        <family val="0"/>
        <charset val="1"/>
      </rPr>
      <t xml:space="preserve">A</t>
    </r>
    <r>
      <rPr>
        <i val="true"/>
        <sz val="9"/>
        <color rgb="FF666666"/>
        <rFont val="WenQuanYi Zen Hei"/>
        <family val="2"/>
      </rPr>
      <t xml:space="preserve">特性</t>
    </r>
    <r>
      <rPr>
        <i val="true"/>
        <sz val="9"/>
        <color rgb="FF666666"/>
        <rFont val="Arial"/>
        <family val="0"/>
        <charset val="1"/>
      </rPr>
      <t xml:space="preserve">SNR</t>
    </r>
    <r>
      <rPr>
        <i val="true"/>
        <sz val="9"/>
        <color rgb="FF666666"/>
        <rFont val="WenQuanYi Zen Hei"/>
        <family val="2"/>
      </rPr>
      <t xml:space="preserve">を計算します。入力は </t>
    </r>
    <r>
      <rPr>
        <i val="true"/>
        <sz val="9"/>
        <color rgb="FF666666"/>
        <rFont val="Arial"/>
        <family val="0"/>
        <charset val="1"/>
      </rPr>
      <t xml:space="preserve">Inputs </t>
    </r>
    <r>
      <rPr>
        <i val="true"/>
        <sz val="9"/>
        <color rgb="FF666666"/>
        <rFont val="WenQuanYi Zen Hei"/>
        <family val="2"/>
      </rPr>
      <t xml:space="preserve">シートで変更。</t>
    </r>
  </si>
  <si>
    <t xml:space="preserve">指標</t>
  </si>
  <si>
    <t xml:space="preserve">値</t>
  </si>
  <si>
    <t xml:space="preserve">単位</t>
  </si>
  <si>
    <r>
      <rPr>
        <sz val="10"/>
        <rFont val="Arial"/>
        <family val="0"/>
        <charset val="1"/>
      </rPr>
      <t xml:space="preserve">SNR (94 dB SPL, A</t>
    </r>
    <r>
      <rPr>
        <sz val="10"/>
        <rFont val="WenQuanYi Zen Hei"/>
        <family val="2"/>
      </rPr>
      <t xml:space="preserve">特性</t>
    </r>
    <r>
      <rPr>
        <sz val="10"/>
        <rFont val="Arial"/>
        <family val="0"/>
        <charset val="1"/>
      </rPr>
      <t xml:space="preserve">)</t>
    </r>
  </si>
  <si>
    <t xml:space="preserve">dB</t>
  </si>
  <si>
    <r>
      <rPr>
        <sz val="10"/>
        <rFont val="WenQuanYi Zen Hei"/>
        <family val="2"/>
      </rPr>
      <t xml:space="preserve">等価入力雑音 </t>
    </r>
    <r>
      <rPr>
        <sz val="10"/>
        <rFont val="Arial"/>
        <family val="0"/>
        <charset val="1"/>
      </rPr>
      <t xml:space="preserve">N_A</t>
    </r>
  </si>
  <si>
    <t xml:space="preserve">dB(A) SPL</t>
  </si>
  <si>
    <r>
      <rPr>
        <sz val="10"/>
        <rFont val="WenQuanYi Zen Hei"/>
        <family val="2"/>
      </rPr>
      <t xml:space="preserve">非加重ノイズ </t>
    </r>
    <r>
      <rPr>
        <sz val="10"/>
        <rFont val="Arial"/>
        <family val="0"/>
        <charset val="1"/>
      </rPr>
      <t xml:space="preserve">20 Hz–20 kHz</t>
    </r>
  </si>
  <si>
    <t xml:space="preserve">dB SPL</t>
  </si>
  <si>
    <r>
      <rPr>
        <sz val="10"/>
        <rFont val="WenQuanYi Zen Hei"/>
        <family val="2"/>
      </rPr>
      <t xml:space="preserve">感度 </t>
    </r>
    <r>
      <rPr>
        <sz val="10"/>
        <rFont val="Arial"/>
        <family val="0"/>
        <charset val="1"/>
      </rPr>
      <t xml:space="preserve">@1 kHz</t>
    </r>
  </si>
  <si>
    <t xml:space="preserve">dBV/Pa</t>
  </si>
  <si>
    <r>
      <rPr>
        <sz val="10"/>
        <rFont val="WenQuanYi Zen Hei"/>
        <family val="2"/>
      </rPr>
      <t xml:space="preserve">ゲート点感度 </t>
    </r>
    <r>
      <rPr>
        <sz val="10"/>
        <rFont val="Arial"/>
        <family val="0"/>
        <charset val="1"/>
      </rPr>
      <t xml:space="preserve">@1 kHz</t>
    </r>
  </si>
  <si>
    <t xml:space="preserve">共振周波数</t>
  </si>
  <si>
    <t xml:space="preserve">Hz</t>
  </si>
  <si>
    <t xml:space="preserve">共振ピーク</t>
  </si>
  <si>
    <t xml:space="preserve">dB re 1kHz</t>
  </si>
  <si>
    <r>
      <rPr>
        <sz val="10"/>
        <rFont val="WenQuanYi Zen Hei"/>
        <family val="2"/>
      </rPr>
      <t xml:space="preserve">低域 −</t>
    </r>
    <r>
      <rPr>
        <sz val="10"/>
        <rFont val="Arial"/>
        <family val="0"/>
        <charset val="1"/>
      </rPr>
      <t xml:space="preserve">3 dB</t>
    </r>
  </si>
  <si>
    <r>
      <rPr>
        <sz val="10"/>
        <rFont val="WenQuanYi Zen Hei"/>
        <family val="2"/>
      </rPr>
      <t xml:space="preserve">バイアス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プルイン電圧</t>
    </r>
  </si>
  <si>
    <t xml:space="preserve">プルイン判定</t>
  </si>
  <si>
    <t xml:space="preserve">雑音源別の寄与</t>
  </si>
  <si>
    <t xml:space="preserve">雑音源</t>
  </si>
  <si>
    <t xml:space="preserve">領域</t>
  </si>
  <si>
    <t xml:space="preserve">@1 kHz dB SPL/√Hz</t>
  </si>
  <si>
    <t xml:space="preserve">20–20k dB SPL</t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</si>
  <si>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特性 </t>
    </r>
    <r>
      <rPr>
        <b val="true"/>
        <sz val="10"/>
        <rFont val="Arial"/>
        <family val="0"/>
        <charset val="1"/>
      </rPr>
      <t xml:space="preserve">dB(A)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</si>
  <si>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特性 寄与</t>
    </r>
  </si>
  <si>
    <r>
      <rPr>
        <b val="true"/>
        <sz val="10"/>
        <color rgb="FF2A78D6"/>
        <rFont val="WenQuanYi Zen Hei"/>
        <family val="2"/>
      </rPr>
      <t xml:space="preserve">音孔 </t>
    </r>
    <r>
      <rPr>
        <b val="true"/>
        <sz val="10"/>
        <color rgb="FF2A78D6"/>
        <rFont val="Arial"/>
        <family val="0"/>
        <charset val="1"/>
      </rPr>
      <t xml:space="preserve">R_p</t>
    </r>
  </si>
  <si>
    <t xml:space="preserve">音響</t>
  </si>
  <si>
    <r>
      <rPr>
        <b val="true"/>
        <sz val="10"/>
        <color rgb="FFEB6834"/>
        <rFont val="WenQuanYi Zen Hei"/>
        <family val="2"/>
      </rPr>
      <t xml:space="preserve">スクイーズ膜 </t>
    </r>
    <r>
      <rPr>
        <b val="true"/>
        <sz val="10"/>
        <color rgb="FFEB6834"/>
        <rFont val="Arial"/>
        <family val="0"/>
        <charset val="1"/>
      </rPr>
      <t xml:space="preserve">R_sq</t>
    </r>
  </si>
  <si>
    <r>
      <rPr>
        <b val="true"/>
        <sz val="10"/>
        <color rgb="FF1BAF7A"/>
        <rFont val="WenQuanYi Zen Hei"/>
        <family val="2"/>
      </rPr>
      <t xml:space="preserve">バックプレート孔 </t>
    </r>
    <r>
      <rPr>
        <b val="true"/>
        <sz val="10"/>
        <color rgb="FF1BAF7A"/>
        <rFont val="Arial"/>
        <family val="0"/>
        <charset val="1"/>
      </rPr>
      <t xml:space="preserve">R_h</t>
    </r>
  </si>
  <si>
    <r>
      <rPr>
        <b val="true"/>
        <sz val="10"/>
        <color rgb="FFEDA100"/>
        <rFont val="WenQuanYi Zen Hei"/>
        <family val="2"/>
      </rPr>
      <t xml:space="preserve">ベント </t>
    </r>
    <r>
      <rPr>
        <b val="true"/>
        <sz val="10"/>
        <color rgb="FFEDA100"/>
        <rFont val="Arial"/>
        <family val="0"/>
        <charset val="1"/>
      </rPr>
      <t xml:space="preserve">R_v</t>
    </r>
  </si>
  <si>
    <r>
      <rPr>
        <b val="true"/>
        <sz val="10"/>
        <color rgb="FFE87BA4"/>
        <rFont val="WenQuanYi Zen Hei"/>
        <family val="2"/>
      </rPr>
      <t xml:space="preserve">バイアス抵抗 </t>
    </r>
    <r>
      <rPr>
        <b val="true"/>
        <sz val="10"/>
        <color rgb="FFE87BA4"/>
        <rFont val="Arial"/>
        <family val="0"/>
        <charset val="1"/>
      </rPr>
      <t xml:space="preserve">R_b</t>
    </r>
  </si>
  <si>
    <t xml:space="preserve">電気</t>
  </si>
  <si>
    <r>
      <rPr>
        <b val="true"/>
        <sz val="10"/>
        <color rgb="FF008300"/>
        <rFont val="WenQuanYi Zen Hei"/>
        <family val="2"/>
      </rPr>
      <t xml:space="preserve">アンプ電圧 </t>
    </r>
    <r>
      <rPr>
        <b val="true"/>
        <sz val="10"/>
        <color rgb="FF008300"/>
        <rFont val="Arial"/>
        <family val="0"/>
        <charset val="1"/>
      </rPr>
      <t xml:space="preserve">e_n</t>
    </r>
  </si>
  <si>
    <r>
      <rPr>
        <b val="true"/>
        <sz val="10"/>
        <color rgb="FF6250D6"/>
        <rFont val="WenQuanYi Zen Hei"/>
        <family val="2"/>
      </rPr>
      <t xml:space="preserve">アンプ電流 </t>
    </r>
    <r>
      <rPr>
        <b val="true"/>
        <sz val="10"/>
        <color rgb="FF6250D6"/>
        <rFont val="Arial"/>
        <family val="0"/>
        <charset val="1"/>
      </rPr>
      <t xml:space="preserve">i_n</t>
    </r>
  </si>
  <si>
    <r>
      <rPr>
        <b val="true"/>
        <sz val="10"/>
        <color rgb="FFE34948"/>
        <rFont val="WenQuanYi Zen Hei"/>
        <family val="2"/>
      </rPr>
      <t xml:space="preserve">出力雑音 </t>
    </r>
    <r>
      <rPr>
        <b val="true"/>
        <sz val="10"/>
        <color rgb="FFE34948"/>
        <rFont val="Arial"/>
        <family val="0"/>
        <charset val="1"/>
      </rPr>
      <t xml:space="preserve">e_o</t>
    </r>
  </si>
  <si>
    <t xml:space="preserve">合計</t>
  </si>
  <si>
    <t xml:space="preserve">音響雑音の割合</t>
  </si>
  <si>
    <t xml:space="preserve">電気雑音の割合</t>
  </si>
  <si>
    <t xml:space="preserve">入力パラメータ</t>
  </si>
  <si>
    <t xml:space="preserve">プリセットを選び、変えたい値だけ「上書き」列（黄色）に入力してください。空欄ならプリセット値を使います。青字＝ハードコードされた入力値。</t>
  </si>
  <si>
    <t xml:space="preserve">使用プリセット</t>
  </si>
  <si>
    <t xml:space="preserve">標準</t>
  </si>
  <si>
    <r>
      <rPr>
        <i val="true"/>
        <sz val="9"/>
        <color rgb="FF666666"/>
        <rFont val="WenQuanYi Zen Hei"/>
        <family val="2"/>
      </rPr>
      <t xml:space="preserve">← 標準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WenQuanYi Zen Hei"/>
        <family val="2"/>
      </rPr>
      <t xml:space="preserve">高</t>
    </r>
    <r>
      <rPr>
        <i val="true"/>
        <sz val="9"/>
        <color rgb="FF666666"/>
        <rFont val="Arial"/>
        <family val="0"/>
        <charset val="1"/>
      </rPr>
      <t xml:space="preserve">SNR / </t>
    </r>
    <r>
      <rPr>
        <i val="true"/>
        <sz val="9"/>
        <color rgb="FF666666"/>
        <rFont val="WenQuanYi Zen Hei"/>
        <family val="2"/>
      </rPr>
      <t xml:space="preserve">小型 から選択</t>
    </r>
  </si>
  <si>
    <t xml:space="preserve">グループ</t>
  </si>
  <si>
    <t xml:space="preserve">パラメータ</t>
  </si>
  <si>
    <r>
      <rPr>
        <b val="true"/>
        <sz val="10"/>
        <rFont val="WenQuanYi Zen Hei"/>
        <family val="2"/>
      </rPr>
      <t xml:space="preserve">高</t>
    </r>
    <r>
      <rPr>
        <b val="true"/>
        <sz val="10"/>
        <rFont val="Arial"/>
        <family val="0"/>
        <charset val="1"/>
      </rPr>
      <t xml:space="preserve">SNR</t>
    </r>
  </si>
  <si>
    <t xml:space="preserve">小型</t>
  </si>
  <si>
    <t xml:space="preserve">上書き（任意）</t>
  </si>
  <si>
    <t xml:space="preserve">使用値</t>
  </si>
  <si>
    <r>
      <rPr>
        <b val="true"/>
        <sz val="10"/>
        <rFont val="Arial"/>
        <family val="0"/>
        <charset val="1"/>
      </rPr>
      <t xml:space="preserve">SI</t>
    </r>
    <r>
      <rPr>
        <b val="true"/>
        <sz val="10"/>
        <rFont val="WenQuanYi Zen Hei"/>
        <family val="2"/>
      </rPr>
      <t xml:space="preserve">換算係数</t>
    </r>
  </si>
  <si>
    <r>
      <rPr>
        <b val="true"/>
        <sz val="10"/>
        <rFont val="Arial"/>
        <family val="0"/>
        <charset val="1"/>
      </rPr>
      <t xml:space="preserve">SI</t>
    </r>
    <r>
      <rPr>
        <b val="true"/>
        <sz val="10"/>
        <rFont val="WenQuanYi Zen Hei"/>
        <family val="2"/>
      </rPr>
      <t xml:space="preserve">値</t>
    </r>
  </si>
  <si>
    <t xml:space="preserve">メモ</t>
  </si>
  <si>
    <t xml:space="preserve">環境</t>
  </si>
  <si>
    <t xml:space="preserve">温度</t>
  </si>
  <si>
    <t xml:space="preserve">°C</t>
  </si>
  <si>
    <r>
      <rPr>
        <i val="true"/>
        <sz val="9"/>
        <color rgb="FF666666"/>
        <rFont val="WenQuanYi Zen Hei"/>
        <family val="2"/>
      </rPr>
      <t xml:space="preserve">周囲温度。</t>
    </r>
    <r>
      <rPr>
        <i val="true"/>
        <sz val="9"/>
        <color rgb="FF666666"/>
        <rFont val="Arial"/>
        <family val="0"/>
        <charset val="1"/>
      </rPr>
      <t xml:space="preserve">kT</t>
    </r>
    <r>
      <rPr>
        <i val="true"/>
        <sz val="9"/>
        <color rgb="FF666666"/>
        <rFont val="WenQuanYi Zen Hei"/>
        <family val="2"/>
      </rPr>
      <t xml:space="preserve">、空気密度、粘性</t>
    </r>
    <r>
      <rPr>
        <i val="true"/>
        <sz val="9"/>
        <color rgb="FF666666"/>
        <rFont val="Arial"/>
        <family val="0"/>
        <charset val="1"/>
      </rPr>
      <t xml:space="preserve">(Sutherland</t>
    </r>
    <r>
      <rPr>
        <i val="true"/>
        <sz val="9"/>
        <color rgb="FF666666"/>
        <rFont val="WenQuanYi Zen Hei"/>
        <family val="2"/>
      </rPr>
      <t xml:space="preserve">式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に効く</t>
    </r>
  </si>
  <si>
    <t xml:space="preserve">音孔・前室</t>
  </si>
  <si>
    <t xml:space="preserve">音孔 半径</t>
  </si>
  <si>
    <t xml:space="preserve">µm</t>
  </si>
  <si>
    <t xml:space="preserve">音孔 長さ</t>
  </si>
  <si>
    <t xml:space="preserve">基板厚＋パッケージ厚の合計</t>
  </si>
  <si>
    <t xml:space="preserve">前室 容積</t>
  </si>
  <si>
    <t xml:space="preserve">mm³</t>
  </si>
  <si>
    <t xml:space="preserve">音孔とダイアフラムの間の空間</t>
  </si>
  <si>
    <t xml:space="preserve">ダイアフラム</t>
  </si>
  <si>
    <t xml:space="preserve">ダイアフラム 半径</t>
  </si>
  <si>
    <t xml:space="preserve">ピストン近似の有効半径</t>
  </si>
  <si>
    <t xml:space="preserve">膜厚</t>
  </si>
  <si>
    <r>
      <rPr>
        <i val="true"/>
        <sz val="9"/>
        <color rgb="FF666666"/>
        <rFont val="WenQuanYi Zen Hei"/>
        <family val="2"/>
      </rPr>
      <t xml:space="preserve">密度 </t>
    </r>
    <r>
      <rPr>
        <i val="true"/>
        <sz val="9"/>
        <color rgb="FF666666"/>
        <rFont val="Arial"/>
        <family val="0"/>
        <charset val="1"/>
      </rPr>
      <t xml:space="preserve">2330 kg/m³ (poly-Si) </t>
    </r>
    <r>
      <rPr>
        <i val="true"/>
        <sz val="9"/>
        <color rgb="FF666666"/>
        <rFont val="WenQuanYi Zen Hei"/>
        <family val="2"/>
      </rPr>
      <t xml:space="preserve">を仮定</t>
    </r>
  </si>
  <si>
    <r>
      <rPr>
        <sz val="10"/>
        <rFont val="WenQuanYi Zen Hei"/>
        <family val="2"/>
      </rPr>
      <t xml:space="preserve">機械感度 </t>
    </r>
    <r>
      <rPr>
        <sz val="10"/>
        <rFont val="Arial"/>
        <family val="0"/>
        <charset val="1"/>
      </rPr>
      <t xml:space="preserve">s_m</t>
    </r>
    <r>
      <rPr>
        <sz val="10"/>
        <rFont val="WenQuanYi Zen Hei"/>
        <family val="2"/>
      </rPr>
      <t xml:space="preserve">（平均変位）</t>
    </r>
  </si>
  <si>
    <t xml:space="preserve">nm/Pa</t>
  </si>
  <si>
    <r>
      <rPr>
        <i val="true"/>
        <sz val="9"/>
        <color rgb="FF666666"/>
        <rFont val="WenQuanYi Zen Hei"/>
        <family val="2"/>
      </rPr>
      <t xml:space="preserve">背室なし・バイアスなしでの平均変位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圧力</t>
    </r>
  </si>
  <si>
    <t xml:space="preserve">バックプレート</t>
  </si>
  <si>
    <r>
      <rPr>
        <sz val="10"/>
        <rFont val="WenQuanYi Zen Hei"/>
        <family val="2"/>
      </rPr>
      <t xml:space="preserve">エアギャップ </t>
    </r>
    <r>
      <rPr>
        <sz val="10"/>
        <rFont val="Arial"/>
        <family val="0"/>
        <charset val="1"/>
      </rPr>
      <t xml:space="preserve">g0</t>
    </r>
  </si>
  <si>
    <t xml:space="preserve">孔 半径</t>
  </si>
  <si>
    <r>
      <rPr>
        <sz val="10"/>
        <rFont val="WenQuanYi Zen Hei"/>
        <family val="2"/>
      </rPr>
      <t xml:space="preserve">開口率 </t>
    </r>
    <r>
      <rPr>
        <sz val="10"/>
        <rFont val="Arial"/>
        <family val="0"/>
        <charset val="1"/>
      </rPr>
      <t xml:space="preserve">φ</t>
    </r>
  </si>
  <si>
    <t xml:space="preserve">-</t>
  </si>
  <si>
    <r>
      <rPr>
        <i val="true"/>
        <sz val="9"/>
        <color rgb="FF666666"/>
        <rFont val="WenQuanYi Zen Hei"/>
        <family val="2"/>
      </rPr>
      <t xml:space="preserve">孔面積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全面積</t>
    </r>
  </si>
  <si>
    <t xml:space="preserve">バックプレート 厚さ</t>
  </si>
  <si>
    <t xml:space="preserve">背室・ベント</t>
  </si>
  <si>
    <t xml:space="preserve">背室 容積</t>
  </si>
  <si>
    <r>
      <rPr>
        <sz val="10"/>
        <rFont val="WenQuanYi Zen Hei"/>
        <family val="2"/>
      </rPr>
      <t xml:space="preserve">ベント 音響抵抗 </t>
    </r>
    <r>
      <rPr>
        <sz val="10"/>
        <rFont val="Arial"/>
        <family val="0"/>
        <charset val="1"/>
      </rPr>
      <t xml:space="preserve">R_v</t>
    </r>
  </si>
  <si>
    <t xml:space="preserve">Pa·s/m³</t>
  </si>
  <si>
    <r>
      <rPr>
        <i val="true"/>
        <sz val="9"/>
        <color rgb="FF666666"/>
        <rFont val="WenQuanYi Zen Hei"/>
        <family val="2"/>
      </rPr>
      <t xml:space="preserve">低域カットオフ ≈ </t>
    </r>
    <r>
      <rPr>
        <i val="true"/>
        <sz val="9"/>
        <color rgb="FF666666"/>
        <rFont val="Arial"/>
        <family val="0"/>
        <charset val="1"/>
      </rPr>
      <t xml:space="preserve">1/(2πR_v(C_bv+C_d))</t>
    </r>
  </si>
  <si>
    <t xml:space="preserve">電気・バイアス</t>
  </si>
  <si>
    <r>
      <rPr>
        <sz val="10"/>
        <rFont val="WenQuanYi Zen Hei"/>
        <family val="2"/>
      </rPr>
      <t xml:space="preserve">バイアス電圧 </t>
    </r>
    <r>
      <rPr>
        <sz val="10"/>
        <rFont val="Arial"/>
        <family val="0"/>
        <charset val="1"/>
      </rPr>
      <t xml:space="preserve">V_b</t>
    </r>
  </si>
  <si>
    <t xml:space="preserve">V</t>
  </si>
  <si>
    <t xml:space="preserve">チャージポンプ出力</t>
  </si>
  <si>
    <r>
      <rPr>
        <sz val="10"/>
        <rFont val="WenQuanYi Zen Hei"/>
        <family val="2"/>
      </rPr>
      <t xml:space="preserve">寄生容量 </t>
    </r>
    <r>
      <rPr>
        <sz val="10"/>
        <rFont val="Arial"/>
        <family val="0"/>
        <charset val="1"/>
      </rPr>
      <t xml:space="preserve">C_p</t>
    </r>
  </si>
  <si>
    <t xml:space="preserve">pF</t>
  </si>
  <si>
    <r>
      <rPr>
        <sz val="10"/>
        <rFont val="WenQuanYi Zen Hei"/>
        <family val="2"/>
      </rPr>
      <t xml:space="preserve">アンプ入力容量 </t>
    </r>
    <r>
      <rPr>
        <sz val="10"/>
        <rFont val="Arial"/>
        <family val="0"/>
        <charset val="1"/>
      </rPr>
      <t xml:space="preserve">C_in</t>
    </r>
  </si>
  <si>
    <r>
      <rPr>
        <sz val="10"/>
        <rFont val="WenQuanYi Zen Hei"/>
        <family val="2"/>
      </rPr>
      <t xml:space="preserve">バイアス抵抗 </t>
    </r>
    <r>
      <rPr>
        <sz val="10"/>
        <rFont val="Arial"/>
        <family val="0"/>
        <charset val="1"/>
      </rPr>
      <t xml:space="preserve">R_b</t>
    </r>
  </si>
  <si>
    <t xml:space="preserve">Ω</t>
  </si>
  <si>
    <t xml:space="preserve">ダイオード等で実装される超高抵抗</t>
  </si>
  <si>
    <r>
      <rPr>
        <sz val="10"/>
        <rFont val="WenQuanYi Zen Hei"/>
        <family val="2"/>
      </rPr>
      <t xml:space="preserve">前置アンプ・</t>
    </r>
    <r>
      <rPr>
        <sz val="10"/>
        <rFont val="Arial"/>
        <family val="0"/>
        <charset val="1"/>
      </rPr>
      <t xml:space="preserve">ASIC</t>
    </r>
  </si>
  <si>
    <r>
      <rPr>
        <sz val="10"/>
        <rFont val="WenQuanYi Zen Hei"/>
        <family val="2"/>
      </rPr>
      <t xml:space="preserve">入力電圧雑音 </t>
    </r>
    <r>
      <rPr>
        <sz val="10"/>
        <rFont val="Arial"/>
        <family val="0"/>
        <charset val="1"/>
      </rPr>
      <t xml:space="preserve">e_n</t>
    </r>
    <r>
      <rPr>
        <sz val="10"/>
        <rFont val="WenQuanYi Zen Hei"/>
        <family val="2"/>
      </rPr>
      <t xml:space="preserve">（白色）</t>
    </r>
  </si>
  <si>
    <t xml:space="preserve">nV/√Hz</t>
  </si>
  <si>
    <r>
      <rPr>
        <sz val="10"/>
        <rFont val="Arial"/>
        <family val="0"/>
        <charset val="1"/>
      </rPr>
      <t xml:space="preserve">1/f </t>
    </r>
    <r>
      <rPr>
        <sz val="10"/>
        <rFont val="WenQuanYi Zen Hei"/>
        <family val="2"/>
      </rPr>
      <t xml:space="preserve">コーナー </t>
    </r>
    <r>
      <rPr>
        <sz val="10"/>
        <rFont val="Arial"/>
        <family val="0"/>
        <charset val="1"/>
      </rPr>
      <t xml:space="preserve">f_c</t>
    </r>
  </si>
  <si>
    <r>
      <rPr>
        <sz val="10"/>
        <rFont val="WenQuanYi Zen Hei"/>
        <family val="2"/>
      </rPr>
      <t xml:space="preserve">入力電流雑音 </t>
    </r>
    <r>
      <rPr>
        <sz val="10"/>
        <rFont val="Arial"/>
        <family val="0"/>
        <charset val="1"/>
      </rPr>
      <t xml:space="preserve">i_n</t>
    </r>
  </si>
  <si>
    <t xml:space="preserve">fA/√Hz</t>
  </si>
  <si>
    <r>
      <rPr>
        <sz val="10"/>
        <rFont val="Arial"/>
        <family val="0"/>
        <charset val="1"/>
      </rPr>
      <t xml:space="preserve">ASIC </t>
    </r>
    <r>
      <rPr>
        <sz val="10"/>
        <rFont val="WenQuanYi Zen Hei"/>
        <family val="2"/>
      </rPr>
      <t xml:space="preserve">ゲイン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</si>
  <si>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出力換算雑音 </t>
    </r>
    <r>
      <rPr>
        <sz val="10"/>
        <rFont val="Arial"/>
        <family val="0"/>
        <charset val="1"/>
      </rPr>
      <t xml:space="preserve">e_o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ADC</t>
    </r>
    <r>
      <rPr>
        <sz val="10"/>
        <rFont val="WenQuanYi Zen Hei"/>
        <family val="2"/>
      </rPr>
      <t xml:space="preserve">等）</t>
    </r>
  </si>
  <si>
    <t xml:space="preserve">ゲイン後の白色雑音として扱う</t>
  </si>
  <si>
    <r>
      <rPr>
        <i val="true"/>
        <sz val="9"/>
        <color rgb="FF666666"/>
        <rFont val="WenQuanYi Zen Hei"/>
        <family val="2"/>
      </rPr>
      <t xml:space="preserve">出典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プリセット値は一般的な市販 </t>
    </r>
    <r>
      <rPr>
        <i val="true"/>
        <sz val="9"/>
        <color rgb="FF666666"/>
        <rFont val="Arial"/>
        <family val="0"/>
        <charset val="1"/>
      </rPr>
      <t xml:space="preserve">MEMS </t>
    </r>
    <r>
      <rPr>
        <i val="true"/>
        <sz val="9"/>
        <color rgb="FF666666"/>
        <rFont val="WenQuanYi Zen Hei"/>
        <family val="2"/>
      </rPr>
      <t xml:space="preserve">マイク（</t>
    </r>
    <r>
      <rPr>
        <i val="true"/>
        <sz val="9"/>
        <color rgb="FF666666"/>
        <rFont val="Arial"/>
        <family val="0"/>
        <charset val="1"/>
      </rPr>
      <t xml:space="preserve">SNR 60–74 dB </t>
    </r>
    <r>
      <rPr>
        <i val="true"/>
        <sz val="9"/>
        <color rgb="FF666666"/>
        <rFont val="WenQuanYi Zen Hei"/>
        <family val="2"/>
      </rPr>
      <t xml:space="preserve">級）の公開寸法・特性に合うよう調整した代表値で、特定製品の値ではありません。</t>
    </r>
  </si>
  <si>
    <r>
      <rPr>
        <b val="true"/>
        <sz val="14"/>
        <rFont val="WenQuanYi Zen Hei"/>
        <family val="2"/>
      </rPr>
      <t xml:space="preserve">集中定数（</t>
    </r>
    <r>
      <rPr>
        <b val="true"/>
        <sz val="14"/>
        <rFont val="Arial"/>
        <family val="0"/>
        <charset val="1"/>
      </rPr>
      <t xml:space="preserve">Inputs </t>
    </r>
    <r>
      <rPr>
        <b val="true"/>
        <sz val="14"/>
        <rFont val="WenQuanYi Zen Hei"/>
        <family val="2"/>
      </rPr>
      <t xml:space="preserve">から自動計算）</t>
    </r>
  </si>
  <si>
    <t xml:space="preserve">すべて数式。編集不要。</t>
  </si>
  <si>
    <t xml:space="preserve">項目</t>
  </si>
  <si>
    <t xml:space="preserve">名前</t>
  </si>
  <si>
    <t xml:space="preserve">式・出典</t>
  </si>
  <si>
    <t xml:space="preserve">ボルツマン定数</t>
  </si>
  <si>
    <t xml:space="preserve">L_kB</t>
  </si>
  <si>
    <t xml:space="preserve">J/K</t>
  </si>
  <si>
    <r>
      <rPr>
        <i val="true"/>
        <sz val="9"/>
        <color rgb="FF666666"/>
        <rFont val="Arial"/>
        <family val="0"/>
        <charset val="1"/>
      </rPr>
      <t xml:space="preserve">CODATA 2018</t>
    </r>
    <r>
      <rPr>
        <i val="true"/>
        <sz val="9"/>
        <color rgb="FF666666"/>
        <rFont val="WenQuanYi Zen Hei"/>
        <family val="2"/>
      </rPr>
      <t xml:space="preserve">（定数）</t>
    </r>
  </si>
  <si>
    <t xml:space="preserve">真空の誘電率</t>
  </si>
  <si>
    <t xml:space="preserve">L_eps0</t>
  </si>
  <si>
    <t xml:space="preserve">F/m</t>
  </si>
  <si>
    <t xml:space="preserve">大気圧</t>
  </si>
  <si>
    <t xml:space="preserve">L_P0</t>
  </si>
  <si>
    <t xml:space="preserve">Pa</t>
  </si>
  <si>
    <t xml:space="preserve">標準大気圧（定数）</t>
  </si>
  <si>
    <t xml:space="preserve">空気の気体定数</t>
  </si>
  <si>
    <t xml:space="preserve">L_Rair</t>
  </si>
  <si>
    <t xml:space="preserve">J/(kg·K)</t>
  </si>
  <si>
    <t xml:space="preserve">乾燥空気（定数）</t>
  </si>
  <si>
    <t xml:space="preserve">比熱比</t>
  </si>
  <si>
    <t xml:space="preserve">L_gam</t>
  </si>
  <si>
    <t xml:space="preserve">断熱（定数）</t>
  </si>
  <si>
    <t xml:space="preserve">ダイアフラム密度</t>
  </si>
  <si>
    <t xml:space="preserve">L_rhoSi</t>
  </si>
  <si>
    <t xml:space="preserve">kg/m³</t>
  </si>
  <si>
    <t xml:space="preserve">ポリシリコン（仮定）</t>
  </si>
  <si>
    <t xml:space="preserve">基準音圧</t>
  </si>
  <si>
    <t xml:space="preserve">L_PREF</t>
  </si>
  <si>
    <r>
      <rPr>
        <i val="true"/>
        <sz val="9"/>
        <color rgb="FF666666"/>
        <rFont val="Arial"/>
        <family val="0"/>
        <charset val="1"/>
      </rPr>
      <t xml:space="preserve">20 µPa</t>
    </r>
    <r>
      <rPr>
        <i val="true"/>
        <sz val="9"/>
        <color rgb="FF666666"/>
        <rFont val="WenQuanYi Zen Hei"/>
        <family val="2"/>
      </rPr>
      <t xml:space="preserve">（定義）</t>
    </r>
  </si>
  <si>
    <t xml:space="preserve">絶対温度</t>
  </si>
  <si>
    <t xml:space="preserve">L_Tk</t>
  </si>
  <si>
    <t xml:space="preserve">K</t>
  </si>
  <si>
    <t xml:space="preserve">4kT</t>
  </si>
  <si>
    <t xml:space="preserve">L_kT4</t>
  </si>
  <si>
    <t xml:space="preserve">J</t>
  </si>
  <si>
    <t xml:space="preserve">空気密度</t>
  </si>
  <si>
    <t xml:space="preserve">L_rho</t>
  </si>
  <si>
    <t xml:space="preserve">理想気体</t>
  </si>
  <si>
    <t xml:space="preserve">粘性係数</t>
  </si>
  <si>
    <t xml:space="preserve">L_mu</t>
  </si>
  <si>
    <t xml:space="preserve">Pa·s</t>
  </si>
  <si>
    <r>
      <rPr>
        <i val="true"/>
        <sz val="9"/>
        <color rgb="FF666666"/>
        <rFont val="Arial"/>
        <family val="0"/>
        <charset val="1"/>
      </rPr>
      <t xml:space="preserve">Sutherland</t>
    </r>
    <r>
      <rPr>
        <i val="true"/>
        <sz val="9"/>
        <color rgb="FF666666"/>
        <rFont val="WenQuanYi Zen Hei"/>
        <family val="2"/>
      </rPr>
      <t xml:space="preserve">式</t>
    </r>
  </si>
  <si>
    <t xml:space="preserve">γP0</t>
  </si>
  <si>
    <t xml:space="preserve">L_gP0</t>
  </si>
  <si>
    <t xml:space="preserve">平均自由行程</t>
  </si>
  <si>
    <t xml:space="preserve">L_lam</t>
  </si>
  <si>
    <t xml:space="preserve">m</t>
  </si>
  <si>
    <r>
      <rPr>
        <sz val="10"/>
        <rFont val="WenQuanYi Zen Hei"/>
        <family val="2"/>
      </rPr>
      <t xml:space="preserve">ダイアフラム面積 </t>
    </r>
    <r>
      <rPr>
        <sz val="10"/>
        <rFont val="Arial"/>
        <family val="0"/>
        <charset val="1"/>
      </rPr>
      <t xml:space="preserve">A</t>
    </r>
  </si>
  <si>
    <t xml:space="preserve">L_A</t>
  </si>
  <si>
    <t xml:space="preserve">m²</t>
  </si>
  <si>
    <r>
      <rPr>
        <sz val="10"/>
        <rFont val="WenQuanYi Zen Hei"/>
        <family val="2"/>
      </rPr>
      <t xml:space="preserve">静止容量 </t>
    </r>
    <r>
      <rPr>
        <sz val="10"/>
        <rFont val="Arial"/>
        <family val="0"/>
        <charset val="1"/>
      </rPr>
      <t xml:space="preserve">C0</t>
    </r>
  </si>
  <si>
    <t xml:space="preserve">L_C0</t>
  </si>
  <si>
    <t xml:space="preserve">F</t>
  </si>
  <si>
    <r>
      <rPr>
        <sz val="10"/>
        <rFont val="WenQuanYi Zen Hei"/>
        <family val="2"/>
      </rPr>
      <t xml:space="preserve">機械ばね </t>
    </r>
    <r>
      <rPr>
        <sz val="10"/>
        <rFont val="Arial"/>
        <family val="0"/>
        <charset val="1"/>
      </rPr>
      <t xml:space="preserve">k</t>
    </r>
  </si>
  <si>
    <t xml:space="preserve">L_km</t>
  </si>
  <si>
    <t xml:space="preserve">N/m</t>
  </si>
  <si>
    <t xml:space="preserve">k = A/s_m</t>
  </si>
  <si>
    <r>
      <rPr>
        <sz val="10"/>
        <rFont val="WenQuanYi Zen Hei"/>
        <family val="2"/>
      </rPr>
      <t xml:space="preserve">静電ばね </t>
    </r>
    <r>
      <rPr>
        <sz val="10"/>
        <rFont val="Arial"/>
        <family val="0"/>
        <charset val="1"/>
      </rPr>
      <t xml:space="preserve">k_e</t>
    </r>
  </si>
  <si>
    <t xml:space="preserve">L_ke</t>
  </si>
  <si>
    <t xml:space="preserve">線形化した負ばね</t>
  </si>
  <si>
    <r>
      <rPr>
        <sz val="10"/>
        <rFont val="WenQuanYi Zen Hei"/>
        <family val="2"/>
      </rPr>
      <t xml:space="preserve">プルイン電圧 </t>
    </r>
    <r>
      <rPr>
        <sz val="10"/>
        <rFont val="Arial"/>
        <family val="0"/>
        <charset val="1"/>
      </rPr>
      <t xml:space="preserve">V_PI</t>
    </r>
  </si>
  <si>
    <t xml:space="preserve">L_VPI</t>
  </si>
  <si>
    <t xml:space="preserve">平行平板</t>
  </si>
  <si>
    <r>
      <rPr>
        <sz val="10"/>
        <rFont val="WenQuanYi Zen Hei"/>
        <family val="2"/>
      </rPr>
      <t xml:space="preserve">実効ばね </t>
    </r>
    <r>
      <rPr>
        <sz val="10"/>
        <rFont val="Arial"/>
        <family val="0"/>
        <charset val="1"/>
      </rPr>
      <t xml:space="preserve">k_eff</t>
    </r>
  </si>
  <si>
    <t xml:space="preserve">L_keff</t>
  </si>
  <si>
    <r>
      <rPr>
        <sz val="10"/>
        <rFont val="WenQuanYi Zen Hei"/>
        <family val="2"/>
      </rPr>
      <t xml:space="preserve">音響コンプライアンス </t>
    </r>
    <r>
      <rPr>
        <sz val="10"/>
        <rFont val="Arial"/>
        <family val="0"/>
        <charset val="1"/>
      </rPr>
      <t xml:space="preserve">C_d</t>
    </r>
  </si>
  <si>
    <t xml:space="preserve">L_Cd</t>
  </si>
  <si>
    <t xml:space="preserve">m³/Pa</t>
  </si>
  <si>
    <r>
      <rPr>
        <sz val="10"/>
        <rFont val="WenQuanYi Zen Hei"/>
        <family val="2"/>
      </rPr>
      <t xml:space="preserve">ダイアフラム音響質量 </t>
    </r>
    <r>
      <rPr>
        <sz val="10"/>
        <rFont val="Arial"/>
        <family val="0"/>
        <charset val="1"/>
      </rPr>
      <t xml:space="preserve">M_d</t>
    </r>
  </si>
  <si>
    <t xml:space="preserve">L_Md</t>
  </si>
  <si>
    <t xml:space="preserve">kg/m⁴</t>
  </si>
  <si>
    <t xml:space="preserve">ピストン近似</t>
  </si>
  <si>
    <r>
      <rPr>
        <sz val="10"/>
        <rFont val="WenQuanYi Zen Hei"/>
        <family val="2"/>
      </rPr>
      <t xml:space="preserve">クヌーセン数 </t>
    </r>
    <r>
      <rPr>
        <sz val="10"/>
        <rFont val="Arial"/>
        <family val="0"/>
        <charset val="1"/>
      </rPr>
      <t xml:space="preserve">Kn</t>
    </r>
  </si>
  <si>
    <t xml:space="preserve">L_Kn</t>
  </si>
  <si>
    <r>
      <rPr>
        <sz val="10"/>
        <rFont val="WenQuanYi Zen Hei"/>
        <family val="2"/>
      </rPr>
      <t xml:space="preserve">実効粘性 </t>
    </r>
    <r>
      <rPr>
        <sz val="10"/>
        <rFont val="Arial"/>
        <family val="0"/>
        <charset val="1"/>
      </rPr>
      <t xml:space="preserve">μ_eff</t>
    </r>
  </si>
  <si>
    <t xml:space="preserve">L_muEff</t>
  </si>
  <si>
    <t xml:space="preserve">Veijola</t>
  </si>
  <si>
    <r>
      <rPr>
        <sz val="10"/>
        <rFont val="WenQuanYi Zen Hei"/>
        <family val="2"/>
      </rPr>
      <t xml:space="preserve">孔数 </t>
    </r>
    <r>
      <rPr>
        <sz val="10"/>
        <rFont val="Arial"/>
        <family val="0"/>
        <charset val="1"/>
      </rPr>
      <t xml:space="preserve">N</t>
    </r>
  </si>
  <si>
    <t xml:space="preserve">L_N</t>
  </si>
  <si>
    <r>
      <rPr>
        <sz val="10"/>
        <rFont val="Arial"/>
        <family val="0"/>
        <charset val="1"/>
      </rPr>
      <t xml:space="preserve">Škvor </t>
    </r>
    <r>
      <rPr>
        <sz val="10"/>
        <rFont val="WenQuanYi Zen Hei"/>
        <family val="2"/>
      </rPr>
      <t xml:space="preserve">係数 </t>
    </r>
    <r>
      <rPr>
        <sz val="10"/>
        <rFont val="Arial"/>
        <family val="0"/>
        <charset val="1"/>
      </rPr>
      <t xml:space="preserve">B(φ)</t>
    </r>
  </si>
  <si>
    <t xml:space="preserve">L_B</t>
  </si>
  <si>
    <t xml:space="preserve">Škvor</t>
  </si>
  <si>
    <r>
      <rPr>
        <sz val="10"/>
        <rFont val="WenQuanYi Zen Hei"/>
        <family val="2"/>
      </rPr>
      <t xml:space="preserve">スクイーズ膜抵抗 </t>
    </r>
    <r>
      <rPr>
        <sz val="10"/>
        <rFont val="Arial"/>
        <family val="0"/>
        <charset val="1"/>
      </rPr>
      <t xml:space="preserve">R_sq</t>
    </r>
  </si>
  <si>
    <t xml:space="preserve">L_Rsq</t>
  </si>
  <si>
    <r>
      <rPr>
        <sz val="10"/>
        <rFont val="WenQuanYi Zen Hei"/>
        <family val="2"/>
      </rPr>
      <t xml:space="preserve">孔流路抵抗 </t>
    </r>
    <r>
      <rPr>
        <sz val="10"/>
        <rFont val="Arial"/>
        <family val="0"/>
        <charset val="1"/>
      </rPr>
      <t xml:space="preserve">R_h</t>
    </r>
  </si>
  <si>
    <t xml:space="preserve">L_Rh</t>
  </si>
  <si>
    <t xml:space="preserve">Poiseuille</t>
  </si>
  <si>
    <r>
      <rPr>
        <sz val="10"/>
        <rFont val="WenQuanYi Zen Hei"/>
        <family val="2"/>
      </rPr>
      <t xml:space="preserve">孔音響質量 </t>
    </r>
    <r>
      <rPr>
        <sz val="10"/>
        <rFont val="Arial"/>
        <family val="0"/>
        <charset val="1"/>
      </rPr>
      <t xml:space="preserve">M_h</t>
    </r>
  </si>
  <si>
    <t xml:space="preserve">L_Mh</t>
  </si>
  <si>
    <r>
      <rPr>
        <i val="true"/>
        <sz val="9"/>
        <color rgb="FF666666"/>
        <rFont val="WenQuanYi Zen Hei"/>
        <family val="2"/>
      </rPr>
      <t xml:space="preserve">端補正 </t>
    </r>
    <r>
      <rPr>
        <i val="true"/>
        <sz val="9"/>
        <color rgb="FF666666"/>
        <rFont val="Arial"/>
        <family val="0"/>
        <charset val="1"/>
      </rPr>
      <t xml:space="preserve">1.7r</t>
    </r>
  </si>
  <si>
    <r>
      <rPr>
        <sz val="10"/>
        <rFont val="WenQuanYi Zen Hei"/>
        <family val="2"/>
      </rPr>
      <t xml:space="preserve">音孔音響質量 </t>
    </r>
    <r>
      <rPr>
        <sz val="10"/>
        <rFont val="Arial"/>
        <family val="0"/>
        <charset val="1"/>
      </rPr>
      <t xml:space="preserve">M_p</t>
    </r>
  </si>
  <si>
    <t xml:space="preserve">L_Mp</t>
  </si>
  <si>
    <r>
      <rPr>
        <sz val="10"/>
        <rFont val="WenQuanYi Zen Hei"/>
        <family val="2"/>
      </rPr>
      <t xml:space="preserve">音孔抵抗 </t>
    </r>
    <r>
      <rPr>
        <sz val="10"/>
        <rFont val="Arial"/>
        <family val="0"/>
        <charset val="1"/>
      </rPr>
      <t xml:space="preserve">R_p (DC)</t>
    </r>
  </si>
  <si>
    <t xml:space="preserve">L_Rp0</t>
  </si>
  <si>
    <t xml:space="preserve">音孔抵抗 高域係数</t>
  </si>
  <si>
    <t xml:space="preserve">L_Rp1</t>
  </si>
  <si>
    <t xml:space="preserve">Pa·s/m³/√(rad/s)</t>
  </si>
  <si>
    <r>
      <rPr>
        <i val="true"/>
        <sz val="9"/>
        <color rgb="FF666666"/>
        <rFont val="Arial"/>
        <family val="0"/>
        <charset val="1"/>
      </rPr>
      <t xml:space="preserve">R_hf = </t>
    </r>
    <r>
      <rPr>
        <i val="true"/>
        <sz val="9"/>
        <color rgb="FF666666"/>
        <rFont val="WenQuanYi Zen Hei"/>
        <family val="2"/>
      </rPr>
      <t xml:space="preserve">係数</t>
    </r>
    <r>
      <rPr>
        <i val="true"/>
        <sz val="9"/>
        <color rgb="FF666666"/>
        <rFont val="Arial"/>
        <family val="0"/>
        <charset val="1"/>
      </rPr>
      <t xml:space="preserve">×√ω</t>
    </r>
  </si>
  <si>
    <r>
      <rPr>
        <sz val="10"/>
        <rFont val="WenQuanYi Zen Hei"/>
        <family val="2"/>
      </rPr>
      <t xml:space="preserve">前室コンプライアンス </t>
    </r>
    <r>
      <rPr>
        <sz val="10"/>
        <rFont val="Arial"/>
        <family val="0"/>
        <charset val="1"/>
      </rPr>
      <t xml:space="preserve">C_f</t>
    </r>
  </si>
  <si>
    <t xml:space="preserve">L_Cf</t>
  </si>
  <si>
    <r>
      <rPr>
        <sz val="10"/>
        <rFont val="WenQuanYi Zen Hei"/>
        <family val="2"/>
      </rPr>
      <t xml:space="preserve">背室コンプライアンス </t>
    </r>
    <r>
      <rPr>
        <sz val="10"/>
        <rFont val="Arial"/>
        <family val="0"/>
        <charset val="1"/>
      </rPr>
      <t xml:space="preserve">C_bv</t>
    </r>
  </si>
  <si>
    <t xml:space="preserve">L_Cbv</t>
  </si>
  <si>
    <r>
      <rPr>
        <sz val="10"/>
        <rFont val="WenQuanYi Zen Hei"/>
        <family val="2"/>
      </rPr>
      <t xml:space="preserve">ゲート総容量 </t>
    </r>
    <r>
      <rPr>
        <sz val="10"/>
        <rFont val="Arial"/>
        <family val="0"/>
        <charset val="1"/>
      </rPr>
      <t xml:space="preserve">C_tot</t>
    </r>
  </si>
  <si>
    <t xml:space="preserve">L_Ctot</t>
  </si>
  <si>
    <t xml:space="preserve">ゲイン（倍率）</t>
  </si>
  <si>
    <t xml:space="preserve">L_G</t>
  </si>
  <si>
    <t xml:space="preserve">V/V</t>
  </si>
  <si>
    <r>
      <rPr>
        <sz val="10"/>
        <rFont val="WenQuanYi Zen Hei"/>
        <family val="2"/>
      </rPr>
      <t xml:space="preserve">ベントアドミタンス </t>
    </r>
    <r>
      <rPr>
        <sz val="10"/>
        <rFont val="Arial"/>
        <family val="0"/>
        <charset val="1"/>
      </rPr>
      <t xml:space="preserve">1/R_v</t>
    </r>
  </si>
  <si>
    <t xml:space="preserve">L_Yv</t>
  </si>
  <si>
    <t xml:space="preserve">m³/(Pa·s)</t>
  </si>
  <si>
    <r>
      <rPr>
        <sz val="10"/>
        <rFont val="WenQuanYi Zen Hei"/>
        <family val="2"/>
      </rPr>
      <t xml:space="preserve">変換係数 </t>
    </r>
    <r>
      <rPr>
        <sz val="10"/>
        <rFont val="Arial"/>
        <family val="0"/>
        <charset val="1"/>
      </rPr>
      <t xml:space="preserve">V_b·C0/(g0·A)</t>
    </r>
  </si>
  <si>
    <t xml:space="preserve">L_Kt</t>
  </si>
  <si>
    <r>
      <rPr>
        <b val="true"/>
        <sz val="14"/>
        <rFont val="WenQuanYi Zen Hei"/>
        <family val="2"/>
      </rPr>
      <t xml:space="preserve">周波数ごとの計算（</t>
    </r>
    <r>
      <rPr>
        <b val="true"/>
        <sz val="14"/>
        <rFont val="Arial"/>
        <family val="0"/>
        <charset val="1"/>
      </rPr>
      <t xml:space="preserve">10 Hz–100 kHz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デカード</t>
    </r>
    <r>
      <rPr>
        <b val="true"/>
        <sz val="14"/>
        <rFont val="Arial"/>
        <family val="0"/>
        <charset val="1"/>
      </rPr>
      <t xml:space="preserve">100</t>
    </r>
    <r>
      <rPr>
        <b val="true"/>
        <sz val="14"/>
        <rFont val="WenQuanYi Zen Hei"/>
        <family val="2"/>
      </rPr>
      <t xml:space="preserve">点）</t>
    </r>
  </si>
  <si>
    <r>
      <rPr>
        <i val="true"/>
        <sz val="9"/>
        <color rgb="FF666666"/>
        <rFont val="WenQuanYi Zen Hei"/>
        <family val="2"/>
      </rPr>
      <t xml:space="preserve">複素数は </t>
    </r>
    <r>
      <rPr>
        <i val="true"/>
        <sz val="9"/>
        <color rgb="FF666666"/>
        <rFont val="Arial"/>
        <family val="0"/>
        <charset val="1"/>
      </rPr>
      <t xml:space="preserve">Excel </t>
    </r>
    <r>
      <rPr>
        <i val="true"/>
        <sz val="9"/>
        <color rgb="FF666666"/>
        <rFont val="WenQuanYi Zen Hei"/>
        <family val="2"/>
      </rPr>
      <t xml:space="preserve">の </t>
    </r>
    <r>
      <rPr>
        <i val="true"/>
        <sz val="9"/>
        <color rgb="FF666666"/>
        <rFont val="Arial"/>
        <family val="0"/>
        <charset val="1"/>
      </rPr>
      <t xml:space="preserve">COMPLEX/IM</t>
    </r>
    <r>
      <rPr>
        <i val="true"/>
        <sz val="9"/>
        <color rgb="FF666666"/>
        <rFont val="WenQuanYi Zen Hei"/>
        <family val="2"/>
      </rPr>
      <t xml:space="preserve">関数の文字列。行</t>
    </r>
    <r>
      <rPr>
        <i val="true"/>
        <sz val="9"/>
        <color rgb="FF666666"/>
        <rFont val="Arial"/>
        <family val="0"/>
        <charset val="1"/>
      </rPr>
      <t xml:space="preserve">6</t>
    </r>
    <r>
      <rPr>
        <i val="true"/>
        <sz val="9"/>
        <color rgb="FF666666"/>
        <rFont val="WenQuanYi Zen Hei"/>
        <family val="2"/>
      </rPr>
      <t xml:space="preserve">は </t>
    </r>
    <r>
      <rPr>
        <i val="true"/>
        <sz val="9"/>
        <color rgb="FF666666"/>
        <rFont val="Arial"/>
        <family val="0"/>
        <charset val="1"/>
      </rPr>
      <t xml:space="preserve">1 kHz </t>
    </r>
    <r>
      <rPr>
        <i val="true"/>
        <sz val="9"/>
        <color rgb="FF666666"/>
        <rFont val="WenQuanYi Zen Hei"/>
        <family val="2"/>
      </rPr>
      <t xml:space="preserve">の基準点、行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WenQuanYi Zen Hei"/>
        <family val="2"/>
      </rPr>
      <t xml:space="preserve">以降が周波数グリッド。</t>
    </r>
    <r>
      <rPr>
        <i val="true"/>
        <sz val="9"/>
        <color rgb="FF666666"/>
        <rFont val="Arial"/>
        <family val="0"/>
        <charset val="1"/>
      </rPr>
      <t xml:space="preserve">i=0..300 </t>
    </r>
    <r>
      <rPr>
        <i val="true"/>
        <sz val="9"/>
        <color rgb="FF666666"/>
        <rFont val="WenQuanYi Zen Hei"/>
        <family val="2"/>
      </rPr>
      <t xml:space="preserve">が積分範囲 </t>
    </r>
    <r>
      <rPr>
        <i val="true"/>
        <sz val="9"/>
        <color rgb="FF666666"/>
        <rFont val="Arial"/>
        <family val="0"/>
        <charset val="1"/>
      </rPr>
      <t xml:space="preserve">20 Hz–20 kHz</t>
    </r>
    <r>
      <rPr>
        <i val="true"/>
        <sz val="9"/>
        <color rgb="FF666666"/>
        <rFont val="WenQuanYi Zen Hei"/>
        <family val="2"/>
      </rPr>
      <t xml:space="preserve">。</t>
    </r>
  </si>
  <si>
    <t xml:space="preserve">i</t>
  </si>
  <si>
    <t xml:space="preserve">f [Hz]</t>
  </si>
  <si>
    <t xml:space="preserve">ω [rad/s]</t>
  </si>
  <si>
    <t xml:space="preserve">R_p(f)</t>
  </si>
  <si>
    <t xml:space="preserve">Z_p</t>
  </si>
  <si>
    <t xml:space="preserve">Y_p</t>
  </si>
  <si>
    <t xml:space="preserve">Y_f</t>
  </si>
  <si>
    <t xml:space="preserve">Y_bv</t>
  </si>
  <si>
    <t xml:space="preserve">Z_d</t>
  </si>
  <si>
    <t xml:space="preserve">Y_d</t>
  </si>
  <si>
    <t xml:space="preserve">S=Yp+Yf+Ybv</t>
  </si>
  <si>
    <t xml:space="preserve">det</t>
  </si>
  <si>
    <t xml:space="preserve">|H_sig|²</t>
  </si>
  <si>
    <t xml:space="preserve">T=Yv·S·Zp/Ybv</t>
  </si>
  <si>
    <t xml:space="preserve">|Hd/Hsig|²</t>
  </si>
  <si>
    <t xml:space="preserve">|Hv/Hsig|²</t>
  </si>
  <si>
    <t xml:space="preserve">|Z_n|²</t>
  </si>
  <si>
    <t xml:space="preserve">|S_g|² [V²/Pa²]</t>
  </si>
  <si>
    <r>
      <rPr>
        <b val="true"/>
        <sz val="10"/>
        <rFont val="WenQuanYi Zen Hei"/>
        <family val="2"/>
      </rPr>
      <t xml:space="preserve">音孔 </t>
    </r>
    <r>
      <rPr>
        <b val="true"/>
        <sz val="10"/>
        <rFont val="Arial"/>
        <family val="0"/>
        <charset val="1"/>
      </rPr>
      <t xml:space="preserve">R_p [Pa²/Hz]</t>
    </r>
  </si>
  <si>
    <r>
      <rPr>
        <b val="true"/>
        <sz val="10"/>
        <rFont val="WenQuanYi Zen Hei"/>
        <family val="2"/>
      </rPr>
      <t xml:space="preserve">スクイーズ膜 </t>
    </r>
    <r>
      <rPr>
        <b val="true"/>
        <sz val="10"/>
        <rFont val="Arial"/>
        <family val="0"/>
        <charset val="1"/>
      </rPr>
      <t xml:space="preserve">R_sq [Pa²/Hz]</t>
    </r>
  </si>
  <si>
    <r>
      <rPr>
        <b val="true"/>
        <sz val="10"/>
        <rFont val="WenQuanYi Zen Hei"/>
        <family val="2"/>
      </rPr>
      <t xml:space="preserve">バックプレート孔 </t>
    </r>
    <r>
      <rPr>
        <b val="true"/>
        <sz val="10"/>
        <rFont val="Arial"/>
        <family val="0"/>
        <charset val="1"/>
      </rPr>
      <t xml:space="preserve">R_h [Pa²/Hz]</t>
    </r>
  </si>
  <si>
    <r>
      <rPr>
        <b val="true"/>
        <sz val="10"/>
        <rFont val="WenQuanYi Zen Hei"/>
        <family val="2"/>
      </rPr>
      <t xml:space="preserve">ベント </t>
    </r>
    <r>
      <rPr>
        <b val="true"/>
        <sz val="10"/>
        <rFont val="Arial"/>
        <family val="0"/>
        <charset val="1"/>
      </rPr>
      <t xml:space="preserve">R_v [Pa²/Hz]</t>
    </r>
  </si>
  <si>
    <r>
      <rPr>
        <b val="true"/>
        <sz val="10"/>
        <rFont val="WenQuanYi Zen Hei"/>
        <family val="2"/>
      </rPr>
      <t xml:space="preserve">バイアス抵抗 </t>
    </r>
    <r>
      <rPr>
        <b val="true"/>
        <sz val="10"/>
        <rFont val="Arial"/>
        <family val="0"/>
        <charset val="1"/>
      </rPr>
      <t xml:space="preserve">R_b [Pa²/Hz]</t>
    </r>
  </si>
  <si>
    <r>
      <rPr>
        <b val="true"/>
        <sz val="10"/>
        <rFont val="WenQuanYi Zen Hei"/>
        <family val="2"/>
      </rPr>
      <t xml:space="preserve">アンプ電圧 </t>
    </r>
    <r>
      <rPr>
        <b val="true"/>
        <sz val="10"/>
        <rFont val="Arial"/>
        <family val="0"/>
        <charset val="1"/>
      </rPr>
      <t xml:space="preserve">e_n [Pa²/Hz]</t>
    </r>
  </si>
  <si>
    <r>
      <rPr>
        <b val="true"/>
        <sz val="10"/>
        <rFont val="WenQuanYi Zen Hei"/>
        <family val="2"/>
      </rPr>
      <t xml:space="preserve">アンプ電流 </t>
    </r>
    <r>
      <rPr>
        <b val="true"/>
        <sz val="10"/>
        <rFont val="Arial"/>
        <family val="0"/>
        <charset val="1"/>
      </rPr>
      <t xml:space="preserve">i_n [Pa²/Hz]</t>
    </r>
  </si>
  <si>
    <r>
      <rPr>
        <b val="true"/>
        <sz val="10"/>
        <rFont val="WenQuanYi Zen Hei"/>
        <family val="2"/>
      </rPr>
      <t xml:space="preserve">出力雑音 </t>
    </r>
    <r>
      <rPr>
        <b val="true"/>
        <sz val="10"/>
        <rFont val="Arial"/>
        <family val="0"/>
        <charset val="1"/>
      </rPr>
      <t xml:space="preserve">e_o [Pa²/Hz]</t>
    </r>
  </si>
  <si>
    <r>
      <rPr>
        <b val="true"/>
        <sz val="10"/>
        <rFont val="WenQuanYi Zen Hei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[Pa²/Hz]</t>
    </r>
  </si>
  <si>
    <r>
      <rPr>
        <b val="true"/>
        <sz val="10"/>
        <rFont val="WenQuanYi Zen Hei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dB SPL/√Hz</t>
    </r>
  </si>
  <si>
    <r>
      <rPr>
        <b val="true"/>
        <sz val="10"/>
        <rFont val="WenQuanYi Zen Hei"/>
        <family val="2"/>
      </rPr>
      <t xml:space="preserve">音孔 </t>
    </r>
    <r>
      <rPr>
        <b val="true"/>
        <sz val="10"/>
        <rFont val="Arial"/>
        <family val="0"/>
        <charset val="1"/>
      </rPr>
      <t xml:space="preserve">R_p dB</t>
    </r>
  </si>
  <si>
    <r>
      <rPr>
        <b val="true"/>
        <sz val="10"/>
        <rFont val="WenQuanYi Zen Hei"/>
        <family val="2"/>
      </rPr>
      <t xml:space="preserve">スクイーズ膜 </t>
    </r>
    <r>
      <rPr>
        <b val="true"/>
        <sz val="10"/>
        <rFont val="Arial"/>
        <family val="0"/>
        <charset val="1"/>
      </rPr>
      <t xml:space="preserve">R_sq dB</t>
    </r>
  </si>
  <si>
    <r>
      <rPr>
        <b val="true"/>
        <sz val="10"/>
        <rFont val="WenQuanYi Zen Hei"/>
        <family val="2"/>
      </rPr>
      <t xml:space="preserve">バックプレート孔 </t>
    </r>
    <r>
      <rPr>
        <b val="true"/>
        <sz val="10"/>
        <rFont val="Arial"/>
        <family val="0"/>
        <charset val="1"/>
      </rPr>
      <t xml:space="preserve">R_h dB</t>
    </r>
  </si>
  <si>
    <r>
      <rPr>
        <b val="true"/>
        <sz val="10"/>
        <rFont val="WenQuanYi Zen Hei"/>
        <family val="2"/>
      </rPr>
      <t xml:space="preserve">ベント </t>
    </r>
    <r>
      <rPr>
        <b val="true"/>
        <sz val="10"/>
        <rFont val="Arial"/>
        <family val="0"/>
        <charset val="1"/>
      </rPr>
      <t xml:space="preserve">R_v dB</t>
    </r>
  </si>
  <si>
    <r>
      <rPr>
        <b val="true"/>
        <sz val="10"/>
        <rFont val="WenQuanYi Zen Hei"/>
        <family val="2"/>
      </rPr>
      <t xml:space="preserve">バイアス抵抗 </t>
    </r>
    <r>
      <rPr>
        <b val="true"/>
        <sz val="10"/>
        <rFont val="Arial"/>
        <family val="0"/>
        <charset val="1"/>
      </rPr>
      <t xml:space="preserve">R_b dB</t>
    </r>
  </si>
  <si>
    <r>
      <rPr>
        <b val="true"/>
        <sz val="10"/>
        <rFont val="WenQuanYi Zen Hei"/>
        <family val="2"/>
      </rPr>
      <t xml:space="preserve">アンプ電圧 </t>
    </r>
    <r>
      <rPr>
        <b val="true"/>
        <sz val="10"/>
        <rFont val="Arial"/>
        <family val="0"/>
        <charset val="1"/>
      </rPr>
      <t xml:space="preserve">e_n dB</t>
    </r>
  </si>
  <si>
    <r>
      <rPr>
        <b val="true"/>
        <sz val="10"/>
        <rFont val="WenQuanYi Zen Hei"/>
        <family val="2"/>
      </rPr>
      <t xml:space="preserve">アンプ電流 </t>
    </r>
    <r>
      <rPr>
        <b val="true"/>
        <sz val="10"/>
        <rFont val="Arial"/>
        <family val="0"/>
        <charset val="1"/>
      </rPr>
      <t xml:space="preserve">i_n dB</t>
    </r>
  </si>
  <si>
    <r>
      <rPr>
        <b val="true"/>
        <sz val="10"/>
        <rFont val="WenQuanYi Zen Hei"/>
        <family val="2"/>
      </rPr>
      <t xml:space="preserve">出力雑音 </t>
    </r>
    <r>
      <rPr>
        <b val="true"/>
        <sz val="10"/>
        <rFont val="Arial"/>
        <family val="0"/>
        <charset val="1"/>
      </rPr>
      <t xml:space="preserve">e_o dB</t>
    </r>
  </si>
  <si>
    <r>
      <rPr>
        <b val="true"/>
        <sz val="10"/>
        <rFont val="WenQuanYi Zen Hei"/>
        <family val="2"/>
      </rPr>
      <t xml:space="preserve">感度 </t>
    </r>
    <r>
      <rPr>
        <b val="true"/>
        <sz val="10"/>
        <rFont val="Arial"/>
        <family val="0"/>
        <charset val="1"/>
      </rPr>
      <t xml:space="preserve">dB re 1kHz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</si>
  <si>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特性 重み²</t>
    </r>
  </si>
  <si>
    <t xml:space="preserve">∫A port</t>
  </si>
  <si>
    <t xml:space="preserve">∫A sq</t>
  </si>
  <si>
    <t xml:space="preserve">∫A hole</t>
  </si>
  <si>
    <t xml:space="preserve">∫A vent</t>
  </si>
  <si>
    <t xml:space="preserve">∫A rb</t>
  </si>
  <si>
    <t xml:space="preserve">∫A en</t>
  </si>
  <si>
    <t xml:space="preserve">∫A in</t>
  </si>
  <si>
    <t xml:space="preserve">∫A eo</t>
  </si>
  <si>
    <r>
      <rPr>
        <b val="true"/>
        <sz val="10"/>
        <rFont val="Arial"/>
        <family val="0"/>
        <charset val="1"/>
      </rPr>
      <t xml:space="preserve">∫A </t>
    </r>
    <r>
      <rPr>
        <b val="true"/>
        <sz val="10"/>
        <rFont val="WenQuanYi Zen Hei"/>
        <family val="2"/>
      </rPr>
      <t xml:space="preserve">合計</t>
    </r>
  </si>
  <si>
    <t xml:space="preserve">∫Z port</t>
  </si>
  <si>
    <t xml:space="preserve">∫Z sq</t>
  </si>
  <si>
    <t xml:space="preserve">∫Z hole</t>
  </si>
  <si>
    <t xml:space="preserve">∫Z vent</t>
  </si>
  <si>
    <t xml:space="preserve">∫Z rb</t>
  </si>
  <si>
    <t xml:space="preserve">∫Z en</t>
  </si>
  <si>
    <t xml:space="preserve">∫Z in</t>
  </si>
  <si>
    <t xml:space="preserve">∫Z eo</t>
  </si>
  <si>
    <r>
      <rPr>
        <b val="true"/>
        <sz val="10"/>
        <rFont val="Arial"/>
        <family val="0"/>
        <charset val="1"/>
      </rPr>
      <t xml:space="preserve">∫Z </t>
    </r>
    <r>
      <rPr>
        <b val="true"/>
        <sz val="10"/>
        <rFont val="WenQuanYi Zen Hei"/>
        <family val="2"/>
      </rPr>
      <t xml:space="preserve">合計</t>
    </r>
  </si>
  <si>
    <t xml:space="preserve">共振探索</t>
  </si>
  <si>
    <t xml:space="preserve">低域探索</t>
  </si>
  <si>
    <t xml:space="preserve">1kHz</t>
  </si>
  <si>
    <r>
      <rPr>
        <i val="true"/>
        <sz val="9"/>
        <color rgb="FF666666"/>
        <rFont val="Arial"/>
        <family val="0"/>
        <charset val="1"/>
      </rPr>
      <t xml:space="preserve">(f=1000 Hz </t>
    </r>
    <r>
      <rPr>
        <i val="true"/>
        <sz val="9"/>
        <color rgb="FF666666"/>
        <rFont val="WenQuanYi Zen Hei"/>
        <family val="2"/>
      </rPr>
      <t xml:space="preserve">は感度・表の基準点。青字は固定値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</si>
  <si>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モデルの説明</t>
  </si>
  <si>
    <r>
      <rPr>
        <sz val="10"/>
        <rFont val="WenQuanYi Zen Hei"/>
        <family val="2"/>
      </rPr>
      <t xml:space="preserve">音響系はインピーダンス類推（圧力↔電圧、体積速度↔電流）。音孔 </t>
    </r>
    <r>
      <rPr>
        <sz val="10"/>
        <rFont val="Arial"/>
        <family val="0"/>
        <charset val="1"/>
      </rPr>
      <t xml:space="preserve">(R_p, M_p) → </t>
    </r>
    <r>
      <rPr>
        <sz val="10"/>
        <rFont val="WenQuanYi Zen Hei"/>
        <family val="2"/>
      </rPr>
      <t xml:space="preserve">前室 </t>
    </r>
    <r>
      <rPr>
        <sz val="10"/>
        <rFont val="Arial"/>
        <family val="0"/>
        <charset val="1"/>
      </rPr>
      <t xml:space="preserve">C_f → [</t>
    </r>
    <r>
      <rPr>
        <sz val="10"/>
        <rFont val="WenQuanYi Zen Hei"/>
        <family val="2"/>
      </rPr>
      <t xml:space="preserve">ダイアフラム枝 ∥ ベント </t>
    </r>
    <r>
      <rPr>
        <sz val="10"/>
        <rFont val="Arial"/>
        <family val="0"/>
        <charset val="1"/>
      </rPr>
      <t xml:space="preserve">R_v] → </t>
    </r>
    <r>
      <rPr>
        <sz val="10"/>
        <rFont val="WenQuanYi Zen Hei"/>
        <family val="2"/>
      </rPr>
      <t xml:space="preserve">背室 </t>
    </r>
    <r>
      <rPr>
        <sz val="10"/>
        <rFont val="Arial"/>
        <family val="0"/>
        <charset val="1"/>
      </rPr>
      <t xml:space="preserve">C_bv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</si>
  <si>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ダイアフラム枝は </t>
    </r>
    <r>
      <rPr>
        <sz val="10"/>
        <rFont val="Arial"/>
        <family val="0"/>
        <charset val="1"/>
      </rPr>
      <t xml:space="preserve">M_d, C_d</t>
    </r>
    <r>
      <rPr>
        <sz val="10"/>
        <rFont val="WenQuanYi Zen Hei"/>
        <family val="2"/>
      </rPr>
      <t xml:space="preserve">（静電ばね軟化込み）</t>
    </r>
    <r>
      <rPr>
        <sz val="10"/>
        <rFont val="Arial"/>
        <family val="0"/>
        <charset val="1"/>
      </rPr>
      <t xml:space="preserve">, R_sq</t>
    </r>
    <r>
      <rPr>
        <sz val="10"/>
        <rFont val="WenQuanYi Zen Hei"/>
        <family val="2"/>
      </rPr>
      <t xml:space="preserve">（スクイーズ膜</t>
    </r>
    <r>
      <rPr>
        <sz val="10"/>
        <rFont val="Arial"/>
        <family val="0"/>
        <charset val="1"/>
      </rPr>
      <t xml:space="preserve">, Škvor</t>
    </r>
    <r>
      <rPr>
        <sz val="10"/>
        <rFont val="WenQuanYi Zen Hei"/>
        <family val="2"/>
      </rPr>
      <t xml:space="preserve">式＋</t>
    </r>
    <r>
      <rPr>
        <sz val="10"/>
        <rFont val="Arial"/>
        <family val="0"/>
        <charset val="1"/>
      </rPr>
      <t xml:space="preserve">Veijola</t>
    </r>
    <r>
      <rPr>
        <sz val="10"/>
        <rFont val="WenQuanYi Zen Hei"/>
        <family val="2"/>
      </rPr>
      <t xml:space="preserve">の希薄効果補正）</t>
    </r>
    <r>
      <rPr>
        <sz val="10"/>
        <rFont val="Arial"/>
        <family val="0"/>
        <charset val="1"/>
      </rPr>
      <t xml:space="preserve">, R_h, M_h </t>
    </r>
    <r>
      <rPr>
        <sz val="10"/>
        <rFont val="WenQuanYi Zen Hei"/>
        <family val="2"/>
      </rPr>
      <t xml:space="preserve">の直列。</t>
    </r>
  </si>
  <si>
    <r>
      <rPr>
        <sz val="10"/>
        <rFont val="WenQuanYi Zen Hei"/>
        <family val="2"/>
      </rPr>
      <t xml:space="preserve">各音響抵抗 </t>
    </r>
    <r>
      <rPr>
        <sz val="10"/>
        <rFont val="Arial"/>
        <family val="0"/>
        <charset val="1"/>
      </rPr>
      <t xml:space="preserve">R </t>
    </r>
    <r>
      <rPr>
        <sz val="10"/>
        <rFont val="WenQuanYi Zen Hei"/>
        <family val="2"/>
      </rPr>
      <t xml:space="preserve">には揺動散逸定理による圧力雑音 </t>
    </r>
    <r>
      <rPr>
        <sz val="10"/>
        <rFont val="Arial"/>
        <family val="0"/>
        <charset val="1"/>
      </rPr>
      <t xml:space="preserve">4kTR [Pa²/Hz] </t>
    </r>
    <r>
      <rPr>
        <sz val="10"/>
        <rFont val="WenQuanYi Zen Hei"/>
        <family val="2"/>
      </rPr>
      <t xml:space="preserve">を直列に置く。前室・背室の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節点方程式を解いた閉形式</t>
    </r>
    <r>
      <rPr>
        <sz val="10"/>
        <rFont val="Arial"/>
        <family val="0"/>
        <charset val="1"/>
      </rPr>
      <t xml:space="preserve">:</t>
    </r>
  </si>
  <si>
    <t xml:space="preserve">  H_sig = Y_d·Y_p·Y_bv / det,  det = (Y_p+Y_f)·Y_bv + (Y_d+Y_v)·S,  S = Y_p+Y_f+Y_bv</t>
  </si>
  <si>
    <t xml:space="preserve">  |H_d/H_sig|² = |1 + Z_p·Y_f + T|²,  |H_v/H_sig|² = |T|²,  T = Y_v·S·Z_p / Y_bv</t>
  </si>
  <si>
    <r>
      <rPr>
        <sz val="10"/>
        <rFont val="WenQuanYi Zen Hei"/>
        <family val="2"/>
      </rPr>
      <t xml:space="preserve">電気系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定電荷読出し。ゲート点感度 </t>
    </r>
    <r>
      <rPr>
        <sz val="10"/>
        <rFont val="Arial"/>
        <family val="0"/>
        <charset val="1"/>
      </rPr>
      <t xml:space="preserve">S_g = H_sig·(V_b·C0/(g0·A))·Z_n,  Z_n = R_b/(1+jωR_b·C_tot)</t>
    </r>
    <r>
      <rPr>
        <sz val="10"/>
        <rFont val="WenQuanYi Zen Hei"/>
        <family val="2"/>
      </rPr>
      <t xml:space="preserve">。電気雑音は </t>
    </r>
    <r>
      <rPr>
        <sz val="10"/>
        <rFont val="Arial"/>
        <family val="0"/>
        <charset val="1"/>
      </rPr>
      <t xml:space="preserve">|S_g|² </t>
    </r>
    <r>
      <rPr>
        <sz val="10"/>
        <rFont val="WenQuanYi Zen Hei"/>
        <family val="2"/>
      </rPr>
      <t xml:space="preserve">で割って入力換算。</t>
    </r>
  </si>
  <si>
    <r>
      <rPr>
        <sz val="10"/>
        <rFont val="Arial"/>
        <family val="0"/>
        <charset val="1"/>
      </rPr>
      <t xml:space="preserve">N_A = 10·log10(∫ S_in·W_A² df / (20µPa)²)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20 Hz–20 kHz </t>
    </r>
    <r>
      <rPr>
        <sz val="10"/>
        <rFont val="WenQuanYi Zen Hei"/>
        <family val="2"/>
      </rPr>
      <t xml:space="preserve">で台形積分（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デカード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点）。</t>
    </r>
    <r>
      <rPr>
        <sz val="10"/>
        <rFont val="Arial"/>
        <family val="0"/>
        <charset val="1"/>
      </rPr>
      <t xml:space="preserve">SNR = 94 − N_A</t>
    </r>
    <r>
      <rPr>
        <sz val="10"/>
        <rFont val="WenQuanYi Zen Hei"/>
        <family val="2"/>
      </rPr>
      <t xml:space="preserve">。</t>
    </r>
  </si>
  <si>
    <t xml:space="preserve">前提と限界</t>
  </si>
  <si>
    <r>
      <rPr>
        <sz val="10"/>
        <rFont val="WenQuanYi Zen Hei"/>
        <family val="2"/>
      </rPr>
      <t xml:space="preserve">・集中定数近似のため、概ね </t>
    </r>
    <r>
      <rPr>
        <sz val="10"/>
        <rFont val="Arial"/>
        <family val="0"/>
        <charset val="1"/>
      </rPr>
      <t xml:space="preserve">50 kHz </t>
    </r>
    <r>
      <rPr>
        <sz val="10"/>
        <rFont val="WenQuanYi Zen Hei"/>
        <family val="2"/>
      </rPr>
      <t xml:space="preserve">以上では精度が落ちる。</t>
    </r>
  </si>
  <si>
    <r>
      <rPr>
        <sz val="10"/>
        <rFont val="WenQuanYi Zen Hei"/>
        <family val="2"/>
      </rPr>
      <t xml:space="preserve">・ダイアフラムはピストン近似。</t>
    </r>
    <r>
      <rPr>
        <sz val="10"/>
        <rFont val="Arial"/>
        <family val="0"/>
        <charset val="1"/>
      </rPr>
      <t xml:space="preserve">s_m </t>
    </r>
    <r>
      <rPr>
        <sz val="10"/>
        <rFont val="WenQuanYi Zen Hei"/>
        <family val="2"/>
      </rPr>
      <t xml:space="preserve">は「背室なし・バイアスなし」での平均変位感度。</t>
    </r>
  </si>
  <si>
    <r>
      <rPr>
        <sz val="10"/>
        <rFont val="WenQuanYi Zen Hei"/>
        <family val="2"/>
      </rPr>
      <t xml:space="preserve">・バイアスによる静的たわみ・非線形性は無視。</t>
    </r>
    <r>
      <rPr>
        <sz val="10"/>
        <rFont val="Arial"/>
        <family val="0"/>
        <charset val="1"/>
      </rPr>
      <t xml:space="preserve">V_b </t>
    </r>
    <r>
      <rPr>
        <sz val="10"/>
        <rFont val="WenQuanYi Zen Hei"/>
        <family val="2"/>
      </rPr>
      <t xml:space="preserve">が </t>
    </r>
    <r>
      <rPr>
        <sz val="10"/>
        <rFont val="Arial"/>
        <family val="0"/>
        <charset val="1"/>
      </rPr>
      <t xml:space="preserve">V_PI </t>
    </r>
    <r>
      <rPr>
        <sz val="10"/>
        <rFont val="WenQuanYi Zen Hei"/>
        <family val="2"/>
      </rPr>
      <t xml:space="preserve">に近いと実機より楽観的。</t>
    </r>
  </si>
  <si>
    <r>
      <rPr>
        <sz val="10"/>
        <rFont val="WenQuanYi Zen Hei"/>
        <family val="2"/>
      </rPr>
      <t xml:space="preserve">・前室・背室の熱境界層損失、ダイアフラムの構造減衰は未考慮。共振ピークは実機（</t>
    </r>
    <r>
      <rPr>
        <sz val="10"/>
        <rFont val="Arial"/>
        <family val="0"/>
        <charset val="1"/>
      </rPr>
      <t xml:space="preserve">+6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 dB</t>
    </r>
    <r>
      <rPr>
        <sz val="10"/>
        <rFont val="WenQuanYi Zen Hei"/>
        <family val="2"/>
      </rPr>
      <t xml:space="preserve">）より高めに出る。</t>
    </r>
  </si>
  <si>
    <r>
      <rPr>
        <sz val="10"/>
        <rFont val="WenQuanYi Zen Hei"/>
        <family val="2"/>
      </rPr>
      <t xml:space="preserve">・デジタルマイクの </t>
    </r>
    <r>
      <rPr>
        <sz val="10"/>
        <rFont val="Arial"/>
        <family val="0"/>
        <charset val="1"/>
      </rPr>
      <t xml:space="preserve">ΔΣ/</t>
    </r>
    <r>
      <rPr>
        <sz val="10"/>
        <rFont val="WenQuanYi Zen Hei"/>
        <family val="2"/>
      </rPr>
      <t xml:space="preserve">デシメーションは白色の出力換算雑音 </t>
    </r>
    <r>
      <rPr>
        <sz val="10"/>
        <rFont val="Arial"/>
        <family val="0"/>
        <charset val="1"/>
      </rPr>
      <t xml:space="preserve">e_o </t>
    </r>
    <r>
      <rPr>
        <sz val="10"/>
        <rFont val="WenQuanYi Zen Hei"/>
        <family val="2"/>
      </rPr>
      <t xml:space="preserve">で代表。</t>
    </r>
  </si>
  <si>
    <t xml:space="preserve">色の凡例</t>
  </si>
  <si>
    <r>
      <rPr>
        <sz val="10"/>
        <rFont val="WenQuanYi Zen Hei"/>
        <family val="2"/>
      </rPr>
      <t xml:space="preserve">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ハードコードした入力値・定数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数式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他シート参照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黄色セル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ユーザーが編集するセル</t>
    </r>
  </si>
  <si>
    <r>
      <rPr>
        <sz val="10"/>
        <rFont val="Arial"/>
        <family val="0"/>
        <charset val="1"/>
      </rPr>
      <t xml:space="preserve">Inputs </t>
    </r>
    <r>
      <rPr>
        <sz val="10"/>
        <rFont val="WenQuanYi Zen Hei"/>
        <family val="2"/>
      </rPr>
      <t xml:space="preserve">シートの「上書き」列に値を入れるとプリセット値より優先されます。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</si>
</sst>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#,##0"/>
    <numFmt numFmtId="167" formatCode="0%"/>
    <numFmt numFmtId="168" formatCode="@"/>
    <numFmt numFmtId="169" formatCode="0.0%"/>
    <numFmt numFmtId="170" formatCode="0"/>
    <numFmt numFmtId="171" formatCode="0.000"/>
    <numFmt numFmtId="172" formatCode="0E+00"/>
    <numFmt numFmtId="173" formatCode="0.000E+00"/>
    <numFmt numFmtId="174" formatCode="0.00E+00"/>
    <numFmt numFmtId="175" formatCode="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sz val="10"/>
      <color rgb="FF008000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1"/>
      <name val="WenQuanYi Zen Hei"/>
      <family val="2"/>
    </font>
    <font>
      <b val="true"/>
      <sz val="10"/>
      <color rgb="FF2A78D6"/>
      <name val="WenQuanYi Zen Hei"/>
      <family val="2"/>
    </font>
    <font>
      <b val="true"/>
      <sz val="10"/>
      <color rgb="FF2A78D6"/>
      <name val="Arial"/>
      <family val="0"/>
      <charset val="1"/>
    </font>
    <font>
      <b val="true"/>
      <sz val="10"/>
      <color rgb="FFEB6834"/>
      <name val="WenQuanYi Zen Hei"/>
      <family val="2"/>
    </font>
    <font>
      <b val="true"/>
      <sz val="10"/>
      <color rgb="FFEB6834"/>
      <name val="Arial"/>
      <family val="0"/>
      <charset val="1"/>
    </font>
    <font>
      <b val="true"/>
      <sz val="10"/>
      <color rgb="FF1BAF7A"/>
      <name val="WenQuanYi Zen Hei"/>
      <family val="2"/>
    </font>
    <font>
      <b val="true"/>
      <sz val="10"/>
      <color rgb="FF1BAF7A"/>
      <name val="Arial"/>
      <family val="0"/>
      <charset val="1"/>
    </font>
    <font>
      <b val="true"/>
      <sz val="10"/>
      <color rgb="FFEDA100"/>
      <name val="WenQuanYi Zen Hei"/>
      <family val="2"/>
    </font>
    <font>
      <b val="true"/>
      <sz val="10"/>
      <color rgb="FFEDA100"/>
      <name val="Arial"/>
      <family val="0"/>
      <charset val="1"/>
    </font>
    <font>
      <b val="true"/>
      <sz val="10"/>
      <color rgb="FFE87BA4"/>
      <name val="WenQuanYi Zen Hei"/>
      <family val="2"/>
    </font>
    <font>
      <b val="true"/>
      <sz val="10"/>
      <color rgb="FFE87BA4"/>
      <name val="Arial"/>
      <family val="0"/>
      <charset val="1"/>
    </font>
    <font>
      <b val="true"/>
      <sz val="10"/>
      <color rgb="FF008300"/>
      <name val="WenQuanYi Zen Hei"/>
      <family val="2"/>
    </font>
    <font>
      <b val="true"/>
      <sz val="10"/>
      <color rgb="FF008300"/>
      <name val="Arial"/>
      <family val="0"/>
      <charset val="1"/>
    </font>
    <font>
      <b val="true"/>
      <sz val="10"/>
      <color rgb="FF6250D6"/>
      <name val="WenQuanYi Zen Hei"/>
      <family val="2"/>
    </font>
    <font>
      <b val="true"/>
      <sz val="10"/>
      <color rgb="FF6250D6"/>
      <name val="Arial"/>
      <family val="0"/>
      <charset val="1"/>
    </font>
    <font>
      <b val="true"/>
      <sz val="10"/>
      <color rgb="FFE34948"/>
      <name val="WenQuanYi Zen Hei"/>
      <family val="2"/>
    </font>
    <font>
      <b val="true"/>
      <sz val="10"/>
      <color rgb="FFE34948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  <font>
      <sz val="10"/>
      <color rgb="FF0000FF"/>
      <name val="WenQuanYi Zen He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7EA"/>
        <bgColor rgb="FFD9D9D9"/>
      </patternFill>
    </fill>
    <fill>
      <patternFill patternType="solid">
        <fgColor rgb="FFEEF4F5"/>
        <bgColor rgb="FFDDE7E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4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A76"/>
      <rgbColor rgb="FFBBBBBB"/>
      <rgbColor rgb="FF878787"/>
      <rgbColor rgb="FF9999FF"/>
      <rgbColor rgb="FFE34948"/>
      <rgbColor rgb="FFFFFFCC"/>
      <rgbColor rgb="FFDDE7EA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30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66"/>
      <rgbColor rgb="FF969696"/>
      <rgbColor rgb="FF003366"/>
      <rgbColor rgb="FF1BAF7A"/>
      <rgbColor rgb="FF111A1C"/>
      <rgbColor rgb="FF333300"/>
      <rgbColor rgb="FF993300"/>
      <rgbColor rgb="FF993366"/>
      <rgbColor rgb="FF6250D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入力換算ノイズスペクトル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"合計"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111a1c"/>
            </a:solidFill>
            <a:ln w="32040">
              <a:solidFill>
                <a:srgbClr val="111a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Spectrum!$AB$9:$AB$409</c:f>
              <c:numCache>
                <c:formatCode>0.00</c:formatCode>
                <c:ptCount val="401"/>
                <c:pt idx="0">
                  <c:v>29.9652907213043</c:v>
                </c:pt>
                <c:pt idx="1">
                  <c:v>29.62247553045</c:v>
                </c:pt>
                <c:pt idx="2">
                  <c:v>29.2815591584387</c:v>
                </c:pt>
                <c:pt idx="3">
                  <c:v>28.9425778013942</c:v>
                </c:pt>
                <c:pt idx="4">
                  <c:v>28.6055665947671</c:v>
                </c:pt>
                <c:pt idx="5">
                  <c:v>28.2705594989905</c:v>
                </c:pt>
                <c:pt idx="6">
                  <c:v>27.9375891857734</c:v>
                </c:pt>
                <c:pt idx="7">
                  <c:v>27.6066869257609</c:v>
                </c:pt>
                <c:pt idx="8">
                  <c:v>27.2778824783154</c:v>
                </c:pt>
                <c:pt idx="9">
                  <c:v>26.9512039841831</c:v>
                </c:pt>
                <c:pt idx="10">
                  <c:v>26.6266778618232</c:v>
                </c:pt>
                <c:pt idx="11">
                  <c:v>26.3043287081718</c:v>
                </c:pt>
                <c:pt idx="12">
                  <c:v>25.9841792046028</c:v>
                </c:pt>
                <c:pt idx="13">
                  <c:v>25.666250028829</c:v>
                </c:pt>
                <c:pt idx="14">
                  <c:v>25.3505597734539</c:v>
                </c:pt>
                <c:pt idx="15">
                  <c:v>25.0371248718489</c:v>
                </c:pt>
                <c:pt idx="16">
                  <c:v>24.7259595319804</c:v>
                </c:pt>
                <c:pt idx="17">
                  <c:v>24.4170756787521</c:v>
                </c:pt>
                <c:pt idx="18">
                  <c:v>24.110482905366</c:v>
                </c:pt>
                <c:pt idx="19">
                  <c:v>23.8061884341301</c:v>
                </c:pt>
                <c:pt idx="20">
                  <c:v>23.5041970870623</c:v>
                </c:pt>
                <c:pt idx="21">
                  <c:v>23.2045112665553</c:v>
                </c:pt>
                <c:pt idx="22">
                  <c:v>22.9071309462795</c:v>
                </c:pt>
                <c:pt idx="23">
                  <c:v>22.6120536724091</c:v>
                </c:pt>
                <c:pt idx="24">
                  <c:v>22.3192745751641</c:v>
                </c:pt>
                <c:pt idx="25">
                  <c:v>22.028786390568</c:v>
                </c:pt>
                <c:pt idx="26">
                  <c:v>21.7405794922324</c:v>
                </c:pt>
                <c:pt idx="27">
                  <c:v>21.454641932888</c:v>
                </c:pt>
                <c:pt idx="28">
                  <c:v>21.1709594953022</c:v>
                </c:pt>
                <c:pt idx="29">
                  <c:v>20.8895157521411</c:v>
                </c:pt>
                <c:pt idx="30">
                  <c:v>20.6102921342658</c:v>
                </c:pt>
                <c:pt idx="31">
                  <c:v>20.3332680068854</c:v>
                </c:pt>
                <c:pt idx="32">
                  <c:v>20.0584207529361</c:v>
                </c:pt>
                <c:pt idx="33">
                  <c:v>19.7857258630066</c:v>
                </c:pt>
                <c:pt idx="34">
                  <c:v>19.5151570310941</c:v>
                </c:pt>
                <c:pt idx="35">
                  <c:v>19.2466862554449</c:v>
                </c:pt>
                <c:pt idx="36">
                  <c:v>18.9802839437179</c:v>
                </c:pt>
                <c:pt idx="37">
                  <c:v>18.7159190216973</c:v>
                </c:pt>
                <c:pt idx="38">
                  <c:v>18.4535590447826</c:v>
                </c:pt>
                <c:pt idx="39">
                  <c:v>18.1931703114919</c:v>
                </c:pt>
                <c:pt idx="40">
                  <c:v>17.9347179782316</c:v>
                </c:pt>
                <c:pt idx="41">
                  <c:v>17.6781661746106</c:v>
                </c:pt>
                <c:pt idx="42">
                  <c:v>17.4234781186053</c:v>
                </c:pt>
                <c:pt idx="43">
                  <c:v>17.1706162309225</c:v>
                </c:pt>
                <c:pt idx="44">
                  <c:v>16.9195422479448</c:v>
                </c:pt>
                <c:pt idx="45">
                  <c:v>16.6702173326928</c:v>
                </c:pt>
                <c:pt idx="46">
                  <c:v>16.4226021832824</c:v>
                </c:pt>
                <c:pt idx="47">
                  <c:v>16.1766571384113</c:v>
                </c:pt>
                <c:pt idx="48">
                  <c:v>15.9323422794594</c:v>
                </c:pt>
                <c:pt idx="49">
                  <c:v>15.689617528838</c:v>
                </c:pt>
                <c:pt idx="50">
                  <c:v>15.4484427442808</c:v>
                </c:pt>
                <c:pt idx="51">
                  <c:v>15.2087778088178</c:v>
                </c:pt>
                <c:pt idx="52">
                  <c:v>14.9705827162252</c:v>
                </c:pt>
                <c:pt idx="53">
                  <c:v>14.7338176517925</c:v>
                </c:pt>
                <c:pt idx="54">
                  <c:v>14.4984430682962</c:v>
                </c:pt>
                <c:pt idx="55">
                  <c:v>14.2644197571099</c:v>
                </c:pt>
                <c:pt idx="56">
                  <c:v>14.0317089144249</c:v>
                </c:pt>
                <c:pt idx="57">
                  <c:v>13.8002722025887</c:v>
                </c:pt>
                <c:pt idx="58">
                  <c:v>13.5700718066075</c:v>
                </c:pt>
                <c:pt idx="59">
                  <c:v>13.3410704858854</c:v>
                </c:pt>
                <c:pt idx="60">
                  <c:v>13.1132316213026</c:v>
                </c:pt>
                <c:pt idx="61">
                  <c:v>12.8865192577576</c:v>
                </c:pt>
                <c:pt idx="62">
                  <c:v>12.6608981423212</c:v>
                </c:pt>
                <c:pt idx="63">
                  <c:v>12.4363337581626</c:v>
                </c:pt>
                <c:pt idx="64">
                  <c:v>12.2127923544291</c:v>
                </c:pt>
                <c:pt idx="65">
                  <c:v>11.9902409722661</c:v>
                </c:pt>
                <c:pt idx="66">
                  <c:v>11.7686474671772</c:v>
                </c:pt>
                <c:pt idx="67">
                  <c:v>11.5479805279278</c:v>
                </c:pt>
                <c:pt idx="68">
                  <c:v>11.3282096922021</c:v>
                </c:pt>
                <c:pt idx="69">
                  <c:v>11.1093053592237</c:v>
                </c:pt>
                <c:pt idx="70">
                  <c:v>10.8912387995508</c:v>
                </c:pt>
                <c:pt idx="71">
                  <c:v>10.6739821622559</c:v>
                </c:pt>
                <c:pt idx="72">
                  <c:v>10.4575084796969</c:v>
                </c:pt>
                <c:pt idx="73">
                  <c:v>10.2417916700827</c:v>
                </c:pt>
                <c:pt idx="74">
                  <c:v>10.0268065380309</c:v>
                </c:pt>
                <c:pt idx="75">
                  <c:v>9.81252877330887</c:v>
                </c:pt>
                <c:pt idx="76">
                  <c:v>9.59893494794541</c:v>
                </c:pt>
                <c:pt idx="77">
                  <c:v>9.38600251188888</c:v>
                </c:pt>
                <c:pt idx="78">
                  <c:v>9.17370978738378</c:v>
                </c:pt>
                <c:pt idx="79">
                  <c:v>8.96203596222768</c:v>
                </c:pt>
                <c:pt idx="80">
                  <c:v>8.75096108206306</c:v>
                </c:pt>
                <c:pt idx="81">
                  <c:v>8.54046604185047</c:v>
                </c:pt>
                <c:pt idx="82">
                  <c:v>8.33053257666014</c:v>
                </c:pt>
                <c:pt idx="83">
                  <c:v>8.1211432519132</c:v>
                </c:pt>
                <c:pt idx="84">
                  <c:v>7.91228145319242</c:v>
                </c:pt>
                <c:pt idx="85">
                  <c:v>7.70393137573748</c:v>
                </c:pt>
                <c:pt idx="86">
                  <c:v>7.49607801373019</c:v>
                </c:pt>
                <c:pt idx="87">
                  <c:v>7.28870714946816</c:v>
                </c:pt>
                <c:pt idx="88">
                  <c:v>7.08180534251815</c:v>
                </c:pt>
                <c:pt idx="89">
                  <c:v>6.87535991893367</c:v>
                </c:pt>
                <c:pt idx="90">
                  <c:v>6.66935896061465</c:v>
                </c:pt>
                <c:pt idx="91">
                  <c:v>6.46379129487999</c:v>
                </c:pt>
                <c:pt idx="92">
                  <c:v>6.25864648431891</c:v>
                </c:pt>
                <c:pt idx="93">
                  <c:v>6.05391481698093</c:v>
                </c:pt>
                <c:pt idx="94">
                  <c:v>5.84958729695848</c:v>
                </c:pt>
                <c:pt idx="95">
                  <c:v>5.64565563541149</c:v>
                </c:pt>
                <c:pt idx="96">
                  <c:v>5.44211224207855</c:v>
                </c:pt>
                <c:pt idx="97">
                  <c:v>5.23895021731467</c:v>
                </c:pt>
                <c:pt idx="98">
                  <c:v>5.03616334469125</c:v>
                </c:pt>
                <c:pt idx="99">
                  <c:v>4.83374608419004</c:v>
                </c:pt>
                <c:pt idx="100">
                  <c:v>4.63169356601898</c:v>
                </c:pt>
                <c:pt idx="101">
                  <c:v>4.43000158507454</c:v>
                </c:pt>
                <c:pt idx="102">
                  <c:v>4.22866659607149</c:v>
                </c:pt>
                <c:pt idx="103">
                  <c:v>4.02768570935774</c:v>
                </c:pt>
                <c:pt idx="104">
                  <c:v>3.82705668742952</c:v>
                </c:pt>
                <c:pt idx="105">
                  <c:v>3.6267779421582</c:v>
                </c:pt>
                <c:pt idx="106">
                  <c:v>3.42684853273825</c:v>
                </c:pt>
                <c:pt idx="107">
                  <c:v>3.22726816436262</c:v>
                </c:pt>
                <c:pt idx="108">
                  <c:v>3.02803718762874</c:v>
                </c:pt>
                <c:pt idx="109">
                  <c:v>2.82915659867661</c:v>
                </c:pt>
                <c:pt idx="110">
                  <c:v>2.63062804005767</c:v>
                </c:pt>
                <c:pt idx="111">
                  <c:v>2.43245380232888</c:v>
                </c:pt>
                <c:pt idx="112">
                  <c:v>2.23463682636671</c:v>
                </c:pt>
                <c:pt idx="113">
                  <c:v>2.03718070639048</c:v>
                </c:pt>
                <c:pt idx="114">
                  <c:v>1.84008969368312</c:v>
                </c:pt>
                <c:pt idx="115">
                  <c:v>1.64336870099304</c:v>
                </c:pt>
                <c:pt idx="116">
                  <c:v>1.44702330760082</c:v>
                </c:pt>
                <c:pt idx="117">
                  <c:v>1.25105976502729</c:v>
                </c:pt>
                <c:pt idx="118">
                  <c:v>1.05548500335919</c:v>
                </c:pt>
                <c:pt idx="119">
                  <c:v>0.860306638164506</c:v>
                </c:pt>
                <c:pt idx="120">
                  <c:v>0.665532977964956</c:v>
                </c:pt>
                <c:pt idx="121">
                  <c:v>0.471173032229912</c:v>
                </c:pt>
                <c:pt idx="122">
                  <c:v>0.27723651985281</c:v>
                </c:pt>
                <c:pt idx="123">
                  <c:v>0.0837338780643523</c:v>
                </c:pt>
                <c:pt idx="124">
                  <c:v>-0.109323728265502</c:v>
                </c:pt>
                <c:pt idx="125">
                  <c:v>-0.301924396990903</c:v>
                </c:pt>
                <c:pt idx="126">
                  <c:v>-0.494055478777856</c:v>
                </c:pt>
                <c:pt idx="127">
                  <c:v>-0.685703566980718</c:v>
                </c:pt>
                <c:pt idx="128">
                  <c:v>-0.876854487378688</c:v>
                </c:pt>
                <c:pt idx="129">
                  <c:v>-1.06749328784748</c:v>
                </c:pt>
                <c:pt idx="130">
                  <c:v>-1.25760422804988</c:v>
                </c:pt>
                <c:pt idx="131">
                  <c:v>-1.44717076923517</c:v>
                </c:pt>
                <c:pt idx="132">
                  <c:v>-1.63617556424263</c:v>
                </c:pt>
                <c:pt idx="133">
                  <c:v>-1.82460044781438</c:v>
                </c:pt>
                <c:pt idx="134">
                  <c:v>-2.01242642732754</c:v>
                </c:pt>
                <c:pt idx="135">
                  <c:v>-2.19963367406532</c:v>
                </c:pt>
                <c:pt idx="136">
                  <c:v>-2.38620151515366</c:v>
                </c:pt>
                <c:pt idx="137">
                  <c:v>-2.5721084262972</c:v>
                </c:pt>
                <c:pt idx="138">
                  <c:v>-2.75733202545794</c:v>
                </c:pt>
                <c:pt idx="139">
                  <c:v>-2.94184906762662</c:v>
                </c:pt>
                <c:pt idx="140">
                  <c:v>-3.12563544084486</c:v>
                </c:pt>
                <c:pt idx="141">
                  <c:v>-3.30866616364435</c:v>
                </c:pt>
                <c:pt idx="142">
                  <c:v>-3.49091538407546</c:v>
                </c:pt>
                <c:pt idx="143">
                  <c:v>-3.67235638050604</c:v>
                </c:pt>
                <c:pt idx="144">
                  <c:v>-3.8529615643765</c:v>
                </c:pt>
                <c:pt idx="145">
                  <c:v>-4.03270248510324</c:v>
                </c:pt>
                <c:pt idx="146">
                  <c:v>-4.21154983732661</c:v>
                </c:pt>
                <c:pt idx="147">
                  <c:v>-4.38947347070582</c:v>
                </c:pt>
                <c:pt idx="148">
                  <c:v>-4.56644240246235</c:v>
                </c:pt>
                <c:pt idx="149">
                  <c:v>-4.74242483287679</c:v>
                </c:pt>
                <c:pt idx="150">
                  <c:v>-4.9173881639452</c:v>
                </c:pt>
                <c:pt idx="151">
                  <c:v>-5.0912990213943</c:v>
                </c:pt>
                <c:pt idx="152">
                  <c:v>-5.26412328025715</c:v>
                </c:pt>
                <c:pt idx="153">
                  <c:v>-5.43582609419844</c:v>
                </c:pt>
                <c:pt idx="154">
                  <c:v>-5.60637192877582</c:v>
                </c:pt>
                <c:pt idx="155">
                  <c:v>-5.77572459880783</c:v>
                </c:pt>
                <c:pt idx="156">
                  <c:v>-5.94384731000836</c:v>
                </c:pt>
                <c:pt idx="157">
                  <c:v>-6.11070270502966</c:v>
                </c:pt>
                <c:pt idx="158">
                  <c:v>-6.27625291403638</c:v>
                </c:pt>
                <c:pt idx="159">
                  <c:v>-6.44045960990954</c:v>
                </c:pt>
                <c:pt idx="160">
                  <c:v>-6.60328406815493</c:v>
                </c:pt>
                <c:pt idx="161">
                  <c:v>-6.76468723155933</c:v>
                </c:pt>
                <c:pt idx="162">
                  <c:v>-6.92462977960569</c:v>
                </c:pt>
                <c:pt idx="163">
                  <c:v>-7.0830722026235</c:v>
                </c:pt>
                <c:pt idx="164">
                  <c:v>-7.2399748806106</c:v>
                </c:pt>
                <c:pt idx="165">
                  <c:v>-7.39529816662091</c:v>
                </c:pt>
                <c:pt idx="166">
                  <c:v>-7.54900247456909</c:v>
                </c:pt>
                <c:pt idx="167">
                  <c:v>-7.70104837125549</c:v>
                </c:pt>
                <c:pt idx="168">
                  <c:v>-7.85139667236616</c:v>
                </c:pt>
                <c:pt idx="169">
                  <c:v>-8.00000854215355</c:v>
                </c:pt>
                <c:pt idx="170">
                  <c:v>-8.14684559645176</c:v>
                </c:pt>
                <c:pt idx="171">
                  <c:v>-8.29187000862984</c:v>
                </c:pt>
                <c:pt idx="172">
                  <c:v>-8.43504461803542</c:v>
                </c:pt>
                <c:pt idx="173">
                  <c:v>-8.57633304043309</c:v>
                </c:pt>
                <c:pt idx="174">
                  <c:v>-8.71569977989261</c:v>
                </c:pt>
                <c:pt idx="175">
                  <c:v>-8.85311034154018</c:v>
                </c:pt>
                <c:pt idx="176">
                  <c:v>-8.98853134454346</c:v>
                </c:pt>
                <c:pt idx="177">
                  <c:v>-9.12193063466645</c:v>
                </c:pt>
                <c:pt idx="178">
                  <c:v>-9.25327739569942</c:v>
                </c:pt>
                <c:pt idx="179">
                  <c:v>-9.38254225904491</c:v>
                </c:pt>
                <c:pt idx="180">
                  <c:v>-9.50969741072416</c:v>
                </c:pt>
                <c:pt idx="181">
                  <c:v>-9.6347166950582</c:v>
                </c:pt>
                <c:pt idx="182">
                  <c:v>-9.75757571427769</c:v>
                </c:pt>
                <c:pt idx="183">
                  <c:v>-9.87825192332227</c:v>
                </c:pt>
                <c:pt idx="184">
                  <c:v>-9.99672471910719</c:v>
                </c:pt>
                <c:pt idx="185">
                  <c:v>-10.112975523561</c:v>
                </c:pt>
                <c:pt idx="186">
                  <c:v>-10.2269878597722</c:v>
                </c:pt>
                <c:pt idx="187">
                  <c:v>-10.338747420628</c:v>
                </c:pt>
                <c:pt idx="188">
                  <c:v>-10.4482421293788</c:v>
                </c:pt>
                <c:pt idx="189">
                  <c:v>-10.5554621916246</c:v>
                </c:pt>
                <c:pt idx="190">
                  <c:v>-10.6604001382857</c:v>
                </c:pt>
                <c:pt idx="191">
                  <c:v>-10.7630508591963</c:v>
                </c:pt>
                <c:pt idx="192">
                  <c:v>-10.8634116270362</c:v>
                </c:pt>
                <c:pt idx="193">
                  <c:v>-10.9614821114031</c:v>
                </c:pt>
                <c:pt idx="194">
                  <c:v>-11.0572643829139</c:v>
                </c:pt>
                <c:pt idx="195">
                  <c:v>-11.1507629073106</c:v>
                </c:pt>
                <c:pt idx="196">
                  <c:v>-11.2419845296386</c:v>
                </c:pt>
                <c:pt idx="197">
                  <c:v>-11.3309384486506</c:v>
                </c:pt>
                <c:pt idx="198">
                  <c:v>-11.4176361816773</c:v>
                </c:pt>
                <c:pt idx="199">
                  <c:v>-11.5020915202875</c:v>
                </c:pt>
                <c:pt idx="200">
                  <c:v>-11.5843204771377</c:v>
                </c:pt>
                <c:pt idx="201">
                  <c:v>-11.664341224484</c:v>
                </c:pt>
                <c:pt idx="202">
                  <c:v>-11.7421740248919</c:v>
                </c:pt>
                <c:pt idx="203">
                  <c:v>-11.8178411547404</c:v>
                </c:pt>
                <c:pt idx="204">
                  <c:v>-11.8913668211611</c:v>
                </c:pt>
                <c:pt idx="205">
                  <c:v>-11.9627770730975</c:v>
                </c:pt>
                <c:pt idx="206">
                  <c:v>-12.0320997071981</c:v>
                </c:pt>
                <c:pt idx="207">
                  <c:v>-12.0993641692804</c:v>
                </c:pt>
                <c:pt idx="208">
                  <c:v>-12.1646014521149</c:v>
                </c:pt>
                <c:pt idx="209">
                  <c:v>-12.2278439902813</c:v>
                </c:pt>
                <c:pt idx="210">
                  <c:v>-12.2891255528487</c:v>
                </c:pt>
                <c:pt idx="211">
                  <c:v>-12.3484811346125</c:v>
                </c:pt>
                <c:pt idx="212">
                  <c:v>-12.4059468466069</c:v>
                </c:pt>
                <c:pt idx="213">
                  <c:v>-12.461559806581</c:v>
                </c:pt>
                <c:pt idx="214">
                  <c:v>-12.5153580300969</c:v>
                </c:pt>
                <c:pt idx="215">
                  <c:v>-12.5673803228674</c:v>
                </c:pt>
                <c:pt idx="216">
                  <c:v>-12.6176661749122</c:v>
                </c:pt>
                <c:pt idx="217">
                  <c:v>-12.6662556570636</c:v>
                </c:pt>
                <c:pt idx="218">
                  <c:v>-12.7131893203054</c:v>
                </c:pt>
                <c:pt idx="219">
                  <c:v>-12.7585080983817</c:v>
                </c:pt>
                <c:pt idx="220">
                  <c:v>-12.8022532140559</c:v>
                </c:pt>
                <c:pt idx="221">
                  <c:v>-12.8444660893574</c:v>
                </c:pt>
                <c:pt idx="222">
                  <c:v>-12.8851882600952</c:v>
                </c:pt>
                <c:pt idx="223">
                  <c:v>-12.9244612948761</c:v>
                </c:pt>
                <c:pt idx="224">
                  <c:v>-12.9623267188107</c:v>
                </c:pt>
                <c:pt idx="225">
                  <c:v>-12.9988259420512</c:v>
                </c:pt>
                <c:pt idx="226">
                  <c:v>-13.034000193257</c:v>
                </c:pt>
                <c:pt idx="227">
                  <c:v>-13.0678904580491</c:v>
                </c:pt>
                <c:pt idx="228">
                  <c:v>-13.1005374224705</c:v>
                </c:pt>
                <c:pt idx="229">
                  <c:v>-13.1319814214433</c:v>
                </c:pt>
                <c:pt idx="230">
                  <c:v>-13.1622623921765</c:v>
                </c:pt>
                <c:pt idx="231">
                  <c:v>-13.1914198324544</c:v>
                </c:pt>
                <c:pt idx="232">
                  <c:v>-13.2194927637094</c:v>
                </c:pt>
                <c:pt idx="233">
                  <c:v>-13.246519698764</c:v>
                </c:pt>
                <c:pt idx="234">
                  <c:v>-13.2725386141082</c:v>
                </c:pt>
                <c:pt idx="235">
                  <c:v>-13.2975869265614</c:v>
                </c:pt>
                <c:pt idx="236">
                  <c:v>-13.3217014741616</c:v>
                </c:pt>
                <c:pt idx="237">
                  <c:v>-13.3449185011094</c:v>
                </c:pt>
                <c:pt idx="238">
                  <c:v>-13.3672736465916</c:v>
                </c:pt>
                <c:pt idx="239">
                  <c:v>-13.3888019373035</c:v>
                </c:pt>
                <c:pt idx="240">
                  <c:v>-13.4095377834868</c:v>
                </c:pt>
                <c:pt idx="241">
                  <c:v>-13.4295149783</c:v>
                </c:pt>
                <c:pt idx="242">
                  <c:v>-13.4487667003384</c:v>
                </c:pt>
                <c:pt idx="243">
                  <c:v>-13.467325519127</c:v>
                </c:pt>
                <c:pt idx="244">
                  <c:v>-13.4852234034086</c:v>
                </c:pt>
                <c:pt idx="245">
                  <c:v>-13.50249173206</c:v>
                </c:pt>
                <c:pt idx="246">
                  <c:v>-13.5191613074727</c:v>
                </c:pt>
                <c:pt idx="247">
                  <c:v>-13.5352623712425</c:v>
                </c:pt>
                <c:pt idx="248">
                  <c:v>-13.5508246220196</c:v>
                </c:pt>
                <c:pt idx="249">
                  <c:v>-13.565877235381</c:v>
                </c:pt>
                <c:pt idx="250">
                  <c:v>-13.5804488855946</c:v>
                </c:pt>
                <c:pt idx="251">
                  <c:v>-13.5945677691529</c:v>
                </c:pt>
                <c:pt idx="252">
                  <c:v>-13.6082616299664</c:v>
                </c:pt>
                <c:pt idx="253">
                  <c:v>-13.6215577861132</c:v>
                </c:pt>
                <c:pt idx="254">
                  <c:v>-13.6344831580531</c:v>
                </c:pt>
                <c:pt idx="255">
                  <c:v>-13.6470642982244</c:v>
                </c:pt>
                <c:pt idx="256">
                  <c:v>-13.6593274219493</c:v>
                </c:pt>
                <c:pt idx="257">
                  <c:v>-13.6712984395858</c:v>
                </c:pt>
                <c:pt idx="258">
                  <c:v>-13.6830029898714</c:v>
                </c:pt>
                <c:pt idx="259">
                  <c:v>-13.6944664744154</c:v>
                </c:pt>
                <c:pt idx="260">
                  <c:v>-13.7057140933047</c:v>
                </c:pt>
                <c:pt idx="261">
                  <c:v>-13.716770881796</c:v>
                </c:pt>
                <c:pt idx="262">
                  <c:v>-13.7276617480789</c:v>
                </c:pt>
                <c:pt idx="263">
                  <c:v>-13.7384115121004</c:v>
                </c:pt>
                <c:pt idx="264">
                  <c:v>-13.7490449454528</c:v>
                </c:pt>
                <c:pt idx="265">
                  <c:v>-13.759586812332</c:v>
                </c:pt>
                <c:pt idx="266">
                  <c:v>-13.7700619115838</c:v>
                </c:pt>
                <c:pt idx="267">
                  <c:v>-13.7804951198653</c:v>
                </c:pt>
                <c:pt idx="268">
                  <c:v>-13.7909114359515</c:v>
                </c:pt>
                <c:pt idx="269">
                  <c:v>-13.8013360262315</c:v>
                </c:pt>
                <c:pt idx="270">
                  <c:v>-13.8117942714417</c:v>
                </c:pt>
                <c:pt idx="271">
                  <c:v>-13.8223118146935</c:v>
                </c:pt>
                <c:pt idx="272">
                  <c:v>-13.8329146108604</c:v>
                </c:pt>
                <c:pt idx="273">
                  <c:v>-13.8436289773979</c:v>
                </c:pt>
                <c:pt idx="274">
                  <c:v>-13.8544816466748</c:v>
                </c:pt>
                <c:pt idx="275">
                  <c:v>-13.8654998199063</c:v>
                </c:pt>
                <c:pt idx="276">
                  <c:v>-13.8767112227837</c:v>
                </c:pt>
                <c:pt idx="277">
                  <c:v>-13.8881441629053</c:v>
                </c:pt>
                <c:pt idx="278">
                  <c:v>-13.8998275891205</c:v>
                </c:pt>
                <c:pt idx="279">
                  <c:v>-13.9117911529077</c:v>
                </c:pt>
                <c:pt idx="280">
                  <c:v>-13.9240652719129</c:v>
                </c:pt>
                <c:pt idx="281">
                  <c:v>-13.936681195788</c:v>
                </c:pt>
                <c:pt idx="282">
                  <c:v>-13.9496710744707</c:v>
                </c:pt>
                <c:pt idx="283">
                  <c:v>-13.9630680290615</c:v>
                </c:pt>
                <c:pt idx="284">
                  <c:v>-13.9769062254577</c:v>
                </c:pt>
                <c:pt idx="285">
                  <c:v>-13.9912209509137</c:v>
                </c:pt>
                <c:pt idx="286">
                  <c:v>-14.0060486937066</c:v>
                </c:pt>
                <c:pt idx="287">
                  <c:v>-14.0214272260899</c:v>
                </c:pt>
                <c:pt idx="288">
                  <c:v>-14.0373956907294</c:v>
                </c:pt>
                <c:pt idx="289">
                  <c:v>-14.0539946908192</c:v>
                </c:pt>
                <c:pt idx="290">
                  <c:v>-14.0712663840829</c:v>
                </c:pt>
                <c:pt idx="291">
                  <c:v>-14.0892545808688</c:v>
                </c:pt>
                <c:pt idx="292">
                  <c:v>-14.108004846551</c:v>
                </c:pt>
                <c:pt idx="293">
                  <c:v>-14.1275646084501</c:v>
                </c:pt>
                <c:pt idx="294">
                  <c:v>-14.1479832674835</c:v>
                </c:pt>
                <c:pt idx="295">
                  <c:v>-14.169312314753</c:v>
                </c:pt>
                <c:pt idx="296">
                  <c:v>-14.1916054532644</c:v>
                </c:pt>
                <c:pt idx="297">
                  <c:v>-14.2149187249618</c:v>
                </c:pt>
                <c:pt idx="298">
                  <c:v>-14.2393106432363</c:v>
                </c:pt>
                <c:pt idx="299">
                  <c:v>-14.2648423310372</c:v>
                </c:pt>
                <c:pt idx="300">
                  <c:v>-14.2915776646743</c:v>
                </c:pt>
                <c:pt idx="301">
                  <c:v>-14.3195834233443</c:v>
                </c:pt>
                <c:pt idx="302">
                  <c:v>-14.3489294443401</c:v>
                </c:pt>
                <c:pt idx="303">
                  <c:v>-14.3796887838139</c:v>
                </c:pt>
                <c:pt idx="304">
                  <c:v>-14.4119378828405</c:v>
                </c:pt>
                <c:pt idx="305">
                  <c:v>-14.4457567383804</c:v>
                </c:pt>
                <c:pt idx="306">
                  <c:v>-14.4812290785468</c:v>
                </c:pt>
                <c:pt idx="307">
                  <c:v>-14.5184425413425</c:v>
                </c:pt>
                <c:pt idx="308">
                  <c:v>-14.5574888557263</c:v>
                </c:pt>
                <c:pt idx="309">
                  <c:v>-14.5984640234885</c:v>
                </c:pt>
                <c:pt idx="310">
                  <c:v>-14.6414684999394</c:v>
                </c:pt>
                <c:pt idx="311">
                  <c:v>-14.6866073708185</c:v>
                </c:pt>
                <c:pt idx="312">
                  <c:v>-14.7339905220891</c:v>
                </c:pt>
                <c:pt idx="313">
                  <c:v>-14.7837327983555</c:v>
                </c:pt>
                <c:pt idx="314">
                  <c:v>-14.8359541444842</c:v>
                </c:pt>
                <c:pt idx="315">
                  <c:v>-14.8907797235681</c:v>
                </c:pt>
                <c:pt idx="316">
                  <c:v>-14.9483400025761</c:v>
                </c:pt>
                <c:pt idx="317">
                  <c:v>-15.0087707947873</c:v>
                </c:pt>
                <c:pt idx="318">
                  <c:v>-15.072213245315</c:v>
                </c:pt>
                <c:pt idx="319">
                  <c:v>-15.1388137425348</c:v>
                </c:pt>
                <c:pt idx="320">
                  <c:v>-15.2087237338801</c:v>
                </c:pt>
                <c:pt idx="321">
                  <c:v>-15.2820994190324</c:v>
                </c:pt>
                <c:pt idx="322">
                  <c:v>-15.3591012867495</c:v>
                </c:pt>
                <c:pt idx="323">
                  <c:v>-15.4398934531105</c:v>
                </c:pt>
                <c:pt idx="324">
                  <c:v>-15.5246427483827</c:v>
                </c:pt>
                <c:pt idx="325">
                  <c:v>-15.6135174865497</c:v>
                </c:pt>
                <c:pt idx="326">
                  <c:v>-15.7066858351244</c:v>
                </c:pt>
                <c:pt idx="327">
                  <c:v>-15.8043136824821</c:v>
                </c:pt>
                <c:pt idx="328">
                  <c:v>-15.9065618746715</c:v>
                </c:pt>
                <c:pt idx="329">
                  <c:v>-16.0135826624566</c:v>
                </c:pt>
                <c:pt idx="330">
                  <c:v>-16.1255151610435</c:v>
                </c:pt>
                <c:pt idx="331">
                  <c:v>-16.2424795782946</c:v>
                </c:pt>
                <c:pt idx="332">
                  <c:v>-16.3645699110304</c:v>
                </c:pt>
                <c:pt idx="333">
                  <c:v>-16.4918447423493</c:v>
                </c:pt>
                <c:pt idx="334">
                  <c:v>-16.6243156955078</c:v>
                </c:pt>
                <c:pt idx="335">
                  <c:v>-16.7619330129902</c:v>
                </c:pt>
                <c:pt idx="336">
                  <c:v>-16.9045676366562</c:v>
                </c:pt>
                <c:pt idx="337">
                  <c:v>-17.051989074396</c:v>
                </c:pt>
                <c:pt idx="338">
                  <c:v>-17.2038382657412</c:v>
                </c:pt>
                <c:pt idx="339">
                  <c:v>-17.3595946297236</c:v>
                </c:pt>
                <c:pt idx="340">
                  <c:v>-17.5185365358572</c:v>
                </c:pt>
                <c:pt idx="341">
                  <c:v>-17.6796946497849</c:v>
                </c:pt>
                <c:pt idx="342">
                  <c:v>-17.8417980658748</c:v>
                </c:pt>
                <c:pt idx="343">
                  <c:v>-18.003213982349</c:v>
                </c:pt>
                <c:pt idx="344">
                  <c:v>-18.1618830648575</c:v>
                </c:pt>
                <c:pt idx="345">
                  <c:v>-18.3152547550411</c:v>
                </c:pt>
                <c:pt idx="346">
                  <c:v>-18.4602297337225</c:v>
                </c:pt>
                <c:pt idx="347">
                  <c:v>-18.5931204969528</c:v>
                </c:pt>
                <c:pt idx="348">
                  <c:v>-18.7096451422749</c:v>
                </c:pt>
                <c:pt idx="349">
                  <c:v>-18.804972992417</c:v>
                </c:pt>
                <c:pt idx="350">
                  <c:v>-18.8738418297145</c:v>
                </c:pt>
                <c:pt idx="351">
                  <c:v>-18.9107628327234</c:v>
                </c:pt>
                <c:pt idx="352">
                  <c:v>-18.9103183891256</c:v>
                </c:pt>
                <c:pt idx="353">
                  <c:v>-18.8675389311364</c:v>
                </c:pt>
                <c:pt idx="354">
                  <c:v>-18.778320383053</c:v>
                </c:pt>
                <c:pt idx="355">
                  <c:v>-18.6398208603775</c:v>
                </c:pt>
                <c:pt idx="356">
                  <c:v>-18.4507641210544</c:v>
                </c:pt>
                <c:pt idx="357">
                  <c:v>-18.2115864663711</c:v>
                </c:pt>
                <c:pt idx="358">
                  <c:v>-17.9243942629798</c:v>
                </c:pt>
                <c:pt idx="359">
                  <c:v>-17.5927417577921</c:v>
                </c:pt>
                <c:pt idx="360">
                  <c:v>-17.221277751442</c:v>
                </c:pt>
                <c:pt idx="361">
                  <c:v>-16.8153313036192</c:v>
                </c:pt>
                <c:pt idx="362">
                  <c:v>-16.3805061568894</c:v>
                </c:pt>
                <c:pt idx="363">
                  <c:v>-15.9223359082964</c:v>
                </c:pt>
                <c:pt idx="364">
                  <c:v>-15.4460271451951</c:v>
                </c:pt>
                <c:pt idx="365">
                  <c:v>-14.9562950438001</c:v>
                </c:pt>
                <c:pt idx="366">
                  <c:v>-14.4572804185259</c:v>
                </c:pt>
                <c:pt idx="367">
                  <c:v>-13.9525297357857</c:v>
                </c:pt>
                <c:pt idx="368">
                  <c:v>-13.445018384235</c:v>
                </c:pt>
                <c:pt idx="369">
                  <c:v>-12.937199963241</c:v>
                </c:pt>
                <c:pt idx="370">
                  <c:v>-12.4310683206908</c:v>
                </c:pt>
                <c:pt idx="371">
                  <c:v>-11.9282231190638</c:v>
                </c:pt>
                <c:pt idx="372">
                  <c:v>-11.4299331276201</c:v>
                </c:pt>
                <c:pt idx="373">
                  <c:v>-10.9371940095903</c:v>
                </c:pt>
                <c:pt idx="374">
                  <c:v>-10.4507791431938</c:v>
                </c:pt>
                <c:pt idx="375">
                  <c:v>-9.9712831394922</c:v>
                </c:pt>
                <c:pt idx="376">
                  <c:v>-9.49915837248665</c:v>
                </c:pt>
                <c:pt idx="377">
                  <c:v>-9.03474516903772</c:v>
                </c:pt>
                <c:pt idx="378">
                  <c:v>-8.57829643446355</c:v>
                </c:pt>
                <c:pt idx="379">
                  <c:v>-8.12999749641753</c:v>
                </c:pt>
                <c:pt idx="380">
                  <c:v>-7.6899818896614</c:v>
                </c:pt>
                <c:pt idx="381">
                  <c:v>-7.25834371207319</c:v>
                </c:pt>
                <c:pt idx="382">
                  <c:v>-6.8351470780648</c:v>
                </c:pt>
                <c:pt idx="383">
                  <c:v>-6.42043309062934</c:v>
                </c:pt>
                <c:pt idx="384">
                  <c:v>-6.01422465271686</c:v>
                </c:pt>
                <c:pt idx="385">
                  <c:v>-5.61652934417229</c:v>
                </c:pt>
                <c:pt idx="386">
                  <c:v>-5.22734050155432</c:v>
                </c:pt>
                <c:pt idx="387">
                  <c:v>-4.84663655311764</c:v>
                </c:pt>
                <c:pt idx="388">
                  <c:v>-4.47437857779265</c:v>
                </c:pt>
                <c:pt idx="389">
                  <c:v>-4.11050597267043</c:v>
                </c:pt>
                <c:pt idx="390">
                  <c:v>-3.7549300259394</c:v>
                </c:pt>
                <c:pt idx="391">
                  <c:v>-3.4075250995713</c:v>
                </c:pt>
                <c:pt idx="392">
                  <c:v>-3.06811702749553</c:v>
                </c:pt>
                <c:pt idx="393">
                  <c:v>-2.73646823155632</c:v>
                </c:pt>
                <c:pt idx="394">
                  <c:v>-2.41225895342854</c:v>
                </c:pt>
                <c:pt idx="395">
                  <c:v>-2.09506390532896</c:v>
                </c:pt>
                <c:pt idx="396">
                  <c:v>-1.78432357354554</c:v>
                </c:pt>
                <c:pt idx="397">
                  <c:v>-1.47930939700094</c:v>
                </c:pt>
                <c:pt idx="398">
                  <c:v>-1.17908213728067</c:v>
                </c:pt>
                <c:pt idx="399">
                  <c:v>-0.882443031407241</c:v>
                </c:pt>
                <c:pt idx="400">
                  <c:v>-0.587877881044097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"音孔 R_p"</c:f>
              <c:strCache>
                <c:ptCount val="1"/>
                <c:pt idx="0">
                  <c:v>音孔 R_p</c:v>
                </c:pt>
              </c:strCache>
            </c:strRef>
          </c:tx>
          <c:spPr>
            <a:solidFill>
              <a:srgbClr val="2a78d6"/>
            </a:solidFill>
            <a:ln w="151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Spectrum!$AC$9:$AC$409</c:f>
              <c:numCache>
                <c:formatCode>0.00</c:formatCode>
                <c:ptCount val="401"/>
                <c:pt idx="0">
                  <c:v>-25.0054746463382</c:v>
                </c:pt>
                <c:pt idx="1">
                  <c:v>-25.0053746073128</c:v>
                </c:pt>
                <c:pt idx="2">
                  <c:v>-25.0052722428501</c:v>
                </c:pt>
                <c:pt idx="3">
                  <c:v>-25.0051674990078</c:v>
                </c:pt>
                <c:pt idx="4">
                  <c:v>-25.0050603205982</c:v>
                </c:pt>
                <c:pt idx="5">
                  <c:v>-25.0049506511588</c:v>
                </c:pt>
                <c:pt idx="6">
                  <c:v>-25.0048384329235</c:v>
                </c:pt>
                <c:pt idx="7">
                  <c:v>-25.0047236067928</c:v>
                </c:pt>
                <c:pt idx="8">
                  <c:v>-25.0046061123034</c:v>
                </c:pt>
                <c:pt idx="9">
                  <c:v>-25.0044858875966</c:v>
                </c:pt>
                <c:pt idx="10">
                  <c:v>-25.0043628693869</c:v>
                </c:pt>
                <c:pt idx="11">
                  <c:v>-25.0042369929293</c:v>
                </c:pt>
                <c:pt idx="12">
                  <c:v>-25.0041081919856</c:v>
                </c:pt>
                <c:pt idx="13">
                  <c:v>-25.0039763987909</c:v>
                </c:pt>
                <c:pt idx="14">
                  <c:v>-25.0038415440184</c:v>
                </c:pt>
                <c:pt idx="15">
                  <c:v>-25.0037035567439</c:v>
                </c:pt>
                <c:pt idx="16">
                  <c:v>-25.0035623644095</c:v>
                </c:pt>
                <c:pt idx="17">
                  <c:v>-25.0034178927863</c:v>
                </c:pt>
                <c:pt idx="18">
                  <c:v>-25.0032700659365</c:v>
                </c:pt>
                <c:pt idx="19">
                  <c:v>-25.0031188061741</c:v>
                </c:pt>
                <c:pt idx="20">
                  <c:v>-25.002964034026</c:v>
                </c:pt>
                <c:pt idx="21">
                  <c:v>-25.0028056681903</c:v>
                </c:pt>
                <c:pt idx="22">
                  <c:v>-25.002643625496</c:v>
                </c:pt>
                <c:pt idx="23">
                  <c:v>-25.0024778208594</c:v>
                </c:pt>
                <c:pt idx="24">
                  <c:v>-25.0023081672416</c:v>
                </c:pt>
                <c:pt idx="25">
                  <c:v>-25.0021345756037</c:v>
                </c:pt>
                <c:pt idx="26">
                  <c:v>-25.0019569548619</c:v>
                </c:pt>
                <c:pt idx="27">
                  <c:v>-25.0017752118408</c:v>
                </c:pt>
                <c:pt idx="28">
                  <c:v>-25.0015892512263</c:v>
                </c:pt>
                <c:pt idx="29">
                  <c:v>-25.0013989755172</c:v>
                </c:pt>
                <c:pt idx="30">
                  <c:v>-25.0012042849759</c:v>
                </c:pt>
                <c:pt idx="31">
                  <c:v>-25.001005077578</c:v>
                </c:pt>
                <c:pt idx="32">
                  <c:v>-25.0008012489604</c:v>
                </c:pt>
                <c:pt idx="33">
                  <c:v>-25.0005926923688</c:v>
                </c:pt>
                <c:pt idx="34">
                  <c:v>-25.0003792986041</c:v>
                </c:pt>
                <c:pt idx="35">
                  <c:v>-25.0001609559667</c:v>
                </c:pt>
                <c:pt idx="36">
                  <c:v>-24.9999375502012</c:v>
                </c:pt>
                <c:pt idx="37">
                  <c:v>-24.9997089644381</c:v>
                </c:pt>
                <c:pt idx="38">
                  <c:v>-24.999475079136</c:v>
                </c:pt>
                <c:pt idx="39">
                  <c:v>-24.9992357720208</c:v>
                </c:pt>
                <c:pt idx="40">
                  <c:v>-24.9989909180252</c:v>
                </c:pt>
                <c:pt idx="41">
                  <c:v>-24.9987403892258</c:v>
                </c:pt>
                <c:pt idx="42">
                  <c:v>-24.9984840547796</c:v>
                </c:pt>
                <c:pt idx="43">
                  <c:v>-24.998221780858</c:v>
                </c:pt>
                <c:pt idx="44">
                  <c:v>-24.9979534305814</c:v>
                </c:pt>
                <c:pt idx="45">
                  <c:v>-24.9976788639498</c:v>
                </c:pt>
                <c:pt idx="46">
                  <c:v>-24.9973979377745</c:v>
                </c:pt>
                <c:pt idx="47">
                  <c:v>-24.9971105056066</c:v>
                </c:pt>
                <c:pt idx="48">
                  <c:v>-24.9968164176643</c:v>
                </c:pt>
                <c:pt idx="49">
                  <c:v>-24.9965155207597</c:v>
                </c:pt>
                <c:pt idx="50">
                  <c:v>-24.9962076582226</c:v>
                </c:pt>
                <c:pt idx="51">
                  <c:v>-24.9958926698237</c:v>
                </c:pt>
                <c:pt idx="52">
                  <c:v>-24.9955703916957</c:v>
                </c:pt>
                <c:pt idx="53">
                  <c:v>-24.9952406562532</c:v>
                </c:pt>
                <c:pt idx="54">
                  <c:v>-24.9949032921105</c:v>
                </c:pt>
                <c:pt idx="55">
                  <c:v>-24.994558123998</c:v>
                </c:pt>
                <c:pt idx="56">
                  <c:v>-24.9942049726765</c:v>
                </c:pt>
                <c:pt idx="57">
                  <c:v>-24.9938436548502</c:v>
                </c:pt>
                <c:pt idx="58">
                  <c:v>-24.9934739830778</c:v>
                </c:pt>
                <c:pt idx="59">
                  <c:v>-24.9930957656812</c:v>
                </c:pt>
                <c:pt idx="60">
                  <c:v>-24.9927088066534</c:v>
                </c:pt>
                <c:pt idx="61">
                  <c:v>-24.9923129055637</c:v>
                </c:pt>
                <c:pt idx="62">
                  <c:v>-24.991907857461</c:v>
                </c:pt>
                <c:pt idx="63">
                  <c:v>-24.9914934527757</c:v>
                </c:pt>
                <c:pt idx="64">
                  <c:v>-24.9910694772192</c:v>
                </c:pt>
                <c:pt idx="65">
                  <c:v>-24.9906357116815</c:v>
                </c:pt>
                <c:pt idx="66">
                  <c:v>-24.9901919321267</c:v>
                </c:pt>
                <c:pt idx="67">
                  <c:v>-24.9897379094864</c:v>
                </c:pt>
                <c:pt idx="68">
                  <c:v>-24.9892734095513</c:v>
                </c:pt>
                <c:pt idx="69">
                  <c:v>-24.9887981928603</c:v>
                </c:pt>
                <c:pt idx="70">
                  <c:v>-24.9883120145875</c:v>
                </c:pt>
                <c:pt idx="71">
                  <c:v>-24.9878146244272</c:v>
                </c:pt>
                <c:pt idx="72">
                  <c:v>-24.9873057664764</c:v>
                </c:pt>
                <c:pt idx="73">
                  <c:v>-24.9867851791153</c:v>
                </c:pt>
                <c:pt idx="74">
                  <c:v>-24.986252594885</c:v>
                </c:pt>
                <c:pt idx="75">
                  <c:v>-24.9857077403639</c:v>
                </c:pt>
                <c:pt idx="76">
                  <c:v>-24.9851503360404</c:v>
                </c:pt>
                <c:pt idx="77">
                  <c:v>-24.9845800961842</c:v>
                </c:pt>
                <c:pt idx="78">
                  <c:v>-24.9839967287147</c:v>
                </c:pt>
                <c:pt idx="79">
                  <c:v>-24.9833999350674</c:v>
                </c:pt>
                <c:pt idx="80">
                  <c:v>-24.9827894100571</c:v>
                </c:pt>
                <c:pt idx="81">
                  <c:v>-24.9821648417392</c:v>
                </c:pt>
                <c:pt idx="82">
                  <c:v>-24.9815259112683</c:v>
                </c:pt>
                <c:pt idx="83">
                  <c:v>-24.9808722927543</c:v>
                </c:pt>
                <c:pt idx="84">
                  <c:v>-24.9802036531151</c:v>
                </c:pt>
                <c:pt idx="85">
                  <c:v>-24.9795196519283</c:v>
                </c:pt>
                <c:pt idx="86">
                  <c:v>-24.9788199412786</c:v>
                </c:pt>
                <c:pt idx="87">
                  <c:v>-24.9781041656034</c:v>
                </c:pt>
                <c:pt idx="88">
                  <c:v>-24.9773719615358</c:v>
                </c:pt>
                <c:pt idx="89">
                  <c:v>-24.9766229577439</c:v>
                </c:pt>
                <c:pt idx="90">
                  <c:v>-24.9758567747688</c:v>
                </c:pt>
                <c:pt idx="91">
                  <c:v>-24.9750730248584</c:v>
                </c:pt>
                <c:pt idx="92">
                  <c:v>-24.9742713117995</c:v>
                </c:pt>
                <c:pt idx="93">
                  <c:v>-24.9734512307464</c:v>
                </c:pt>
                <c:pt idx="94">
                  <c:v>-24.9726123680468</c:v>
                </c:pt>
                <c:pt idx="95">
                  <c:v>-24.9717543010652</c:v>
                </c:pt>
                <c:pt idx="96">
                  <c:v>-24.9708765980031</c:v>
                </c:pt>
                <c:pt idx="97">
                  <c:v>-24.9699788177163</c:v>
                </c:pt>
                <c:pt idx="98">
                  <c:v>-24.9690605095297</c:v>
                </c:pt>
                <c:pt idx="99">
                  <c:v>-24.9681212130484</c:v>
                </c:pt>
                <c:pt idx="100">
                  <c:v>-24.967160457967</c:v>
                </c:pt>
                <c:pt idx="101">
                  <c:v>-24.966177763875</c:v>
                </c:pt>
                <c:pt idx="102">
                  <c:v>-24.9651726400601</c:v>
                </c:pt>
                <c:pt idx="103">
                  <c:v>-24.9641445853077</c:v>
                </c:pt>
                <c:pt idx="104">
                  <c:v>-24.9630930876984</c:v>
                </c:pt>
                <c:pt idx="105">
                  <c:v>-24.9620176244019</c:v>
                </c:pt>
                <c:pt idx="106">
                  <c:v>-24.9609176614686</c:v>
                </c:pt>
                <c:pt idx="107">
                  <c:v>-24.9597926536176</c:v>
                </c:pt>
                <c:pt idx="108">
                  <c:v>-24.9586420440228</c:v>
                </c:pt>
                <c:pt idx="109">
                  <c:v>-24.9574652640951</c:v>
                </c:pt>
                <c:pt idx="110">
                  <c:v>-24.9562617332624</c:v>
                </c:pt>
                <c:pt idx="111">
                  <c:v>-24.955030858747</c:v>
                </c:pt>
                <c:pt idx="112">
                  <c:v>-24.9537720353395</c:v>
                </c:pt>
                <c:pt idx="113">
                  <c:v>-24.9524846451709</c:v>
                </c:pt>
                <c:pt idx="114">
                  <c:v>-24.9511680574808</c:v>
                </c:pt>
                <c:pt idx="115">
                  <c:v>-24.9498216283845</c:v>
                </c:pt>
                <c:pt idx="116">
                  <c:v>-24.9484447006358</c:v>
                </c:pt>
                <c:pt idx="117">
                  <c:v>-24.9470366033889</c:v>
                </c:pt>
                <c:pt idx="118">
                  <c:v>-24.9455966519567</c:v>
                </c:pt>
                <c:pt idx="119">
                  <c:v>-24.9441241475668</c:v>
                </c:pt>
                <c:pt idx="120">
                  <c:v>-24.9426183771159</c:v>
                </c:pt>
                <c:pt idx="121">
                  <c:v>-24.9410786129211</c:v>
                </c:pt>
                <c:pt idx="122">
                  <c:v>-24.9395041124694</c:v>
                </c:pt>
                <c:pt idx="123">
                  <c:v>-24.9378941181649</c:v>
                </c:pt>
                <c:pt idx="124">
                  <c:v>-24.9362478570745</c:v>
                </c:pt>
                <c:pt idx="125">
                  <c:v>-24.9345645406713</c:v>
                </c:pt>
                <c:pt idx="126">
                  <c:v>-24.932843364576</c:v>
                </c:pt>
                <c:pt idx="127">
                  <c:v>-24.9310835082973</c:v>
                </c:pt>
                <c:pt idx="128">
                  <c:v>-24.9292841349702</c:v>
                </c:pt>
                <c:pt idx="129">
                  <c:v>-24.9274443910932</c:v>
                </c:pt>
                <c:pt idx="130">
                  <c:v>-24.9255634062645</c:v>
                </c:pt>
                <c:pt idx="131">
                  <c:v>-24.9236402929163</c:v>
                </c:pt>
                <c:pt idx="132">
                  <c:v>-24.9216741460492</c:v>
                </c:pt>
                <c:pt idx="133">
                  <c:v>-24.9196640429649</c:v>
                </c:pt>
                <c:pt idx="134">
                  <c:v>-24.9176090429993</c:v>
                </c:pt>
                <c:pt idx="135">
                  <c:v>-24.9155081872543</c:v>
                </c:pt>
                <c:pt idx="136">
                  <c:v>-24.9133604983303</c:v>
                </c:pt>
                <c:pt idx="137">
                  <c:v>-24.9111649800579</c:v>
                </c:pt>
                <c:pt idx="138">
                  <c:v>-24.9089206172309</c:v>
                </c:pt>
                <c:pt idx="139">
                  <c:v>-24.9066263753386</c:v>
                </c:pt>
                <c:pt idx="140">
                  <c:v>-24.9042812003</c:v>
                </c:pt>
                <c:pt idx="141">
                  <c:v>-24.9018840181987</c:v>
                </c:pt>
                <c:pt idx="142">
                  <c:v>-24.8994337350185</c:v>
                </c:pt>
                <c:pt idx="143">
                  <c:v>-24.8969292363818</c:v>
                </c:pt>
                <c:pt idx="144">
                  <c:v>-24.8943693872886</c:v>
                </c:pt>
                <c:pt idx="145">
                  <c:v>-24.8917530318589</c:v>
                </c:pt>
                <c:pt idx="146">
                  <c:v>-24.8890789930769</c:v>
                </c:pt>
                <c:pt idx="147">
                  <c:v>-24.8863460725385</c:v>
                </c:pt>
                <c:pt idx="148">
                  <c:v>-24.8835530502019</c:v>
                </c:pt>
                <c:pt idx="149">
                  <c:v>-24.8806986841419</c:v>
                </c:pt>
                <c:pt idx="150">
                  <c:v>-24.8777817103083</c:v>
                </c:pt>
                <c:pt idx="151">
                  <c:v>-24.8748008422886</c:v>
                </c:pt>
                <c:pt idx="152">
                  <c:v>-24.8717547710759</c:v>
                </c:pt>
                <c:pt idx="153">
                  <c:v>-24.8686421648417</c:v>
                </c:pt>
                <c:pt idx="154">
                  <c:v>-24.8654616687144</c:v>
                </c:pt>
                <c:pt idx="155">
                  <c:v>-24.8622119045649</c:v>
                </c:pt>
                <c:pt idx="156">
                  <c:v>-24.8588914707976</c:v>
                </c:pt>
                <c:pt idx="157">
                  <c:v>-24.8554989421499</c:v>
                </c:pt>
                <c:pt idx="158">
                  <c:v>-24.8520328694983</c:v>
                </c:pt>
                <c:pt idx="159">
                  <c:v>-24.8484917796739</c:v>
                </c:pt>
                <c:pt idx="160">
                  <c:v>-24.8448741752855</c:v>
                </c:pt>
                <c:pt idx="161">
                  <c:v>-24.8411785345532</c:v>
                </c:pt>
                <c:pt idx="162">
                  <c:v>-24.8374033111515</c:v>
                </c:pt>
                <c:pt idx="163">
                  <c:v>-24.8335469340626</c:v>
                </c:pt>
                <c:pt idx="164">
                  <c:v>-24.8296078074418</c:v>
                </c:pt>
                <c:pt idx="165">
                  <c:v>-24.8255843104939</c:v>
                </c:pt>
                <c:pt idx="166">
                  <c:v>-24.8214747973623</c:v>
                </c:pt>
                <c:pt idx="167">
                  <c:v>-24.8172775970318</c:v>
                </c:pt>
                <c:pt idx="168">
                  <c:v>-24.8129910132442</c:v>
                </c:pt>
                <c:pt idx="169">
                  <c:v>-24.8086133244294</c:v>
                </c:pt>
                <c:pt idx="170">
                  <c:v>-24.8041427836512</c:v>
                </c:pt>
                <c:pt idx="171">
                  <c:v>-24.799577618569</c:v>
                </c:pt>
                <c:pt idx="172">
                  <c:v>-24.7949160314164</c:v>
                </c:pt>
                <c:pt idx="173">
                  <c:v>-24.7901561989972</c:v>
                </c:pt>
                <c:pt idx="174">
                  <c:v>-24.7852962726996</c:v>
                </c:pt>
                <c:pt idx="175">
                  <c:v>-24.7803343785293</c:v>
                </c:pt>
                <c:pt idx="176">
                  <c:v>-24.7752686171619</c:v>
                </c:pt>
                <c:pt idx="177">
                  <c:v>-24.7700970640168</c:v>
                </c:pt>
                <c:pt idx="178">
                  <c:v>-24.7648177693516</c:v>
                </c:pt>
                <c:pt idx="179">
                  <c:v>-24.7594287583788</c:v>
                </c:pt>
                <c:pt idx="180">
                  <c:v>-24.7539280314056</c:v>
                </c:pt>
                <c:pt idx="181">
                  <c:v>-24.7483135639972</c:v>
                </c:pt>
                <c:pt idx="182">
                  <c:v>-24.7425833071647</c:v>
                </c:pt>
                <c:pt idx="183">
                  <c:v>-24.7367351875785</c:v>
                </c:pt>
                <c:pt idx="184">
                  <c:v>-24.7307671078074</c:v>
                </c:pt>
                <c:pt idx="185">
                  <c:v>-24.7246769465854</c:v>
                </c:pt>
                <c:pt idx="186">
                  <c:v>-24.7184625591055</c:v>
                </c:pt>
                <c:pt idx="187">
                  <c:v>-24.7121217773423</c:v>
                </c:pt>
                <c:pt idx="188">
                  <c:v>-24.7056524104044</c:v>
                </c:pt>
                <c:pt idx="189">
                  <c:v>-24.6990522449158</c:v>
                </c:pt>
                <c:pt idx="190">
                  <c:v>-24.6923190454297</c:v>
                </c:pt>
                <c:pt idx="191">
                  <c:v>-24.685450554872</c:v>
                </c:pt>
                <c:pt idx="192">
                  <c:v>-24.6784444950192</c:v>
                </c:pt>
                <c:pt idx="193">
                  <c:v>-24.6712985670075</c:v>
                </c:pt>
                <c:pt idx="194">
                  <c:v>-24.6640104518765</c:v>
                </c:pt>
                <c:pt idx="195">
                  <c:v>-24.6565778111475</c:v>
                </c:pt>
                <c:pt idx="196">
                  <c:v>-24.6489982874356</c:v>
                </c:pt>
                <c:pt idx="197">
                  <c:v>-24.6412695050988</c:v>
                </c:pt>
                <c:pt idx="198">
                  <c:v>-24.633389070922</c:v>
                </c:pt>
                <c:pt idx="199">
                  <c:v>-24.6253545748382</c:v>
                </c:pt>
                <c:pt idx="200">
                  <c:v>-24.6171635906866</c:v>
                </c:pt>
                <c:pt idx="201">
                  <c:v>-24.6088136770082</c:v>
                </c:pt>
                <c:pt idx="202">
                  <c:v>-24.600302377879</c:v>
                </c:pt>
                <c:pt idx="203">
                  <c:v>-24.5916272237821</c:v>
                </c:pt>
                <c:pt idx="204">
                  <c:v>-24.5827857325173</c:v>
                </c:pt>
                <c:pt idx="205">
                  <c:v>-24.5737754101498</c:v>
                </c:pt>
                <c:pt idx="206">
                  <c:v>-24.5645937519977</c:v>
                </c:pt>
                <c:pt idx="207">
                  <c:v>-24.5552382436583</c:v>
                </c:pt>
                <c:pt idx="208">
                  <c:v>-24.5457063620731</c:v>
                </c:pt>
                <c:pt idx="209">
                  <c:v>-24.5359955766318</c:v>
                </c:pt>
                <c:pt idx="210">
                  <c:v>-24.5261033503146</c:v>
                </c:pt>
                <c:pt idx="211">
                  <c:v>-24.5160271408734</c:v>
                </c:pt>
                <c:pt idx="212">
                  <c:v>-24.5057644020505</c:v>
                </c:pt>
                <c:pt idx="213">
                  <c:v>-24.4953125848357</c:v>
                </c:pt>
                <c:pt idx="214">
                  <c:v>-24.4846691387599</c:v>
                </c:pt>
                <c:pt idx="215">
                  <c:v>-24.4738315132261</c:v>
                </c:pt>
                <c:pt idx="216">
                  <c:v>-24.4627971588757</c:v>
                </c:pt>
                <c:pt idx="217">
                  <c:v>-24.4515635289906</c:v>
                </c:pt>
                <c:pt idx="218">
                  <c:v>-24.4401280809295</c:v>
                </c:pt>
                <c:pt idx="219">
                  <c:v>-24.4284882775974</c:v>
                </c:pt>
                <c:pt idx="220">
                  <c:v>-24.4166415889481</c:v>
                </c:pt>
                <c:pt idx="221">
                  <c:v>-24.4045854935173</c:v>
                </c:pt>
                <c:pt idx="222">
                  <c:v>-24.392317479986</c:v>
                </c:pt>
                <c:pt idx="223">
                  <c:v>-24.3798350487723</c:v>
                </c:pt>
                <c:pt idx="224">
                  <c:v>-24.367135713651</c:v>
                </c:pt>
                <c:pt idx="225">
                  <c:v>-24.3542170033978</c:v>
                </c:pt>
                <c:pt idx="226">
                  <c:v>-24.341076463458</c:v>
                </c:pt>
                <c:pt idx="227">
                  <c:v>-24.3277116576377</c:v>
                </c:pt>
                <c:pt idx="228">
                  <c:v>-24.3141201698141</c:v>
                </c:pt>
                <c:pt idx="229">
                  <c:v>-24.3002996056655</c:v>
                </c:pt>
                <c:pt idx="230">
                  <c:v>-24.2862475944163</c:v>
                </c:pt>
                <c:pt idx="231">
                  <c:v>-24.2719617905969</c:v>
                </c:pt>
                <c:pt idx="232">
                  <c:v>-24.2574398758146</c:v>
                </c:pt>
                <c:pt idx="233">
                  <c:v>-24.2426795605349</c:v>
                </c:pt>
                <c:pt idx="234">
                  <c:v>-24.2276785858686</c:v>
                </c:pt>
                <c:pt idx="235">
                  <c:v>-24.2124347253645</c:v>
                </c:pt>
                <c:pt idx="236">
                  <c:v>-24.1969457868029</c:v>
                </c:pt>
                <c:pt idx="237">
                  <c:v>-24.1812096139892</c:v>
                </c:pt>
                <c:pt idx="238">
                  <c:v>-24.1652240885431</c:v>
                </c:pt>
                <c:pt idx="239">
                  <c:v>-24.1489871316821</c:v>
                </c:pt>
                <c:pt idx="240">
                  <c:v>-24.1324967059955</c:v>
                </c:pt>
                <c:pt idx="241">
                  <c:v>-24.1157508172058</c:v>
                </c:pt>
                <c:pt idx="242">
                  <c:v>-24.0987475159161</c:v>
                </c:pt>
                <c:pt idx="243">
                  <c:v>-24.0814848993381</c:v>
                </c:pt>
                <c:pt idx="244">
                  <c:v>-24.0639611130003</c:v>
                </c:pt>
                <c:pt idx="245">
                  <c:v>-24.0461743524309</c:v>
                </c:pt>
                <c:pt idx="246">
                  <c:v>-24.0281228648145</c:v>
                </c:pt>
                <c:pt idx="247">
                  <c:v>-24.0098049506179</c:v>
                </c:pt>
                <c:pt idx="248">
                  <c:v>-23.9912189651833</c:v>
                </c:pt>
                <c:pt idx="249">
                  <c:v>-23.9723633202845</c:v>
                </c:pt>
                <c:pt idx="250">
                  <c:v>-23.9532364856449</c:v>
                </c:pt>
                <c:pt idx="251">
                  <c:v>-23.9338369904122</c:v>
                </c:pt>
                <c:pt idx="252">
                  <c:v>-23.9141634245886</c:v>
                </c:pt>
                <c:pt idx="253">
                  <c:v>-23.8942144404132</c:v>
                </c:pt>
                <c:pt idx="254">
                  <c:v>-23.8739887536933</c:v>
                </c:pt>
                <c:pt idx="255">
                  <c:v>-23.8534851450823</c:v>
                </c:pt>
                <c:pt idx="256">
                  <c:v>-23.8327024613017</c:v>
                </c:pt>
                <c:pt idx="257">
                  <c:v>-23.811639616304</c:v>
                </c:pt>
                <c:pt idx="258">
                  <c:v>-23.7902955923752</c:v>
                </c:pt>
                <c:pt idx="259">
                  <c:v>-23.7686694411734</c:v>
                </c:pt>
                <c:pt idx="260">
                  <c:v>-23.7467602847016</c:v>
                </c:pt>
                <c:pt idx="261">
                  <c:v>-23.7245673162131</c:v>
                </c:pt>
                <c:pt idx="262">
                  <c:v>-23.7020898010473</c:v>
                </c:pt>
                <c:pt idx="263">
                  <c:v>-23.6793270773933</c:v>
                </c:pt>
                <c:pt idx="264">
                  <c:v>-23.6562785569811</c:v>
                </c:pt>
                <c:pt idx="265">
                  <c:v>-23.6329437256976</c:v>
                </c:pt>
                <c:pt idx="266">
                  <c:v>-23.6093221441265</c:v>
                </c:pt>
                <c:pt idx="267">
                  <c:v>-23.5854134480111</c:v>
                </c:pt>
                <c:pt idx="268">
                  <c:v>-23.5612173486384</c:v>
                </c:pt>
                <c:pt idx="269">
                  <c:v>-23.5367336331448</c:v>
                </c:pt>
                <c:pt idx="270">
                  <c:v>-23.5119621647407</c:v>
                </c:pt>
                <c:pt idx="271">
                  <c:v>-23.4869028828561</c:v>
                </c:pt>
                <c:pt idx="272">
                  <c:v>-23.4615558032042</c:v>
                </c:pt>
                <c:pt idx="273">
                  <c:v>-23.4359210177653</c:v>
                </c:pt>
                <c:pt idx="274">
                  <c:v>-23.4099986946888</c:v>
                </c:pt>
                <c:pt idx="275">
                  <c:v>-23.3837890781154</c:v>
                </c:pt>
                <c:pt idx="276">
                  <c:v>-23.357292487919</c:v>
                </c:pt>
                <c:pt idx="277">
                  <c:v>-23.3305093193683</c:v>
                </c:pt>
                <c:pt idx="278">
                  <c:v>-23.3034400427106</c:v>
                </c:pt>
                <c:pt idx="279">
                  <c:v>-23.276085202677</c:v>
                </c:pt>
                <c:pt idx="280">
                  <c:v>-23.2484454179105</c:v>
                </c:pt>
                <c:pt idx="281">
                  <c:v>-23.2205213803194</c:v>
                </c:pt>
                <c:pt idx="282">
                  <c:v>-23.1923138543562</c:v>
                </c:pt>
                <c:pt idx="283">
                  <c:v>-23.1638236762233</c:v>
                </c:pt>
                <c:pt idx="284">
                  <c:v>-23.1350517530091</c:v>
                </c:pt>
                <c:pt idx="285">
                  <c:v>-23.1059990617542</c:v>
                </c:pt>
                <c:pt idx="286">
                  <c:v>-23.0766666484512</c:v>
                </c:pt>
                <c:pt idx="287">
                  <c:v>-23.0470556269796</c:v>
                </c:pt>
                <c:pt idx="288">
                  <c:v>-23.0171671779781</c:v>
                </c:pt>
                <c:pt idx="289">
                  <c:v>-22.9870025476573</c:v>
                </c:pt>
                <c:pt idx="290">
                  <c:v>-22.9565630465539</c:v>
                </c:pt>
                <c:pt idx="291">
                  <c:v>-22.9258500482308</c:v>
                </c:pt>
                <c:pt idx="292">
                  <c:v>-22.8948649879241</c:v>
                </c:pt>
                <c:pt idx="293">
                  <c:v>-22.8636093611412</c:v>
                </c:pt>
                <c:pt idx="294">
                  <c:v>-22.8320847222116</c:v>
                </c:pt>
                <c:pt idx="295">
                  <c:v>-22.8002926827939</c:v>
                </c:pt>
                <c:pt idx="296">
                  <c:v>-22.7682349103417</c:v>
                </c:pt>
                <c:pt idx="297">
                  <c:v>-22.7359131265321</c:v>
                </c:pt>
                <c:pt idx="298">
                  <c:v>-22.7033291056585</c:v>
                </c:pt>
                <c:pt idx="299">
                  <c:v>-22.6704846729918</c:v>
                </c:pt>
                <c:pt idx="300">
                  <c:v>-22.6373817031123</c:v>
                </c:pt>
                <c:pt idx="301">
                  <c:v>-22.6040221182163</c:v>
                </c:pt>
                <c:pt idx="302">
                  <c:v>-22.5704078863991</c:v>
                </c:pt>
                <c:pt idx="303">
                  <c:v>-22.536541019919</c:v>
                </c:pt>
                <c:pt idx="304">
                  <c:v>-22.5024235734435</c:v>
                </c:pt>
                <c:pt idx="305">
                  <c:v>-22.4680576422823</c:v>
                </c:pt>
                <c:pt idx="306">
                  <c:v>-22.4334453606093</c:v>
                </c:pt>
                <c:pt idx="307">
                  <c:v>-22.3985888996762</c:v>
                </c:pt>
                <c:pt idx="308">
                  <c:v>-22.3634904660214</c:v>
                </c:pt>
                <c:pt idx="309">
                  <c:v>-22.3281522996756</c:v>
                </c:pt>
                <c:pt idx="310">
                  <c:v>-22.292576672369</c:v>
                </c:pt>
                <c:pt idx="311">
                  <c:v>-22.2567658857401</c:v>
                </c:pt>
                <c:pt idx="312">
                  <c:v>-22.2207222695506</c:v>
                </c:pt>
                <c:pt idx="313">
                  <c:v>-22.1844481799087</c:v>
                </c:pt>
                <c:pt idx="314">
                  <c:v>-22.1479459975019</c:v>
                </c:pt>
                <c:pt idx="315">
                  <c:v>-22.1112181258431</c:v>
                </c:pt>
                <c:pt idx="316">
                  <c:v>-22.0742669895316</c:v>
                </c:pt>
                <c:pt idx="317">
                  <c:v>-22.037095032531</c:v>
                </c:pt>
                <c:pt idx="318">
                  <c:v>-21.9997047164664</c:v>
                </c:pt>
                <c:pt idx="319">
                  <c:v>-21.9620985189422</c:v>
                </c:pt>
                <c:pt idx="320">
                  <c:v>-21.9242789318837</c:v>
                </c:pt>
                <c:pt idx="321">
                  <c:v>-21.8862484599023</c:v>
                </c:pt>
                <c:pt idx="322">
                  <c:v>-21.8480096186874</c:v>
                </c:pt>
                <c:pt idx="323">
                  <c:v>-21.8095649334262</c:v>
                </c:pt>
                <c:pt idx="324">
                  <c:v>-21.7709169372526</c:v>
                </c:pt>
                <c:pt idx="325">
                  <c:v>-21.7320681697265</c:v>
                </c:pt>
                <c:pt idx="326">
                  <c:v>-21.6930211753445</c:v>
                </c:pt>
                <c:pt idx="327">
                  <c:v>-21.6537785020847</c:v>
                </c:pt>
                <c:pt idx="328">
                  <c:v>-21.6143426999835</c:v>
                </c:pt>
                <c:pt idx="329">
                  <c:v>-21.5747163197487</c:v>
                </c:pt>
                <c:pt idx="330">
                  <c:v>-21.5349019114076</c:v>
                </c:pt>
                <c:pt idx="331">
                  <c:v>-21.4949020229912</c:v>
                </c:pt>
                <c:pt idx="332">
                  <c:v>-21.4547191992555</c:v>
                </c:pt>
                <c:pt idx="333">
                  <c:v>-21.4143559804403</c:v>
                </c:pt>
                <c:pt idx="334">
                  <c:v>-21.373814901066</c:v>
                </c:pt>
                <c:pt idx="335">
                  <c:v>-21.3330984887682</c:v>
                </c:pt>
                <c:pt idx="336">
                  <c:v>-21.2922092631712</c:v>
                </c:pt>
                <c:pt idx="337">
                  <c:v>-21.2511497348003</c:v>
                </c:pt>
                <c:pt idx="338">
                  <c:v>-21.2099224040321</c:v>
                </c:pt>
                <c:pt idx="339">
                  <c:v>-21.168529760085</c:v>
                </c:pt>
                <c:pt idx="340">
                  <c:v>-21.1269742800471</c:v>
                </c:pt>
                <c:pt idx="341">
                  <c:v>-21.085258427944</c:v>
                </c:pt>
                <c:pt idx="342">
                  <c:v>-21.0433846538444</c:v>
                </c:pt>
                <c:pt idx="343">
                  <c:v>-21.001355393004</c:v>
                </c:pt>
                <c:pt idx="344">
                  <c:v>-20.9591730650483</c:v>
                </c:pt>
                <c:pt idx="345">
                  <c:v>-20.916840073192</c:v>
                </c:pt>
                <c:pt idx="346">
                  <c:v>-20.8743588034965</c:v>
                </c:pt>
                <c:pt idx="347">
                  <c:v>-20.8317316241638</c:v>
                </c:pt>
                <c:pt idx="348">
                  <c:v>-20.7889608848671</c:v>
                </c:pt>
                <c:pt idx="349">
                  <c:v>-20.746048916117</c:v>
                </c:pt>
                <c:pt idx="350">
                  <c:v>-20.7029980286633</c:v>
                </c:pt>
                <c:pt idx="351">
                  <c:v>-20.6598105129313</c:v>
                </c:pt>
                <c:pt idx="352">
                  <c:v>-20.6164886384921</c:v>
                </c:pt>
                <c:pt idx="353">
                  <c:v>-20.5730346535665</c:v>
                </c:pt>
                <c:pt idx="354">
                  <c:v>-20.5294507845615</c:v>
                </c:pt>
                <c:pt idx="355">
                  <c:v>-20.4857392356392</c:v>
                </c:pt>
                <c:pt idx="356">
                  <c:v>-20.4419021883161</c:v>
                </c:pt>
                <c:pt idx="357">
                  <c:v>-20.397941801094</c:v>
                </c:pt>
                <c:pt idx="358">
                  <c:v>-20.3538602091199</c:v>
                </c:pt>
                <c:pt idx="359">
                  <c:v>-20.3096595238754</c:v>
                </c:pt>
                <c:pt idx="360">
                  <c:v>-20.2653418328941</c:v>
                </c:pt>
                <c:pt idx="361">
                  <c:v>-20.220909199506</c:v>
                </c:pt>
                <c:pt idx="362">
                  <c:v>-20.1763636626098</c:v>
                </c:pt>
                <c:pt idx="363">
                  <c:v>-20.1317072364695</c:v>
                </c:pt>
                <c:pt idx="364">
                  <c:v>-20.0869419105367</c:v>
                </c:pt>
                <c:pt idx="365">
                  <c:v>-20.0420696492976</c:v>
                </c:pt>
                <c:pt idx="366">
                  <c:v>-19.9970923921424</c:v>
                </c:pt>
                <c:pt idx="367">
                  <c:v>-19.9520120532578</c:v>
                </c:pt>
                <c:pt idx="368">
                  <c:v>-19.9068305215414</c:v>
                </c:pt>
                <c:pt idx="369">
                  <c:v>-19.861549660537</c:v>
                </c:pt>
                <c:pt idx="370">
                  <c:v>-19.8161713083895</c:v>
                </c:pt>
                <c:pt idx="371">
                  <c:v>-19.7706972778203</c:v>
                </c:pt>
                <c:pt idx="372">
                  <c:v>-19.7251293561204</c:v>
                </c:pt>
                <c:pt idx="373">
                  <c:v>-19.6794693051618</c:v>
                </c:pt>
                <c:pt idx="374">
                  <c:v>-19.633718861426</c:v>
                </c:pt>
                <c:pt idx="375">
                  <c:v>-19.5878797360486</c:v>
                </c:pt>
                <c:pt idx="376">
                  <c:v>-19.54195361488</c:v>
                </c:pt>
                <c:pt idx="377">
                  <c:v>-19.4959421585607</c:v>
                </c:pt>
                <c:pt idx="378">
                  <c:v>-19.449847002611</c:v>
                </c:pt>
                <c:pt idx="379">
                  <c:v>-19.4036697575338</c:v>
                </c:pt>
                <c:pt idx="380">
                  <c:v>-19.3574120089311</c:v>
                </c:pt>
                <c:pt idx="381">
                  <c:v>-19.311075317632</c:v>
                </c:pt>
                <c:pt idx="382">
                  <c:v>-19.2646612198324</c:v>
                </c:pt>
                <c:pt idx="383">
                  <c:v>-19.2181712272459</c:v>
                </c:pt>
                <c:pt idx="384">
                  <c:v>-19.1716068272649</c:v>
                </c:pt>
                <c:pt idx="385">
                  <c:v>-19.1249694831313</c:v>
                </c:pt>
                <c:pt idx="386">
                  <c:v>-19.0782606341164</c:v>
                </c:pt>
                <c:pt idx="387">
                  <c:v>-19.0314816957096</c:v>
                </c:pt>
                <c:pt idx="388">
                  <c:v>-18.9846340598149</c:v>
                </c:pt>
                <c:pt idx="389">
                  <c:v>-18.9377190949553</c:v>
                </c:pt>
                <c:pt idx="390">
                  <c:v>-18.8907381464835</c:v>
                </c:pt>
                <c:pt idx="391">
                  <c:v>-18.8436925367999</c:v>
                </c:pt>
                <c:pt idx="392">
                  <c:v>-18.796583565576</c:v>
                </c:pt>
                <c:pt idx="393">
                  <c:v>-18.749412509984</c:v>
                </c:pt>
                <c:pt idx="394">
                  <c:v>-18.702180624931</c:v>
                </c:pt>
                <c:pt idx="395">
                  <c:v>-18.6548891432981</c:v>
                </c:pt>
                <c:pt idx="396">
                  <c:v>-18.6075392761838</c:v>
                </c:pt>
                <c:pt idx="397">
                  <c:v>-18.560132213151</c:v>
                </c:pt>
                <c:pt idx="398">
                  <c:v>-18.5126691224782</c:v>
                </c:pt>
                <c:pt idx="399">
                  <c:v>-18.4651511514129</c:v>
                </c:pt>
                <c:pt idx="400">
                  <c:v>-18.4175794264287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"スクイーズ膜 R_sq"</c:f>
              <c:strCache>
                <c:ptCount val="1"/>
                <c:pt idx="0">
                  <c:v>スクイーズ膜 R_sq</c:v>
                </c:pt>
              </c:strCache>
            </c:strRef>
          </c:tx>
          <c:spPr>
            <a:solidFill>
              <a:srgbClr val="eb6834"/>
            </a:solidFill>
            <a:ln w="151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Spectrum!$AD$9:$AD$409</c:f>
              <c:numCache>
                <c:formatCode>0.00</c:formatCode>
                <c:ptCount val="401"/>
                <c:pt idx="0">
                  <c:v>-8.88121420209508</c:v>
                </c:pt>
                <c:pt idx="1">
                  <c:v>-9.06082737693776</c:v>
                </c:pt>
                <c:pt idx="2">
                  <c:v>-9.2395818285856</c:v>
                </c:pt>
                <c:pt idx="3">
                  <c:v>-9.41744584467529</c:v>
                </c:pt>
                <c:pt idx="4">
                  <c:v>-9.59438692034103</c:v>
                </c:pt>
                <c:pt idx="5">
                  <c:v>-9.77037177074166</c:v>
                </c:pt>
                <c:pt idx="6">
                  <c:v>-9.94536634691421</c:v>
                </c:pt>
                <c:pt idx="7">
                  <c:v>-10.1193358551564</c:v>
                </c:pt>
                <c:pt idx="8">
                  <c:v>-10.2922447801427</c:v>
                </c:pt>
                <c:pt idx="9">
                  <c:v>-10.4640569119667</c:v>
                </c:pt>
                <c:pt idx="10">
                  <c:v>-10.6347353773001</c:v>
                </c:pt>
                <c:pt idx="11">
                  <c:v>-10.8042426748429</c:v>
                </c:pt>
                <c:pt idx="12">
                  <c:v>-10.9725407152283</c:v>
                </c:pt>
                <c:pt idx="13">
                  <c:v>-11.139590865529</c:v>
                </c:pt>
                <c:pt idx="14">
                  <c:v>-11.3053539984906</c:v>
                </c:pt>
                <c:pt idx="15">
                  <c:v>-11.469790546595</c:v>
                </c:pt>
                <c:pt idx="16">
                  <c:v>-11.6328605610303</c:v>
                </c:pt>
                <c:pt idx="17">
                  <c:v>-11.7945237756139</c:v>
                </c:pt>
                <c:pt idx="18">
                  <c:v>-11.9547396756814</c:v>
                </c:pt>
                <c:pt idx="19">
                  <c:v>-12.1134675719173</c:v>
                </c:pt>
                <c:pt idx="20">
                  <c:v>-12.2706666790643</c:v>
                </c:pt>
                <c:pt idx="21">
                  <c:v>-12.4262961994033</c:v>
                </c:pt>
                <c:pt idx="22">
                  <c:v>-12.5803154108524</c:v>
                </c:pt>
                <c:pt idx="23">
                  <c:v>-12.7326837594814</c:v>
                </c:pt>
                <c:pt idx="24">
                  <c:v>-12.8833609561939</c:v>
                </c:pt>
                <c:pt idx="25">
                  <c:v>-13.0323070772698</c:v>
                </c:pt>
                <c:pt idx="26">
                  <c:v>-13.1794826684148</c:v>
                </c:pt>
                <c:pt idx="27">
                  <c:v>-13.3248488519063</c:v>
                </c:pt>
                <c:pt idx="28">
                  <c:v>-13.4683674363735</c:v>
                </c:pt>
                <c:pt idx="29">
                  <c:v>-13.6100010287003</c:v>
                </c:pt>
                <c:pt idx="30">
                  <c:v>-13.7497131474863</c:v>
                </c:pt>
                <c:pt idx="31">
                  <c:v>-13.8874683374584</c:v>
                </c:pt>
                <c:pt idx="32">
                  <c:v>-14.0232322841822</c:v>
                </c:pt>
                <c:pt idx="33">
                  <c:v>-14.1569719283824</c:v>
                </c:pt>
                <c:pt idx="34">
                  <c:v>-14.288655579154</c:v>
                </c:pt>
                <c:pt idx="35">
                  <c:v>-14.4182530253167</c:v>
                </c:pt>
                <c:pt idx="36">
                  <c:v>-14.5457356441474</c:v>
                </c:pt>
                <c:pt idx="37">
                  <c:v>-14.6710765067187</c:v>
                </c:pt>
                <c:pt idx="38">
                  <c:v>-14.7942504790655</c:v>
                </c:pt>
                <c:pt idx="39">
                  <c:v>-14.9152343184127</c:v>
                </c:pt>
                <c:pt idx="40">
                  <c:v>-15.0340067637121</c:v>
                </c:pt>
                <c:pt idx="41">
                  <c:v>-15.1505486197645</c:v>
                </c:pt>
                <c:pt idx="42">
                  <c:v>-15.2648428342391</c:v>
                </c:pt>
                <c:pt idx="43">
                  <c:v>-15.3768745669464</c:v>
                </c:pt>
                <c:pt idx="44">
                  <c:v>-15.4866312507779</c:v>
                </c:pt>
                <c:pt idx="45">
                  <c:v>-15.5941026437857</c:v>
                </c:pt>
                <c:pt idx="46">
                  <c:v>-15.6992808719503</c:v>
                </c:pt>
                <c:pt idx="47">
                  <c:v>-15.8021604622569</c:v>
                </c:pt>
                <c:pt idx="48">
                  <c:v>-15.902738365787</c:v>
                </c:pt>
                <c:pt idx="49">
                  <c:v>-16.0010139706201</c:v>
                </c:pt>
                <c:pt idx="50">
                  <c:v>-16.0969891044284</c:v>
                </c:pt>
                <c:pt idx="51">
                  <c:v>-16.190668026741</c:v>
                </c:pt>
                <c:pt idx="52">
                  <c:v>-16.2820574109485</c:v>
                </c:pt>
                <c:pt idx="53">
                  <c:v>-16.371166316208</c:v>
                </c:pt>
                <c:pt idx="54">
                  <c:v>-16.4580061494991</c:v>
                </c:pt>
                <c:pt idx="55">
                  <c:v>-16.5425906181682</c:v>
                </c:pt>
                <c:pt idx="56">
                  <c:v>-16.6249356733754</c:v>
                </c:pt>
                <c:pt idx="57">
                  <c:v>-16.7050594449365</c:v>
                </c:pt>
                <c:pt idx="58">
                  <c:v>-16.7829821681161</c:v>
                </c:pt>
                <c:pt idx="59">
                  <c:v>-16.8587261029894</c:v>
                </c:pt>
                <c:pt idx="60">
                  <c:v>-16.9323154470376</c:v>
                </c:pt>
                <c:pt idx="61">
                  <c:v>-17.003776241687</c:v>
                </c:pt>
                <c:pt idx="62">
                  <c:v>-17.0731362735269</c:v>
                </c:pt>
                <c:pt idx="63">
                  <c:v>-17.1404249709719</c:v>
                </c:pt>
                <c:pt idx="64">
                  <c:v>-17.2056732971373</c:v>
                </c:pt>
                <c:pt idx="65">
                  <c:v>-17.2689136397062</c:v>
                </c:pt>
                <c:pt idx="66">
                  <c:v>-17.3301796985592</c:v>
                </c:pt>
                <c:pt idx="67">
                  <c:v>-17.3895063719207</c:v>
                </c:pt>
                <c:pt idx="68">
                  <c:v>-17.446929641758</c:v>
                </c:pt>
                <c:pt idx="69">
                  <c:v>-17.5024864591388</c:v>
                </c:pt>
                <c:pt idx="70">
                  <c:v>-17.5562146302165</c:v>
                </c:pt>
                <c:pt idx="71">
                  <c:v>-17.6081527034752</c:v>
                </c:pt>
                <c:pt idx="72">
                  <c:v>-17.6583398588203</c:v>
                </c:pt>
                <c:pt idx="73">
                  <c:v>-17.706815799052</c:v>
                </c:pt>
                <c:pt idx="74">
                  <c:v>-17.7536206442114</c:v>
                </c:pt>
                <c:pt idx="75">
                  <c:v>-17.7987948292328</c:v>
                </c:pt>
                <c:pt idx="76">
                  <c:v>-17.842379005287</c:v>
                </c:pt>
                <c:pt idx="77">
                  <c:v>-17.8844139451441</c:v>
                </c:pt>
                <c:pt idx="78">
                  <c:v>-17.9249404528339</c:v>
                </c:pt>
                <c:pt idx="79">
                  <c:v>-17.9639992778297</c:v>
                </c:pt>
                <c:pt idx="80">
                  <c:v>-18.0016310339325</c:v>
                </c:pt>
                <c:pt idx="81">
                  <c:v>-18.0378761229861</c:v>
                </c:pt>
                <c:pt idx="82">
                  <c:v>-18.0727746635065</c:v>
                </c:pt>
                <c:pt idx="83">
                  <c:v>-18.106366424271</c:v>
                </c:pt>
                <c:pt idx="84">
                  <c:v>-18.1386907628714</c:v>
                </c:pt>
                <c:pt idx="85">
                  <c:v>-18.1697865692001</c:v>
                </c:pt>
                <c:pt idx="86">
                  <c:v>-18.1996922138103</c:v>
                </c:pt>
                <c:pt idx="87">
                  <c:v>-18.2284455010567</c:v>
                </c:pt>
                <c:pt idx="88">
                  <c:v>-18.2560836269044</c:v>
                </c:pt>
                <c:pt idx="89">
                  <c:v>-18.2826431412684</c:v>
                </c:pt>
                <c:pt idx="90">
                  <c:v>-18.3081599147284</c:v>
                </c:pt>
                <c:pt idx="91">
                  <c:v>-18.3326691094504</c:v>
                </c:pt>
                <c:pt idx="92">
                  <c:v>-18.3562051541306</c:v>
                </c:pt>
                <c:pt idx="93">
                  <c:v>-18.3788017227715</c:v>
                </c:pt>
                <c:pt idx="94">
                  <c:v>-18.4004917170904</c:v>
                </c:pt>
                <c:pt idx="95">
                  <c:v>-18.4213072523562</c:v>
                </c:pt>
                <c:pt idx="96">
                  <c:v>-18.4412796464499</c:v>
                </c:pt>
                <c:pt idx="97">
                  <c:v>-18.4604394119393</c:v>
                </c:pt>
                <c:pt idx="98">
                  <c:v>-18.4788162509651</c:v>
                </c:pt>
                <c:pt idx="99">
                  <c:v>-18.4964390527328</c:v>
                </c:pt>
                <c:pt idx="100">
                  <c:v>-18.5133358934119</c:v>
                </c:pt>
                <c:pt idx="101">
                  <c:v>-18.5295340382471</c:v>
                </c:pt>
                <c:pt idx="102">
                  <c:v>-18.5450599456943</c:v>
                </c:pt>
                <c:pt idx="103">
                  <c:v>-18.5599392733974</c:v>
                </c:pt>
                <c:pt idx="104">
                  <c:v>-18.5741968858323</c:v>
                </c:pt>
                <c:pt idx="105">
                  <c:v>-18.5878568634499</c:v>
                </c:pt>
                <c:pt idx="106">
                  <c:v>-18.6009425131603</c:v>
                </c:pt>
                <c:pt idx="107">
                  <c:v>-18.6134763800063</c:v>
                </c:pt>
                <c:pt idx="108">
                  <c:v>-18.6254802598831</c:v>
                </c:pt>
                <c:pt idx="109">
                  <c:v>-18.6369752131725</c:v>
                </c:pt>
                <c:pt idx="110">
                  <c:v>-18.647981579163</c:v>
                </c:pt>
                <c:pt idx="111">
                  <c:v>-18.6585189911408</c:v>
                </c:pt>
                <c:pt idx="112">
                  <c:v>-18.6686063920417</c:v>
                </c:pt>
                <c:pt idx="113">
                  <c:v>-18.6782620505624</c:v>
                </c:pt>
                <c:pt idx="114">
                  <c:v>-18.687503577638</c:v>
                </c:pt>
                <c:pt idx="115">
                  <c:v>-18.6963479432004</c:v>
                </c:pt>
                <c:pt idx="116">
                  <c:v>-18.704811493137</c:v>
                </c:pt>
                <c:pt idx="117">
                  <c:v>-18.7129099663791</c:v>
                </c:pt>
                <c:pt idx="118">
                  <c:v>-18.7206585120539</c:v>
                </c:pt>
                <c:pt idx="119">
                  <c:v>-18.7280717066405</c:v>
                </c:pt>
                <c:pt idx="120">
                  <c:v>-18.7351635710767</c:v>
                </c:pt>
                <c:pt idx="121">
                  <c:v>-18.7419475877677</c:v>
                </c:pt>
                <c:pt idx="122">
                  <c:v>-18.7484367174548</c:v>
                </c:pt>
                <c:pt idx="123">
                  <c:v>-18.7546434159046</c:v>
                </c:pt>
                <c:pt idx="124">
                  <c:v>-18.7605796503866</c:v>
                </c:pt>
                <c:pt idx="125">
                  <c:v>-18.7662569159077</c:v>
                </c:pt>
                <c:pt idx="126">
                  <c:v>-18.7716862511796</c:v>
                </c:pt>
                <c:pt idx="127">
                  <c:v>-18.7768782542964</c:v>
                </c:pt>
                <c:pt idx="128">
                  <c:v>-18.781843098103</c:v>
                </c:pt>
                <c:pt idx="129">
                  <c:v>-18.7865905452395</c:v>
                </c:pt>
                <c:pt idx="130">
                  <c:v>-18.791129962848</c:v>
                </c:pt>
                <c:pt idx="131">
                  <c:v>-18.7954703369313</c:v>
                </c:pt>
                <c:pt idx="132">
                  <c:v>-18.7996202863555</c:v>
                </c:pt>
                <c:pt idx="133">
                  <c:v>-18.8035880764904</c:v>
                </c:pt>
                <c:pt idx="134">
                  <c:v>-18.8073816324836</c:v>
                </c:pt>
                <c:pt idx="135">
                  <c:v>-18.8110085521652</c:v>
                </c:pt>
                <c:pt idx="136">
                  <c:v>-18.8144761185833</c:v>
                </c:pt>
                <c:pt idx="137">
                  <c:v>-18.8177913121694</c:v>
                </c:pt>
                <c:pt idx="138">
                  <c:v>-18.820960822537</c:v>
                </c:pt>
                <c:pt idx="139">
                  <c:v>-18.8239910599135</c:v>
                </c:pt>
                <c:pt idx="140">
                  <c:v>-18.8268881662128</c:v>
                </c:pt>
                <c:pt idx="141">
                  <c:v>-18.8296580257499</c:v>
                </c:pt>
                <c:pt idx="142">
                  <c:v>-18.8323062756038</c:v>
                </c:pt>
                <c:pt idx="143">
                  <c:v>-18.8348383156359</c:v>
                </c:pt>
                <c:pt idx="144">
                  <c:v>-18.8372593181684</c:v>
                </c:pt>
                <c:pt idx="145">
                  <c:v>-18.8395742373309</c:v>
                </c:pt>
                <c:pt idx="146">
                  <c:v>-18.8417878180819</c:v>
                </c:pt>
                <c:pt idx="147">
                  <c:v>-18.8439046049136</c:v>
                </c:pt>
                <c:pt idx="148">
                  <c:v>-18.8459289502466</c:v>
                </c:pt>
                <c:pt idx="149">
                  <c:v>-18.8478650225239</c:v>
                </c:pt>
                <c:pt idx="150">
                  <c:v>-18.8497168140125</c:v>
                </c:pt>
                <c:pt idx="151">
                  <c:v>-18.8514881483185</c:v>
                </c:pt>
                <c:pt idx="152">
                  <c:v>-18.8531826876284</c:v>
                </c:pt>
                <c:pt idx="153">
                  <c:v>-18.8548039396809</c:v>
                </c:pt>
                <c:pt idx="154">
                  <c:v>-18.8563552644806</c:v>
                </c:pt>
                <c:pt idx="155">
                  <c:v>-18.8578398807601</c:v>
                </c:pt>
                <c:pt idx="156">
                  <c:v>-18.8592608722001</c:v>
                </c:pt>
                <c:pt idx="157">
                  <c:v>-18.8606211934158</c:v>
                </c:pt>
                <c:pt idx="158">
                  <c:v>-18.8619236757167</c:v>
                </c:pt>
                <c:pt idx="159">
                  <c:v>-18.8631710326493</c:v>
                </c:pt>
                <c:pt idx="160">
                  <c:v>-18.8643658653295</c:v>
                </c:pt>
                <c:pt idx="161">
                  <c:v>-18.8655106675746</c:v>
                </c:pt>
                <c:pt idx="162">
                  <c:v>-18.866607830839</c:v>
                </c:pt>
                <c:pt idx="163">
                  <c:v>-18.8676596489657</c:v>
                </c:pt>
                <c:pt idx="164">
                  <c:v>-18.8686683227574</c:v>
                </c:pt>
                <c:pt idx="165">
                  <c:v>-18.8696359643764</c:v>
                </c:pt>
                <c:pt idx="166">
                  <c:v>-18.8705646015797</c:v>
                </c:pt>
                <c:pt idx="167">
                  <c:v>-18.8714561817969</c:v>
                </c:pt>
                <c:pt idx="168">
                  <c:v>-18.8723125760565</c:v>
                </c:pt>
                <c:pt idx="169">
                  <c:v>-18.8731355827693</c:v>
                </c:pt>
                <c:pt idx="170">
                  <c:v>-18.8739269313727</c:v>
                </c:pt>
                <c:pt idx="171">
                  <c:v>-18.8746882858449</c:v>
                </c:pt>
                <c:pt idx="172">
                  <c:v>-18.875421248093</c:v>
                </c:pt>
                <c:pt idx="173">
                  <c:v>-18.8761273612225</c:v>
                </c:pt>
                <c:pt idx="174">
                  <c:v>-18.8768081126932</c:v>
                </c:pt>
                <c:pt idx="175">
                  <c:v>-18.877464937368</c:v>
                </c:pt>
                <c:pt idx="176">
                  <c:v>-18.8780992204586</c:v>
                </c:pt>
                <c:pt idx="177">
                  <c:v>-18.8787123003764</c:v>
                </c:pt>
                <c:pt idx="178">
                  <c:v>-18.87930547149</c:v>
                </c:pt>
                <c:pt idx="179">
                  <c:v>-18.8798799867986</c:v>
                </c:pt>
                <c:pt idx="180">
                  <c:v>-18.8804370605227</c:v>
                </c:pt>
                <c:pt idx="181">
                  <c:v>-18.8809778706198</c:v>
                </c:pt>
                <c:pt idx="182">
                  <c:v>-18.8815035612285</c:v>
                </c:pt>
                <c:pt idx="183">
                  <c:v>-18.8820152450456</c:v>
                </c:pt>
                <c:pt idx="184">
                  <c:v>-18.8825140056418</c:v>
                </c:pt>
                <c:pt idx="185">
                  <c:v>-18.8830008997197</c:v>
                </c:pt>
                <c:pt idx="186">
                  <c:v>-18.8834769593188</c:v>
                </c:pt>
                <c:pt idx="187">
                  <c:v>-18.8839431939718</c:v>
                </c:pt>
                <c:pt idx="188">
                  <c:v>-18.884400592817</c:v>
                </c:pt>
                <c:pt idx="189">
                  <c:v>-18.8848501266698</c:v>
                </c:pt>
                <c:pt idx="190">
                  <c:v>-18.8852927500589</c:v>
                </c:pt>
                <c:pt idx="191">
                  <c:v>-18.8857294032306</c:v>
                </c:pt>
                <c:pt idx="192">
                  <c:v>-18.8861610141245</c:v>
                </c:pt>
                <c:pt idx="193">
                  <c:v>-18.8865885003268</c:v>
                </c:pt>
                <c:pt idx="194">
                  <c:v>-18.8870127710026</c:v>
                </c:pt>
                <c:pt idx="195">
                  <c:v>-18.887434728813</c:v>
                </c:pt>
                <c:pt idx="196">
                  <c:v>-18.8878552718203</c:v>
                </c:pt>
                <c:pt idx="197">
                  <c:v>-18.8882752953853</c:v>
                </c:pt>
                <c:pt idx="198">
                  <c:v>-18.8886956940605</c:v>
                </c:pt>
                <c:pt idx="199">
                  <c:v>-18.8891173634834</c:v>
                </c:pt>
                <c:pt idx="200">
                  <c:v>-18.8895412022738</c:v>
                </c:pt>
                <c:pt idx="201">
                  <c:v>-18.889968113939</c:v>
                </c:pt>
                <c:pt idx="202">
                  <c:v>-18.8903990087912</c:v>
                </c:pt>
                <c:pt idx="203">
                  <c:v>-18.8908348058802</c:v>
                </c:pt>
                <c:pt idx="204">
                  <c:v>-18.8912764349474</c:v>
                </c:pt>
                <c:pt idx="205">
                  <c:v>-18.8917248384027</c:v>
                </c:pt>
                <c:pt idx="206">
                  <c:v>-18.8921809733314</c:v>
                </c:pt>
                <c:pt idx="207">
                  <c:v>-18.8926458135327</c:v>
                </c:pt>
                <c:pt idx="208">
                  <c:v>-18.8931203515956</c:v>
                </c:pt>
                <c:pt idx="209">
                  <c:v>-18.8936056010175</c:v>
                </c:pt>
                <c:pt idx="210">
                  <c:v>-18.8941025983675</c:v>
                </c:pt>
                <c:pt idx="211">
                  <c:v>-18.8946124055019</c:v>
                </c:pt>
                <c:pt idx="212">
                  <c:v>-18.8951361118346</c:v>
                </c:pt>
                <c:pt idx="213">
                  <c:v>-18.8956748366689</c:v>
                </c:pt>
                <c:pt idx="214">
                  <c:v>-18.8962297315944</c:v>
                </c:pt>
                <c:pt idx="215">
                  <c:v>-18.896801982956</c:v>
                </c:pt>
                <c:pt idx="216">
                  <c:v>-18.897392814398</c:v>
                </c:pt>
                <c:pt idx="217">
                  <c:v>-18.8980034894916</c:v>
                </c:pt>
                <c:pt idx="218">
                  <c:v>-18.8986353144499</c:v>
                </c:pt>
                <c:pt idx="219">
                  <c:v>-18.8992896409366</c:v>
                </c:pt>
                <c:pt idx="220">
                  <c:v>-18.8999678689753</c:v>
                </c:pt>
                <c:pt idx="221">
                  <c:v>-18.9006714499654</c:v>
                </c:pt>
                <c:pt idx="222">
                  <c:v>-18.901401889812</c:v>
                </c:pt>
                <c:pt idx="223">
                  <c:v>-18.9021607521754</c:v>
                </c:pt>
                <c:pt idx="224">
                  <c:v>-18.9029496618495</c:v>
                </c:pt>
                <c:pt idx="225">
                  <c:v>-18.9037703082756</c:v>
                </c:pt>
                <c:pt idx="226">
                  <c:v>-18.9046244491991</c:v>
                </c:pt>
                <c:pt idx="227">
                  <c:v>-18.9055139144795</c:v>
                </c:pt>
                <c:pt idx="228">
                  <c:v>-18.9064406100595</c:v>
                </c:pt>
                <c:pt idx="229">
                  <c:v>-18.9074065221059</c:v>
                </c:pt>
                <c:pt idx="230">
                  <c:v>-18.9084137213282</c:v>
                </c:pt>
                <c:pt idx="231">
                  <c:v>-18.9094643674879</c:v>
                </c:pt>
                <c:pt idx="232">
                  <c:v>-18.9105607141076</c:v>
                </c:pt>
                <c:pt idx="233">
                  <c:v>-18.911705113391</c:v>
                </c:pt>
                <c:pt idx="234">
                  <c:v>-18.9129000213662</c:v>
                </c:pt>
                <c:pt idx="235">
                  <c:v>-18.9141480032635</c:v>
                </c:pt>
                <c:pt idx="236">
                  <c:v>-18.9154517391416</c:v>
                </c:pt>
                <c:pt idx="237">
                  <c:v>-18.9168140297744</c:v>
                </c:pt>
                <c:pt idx="238">
                  <c:v>-18.9182378028148</c:v>
                </c:pt>
                <c:pt idx="239">
                  <c:v>-18.919726119247</c:v>
                </c:pt>
                <c:pt idx="240">
                  <c:v>-18.9212821801473</c:v>
                </c:pt>
                <c:pt idx="241">
                  <c:v>-18.9229093337667</c:v>
                </c:pt>
                <c:pt idx="242">
                  <c:v>-18.9246110829538</c:v>
                </c:pt>
                <c:pt idx="243">
                  <c:v>-18.9263910929383</c:v>
                </c:pt>
                <c:pt idx="244">
                  <c:v>-18.9282531994912</c:v>
                </c:pt>
                <c:pt idx="245">
                  <c:v>-18.9302014174862</c:v>
                </c:pt>
                <c:pt idx="246">
                  <c:v>-18.9322399498807</c:v>
                </c:pt>
                <c:pt idx="247">
                  <c:v>-18.9343731971427</c:v>
                </c:pt>
                <c:pt idx="248">
                  <c:v>-18.936605767145</c:v>
                </c:pt>
                <c:pt idx="249">
                  <c:v>-18.9389424855552</c:v>
                </c:pt>
                <c:pt idx="250">
                  <c:v>-18.9413884067476</c:v>
                </c:pt>
                <c:pt idx="251">
                  <c:v>-18.9439488252661</c:v>
                </c:pt>
                <c:pt idx="252">
                  <c:v>-18.9466292878695</c:v>
                </c:pt>
                <c:pt idx="253">
                  <c:v>-18.9494356061919</c:v>
                </c:pt>
                <c:pt idx="254">
                  <c:v>-18.9523738700523</c:v>
                </c:pt>
                <c:pt idx="255">
                  <c:v>-18.955450461452</c:v>
                </c:pt>
                <c:pt idx="256">
                  <c:v>-18.9586720692965</c:v>
                </c:pt>
                <c:pt idx="257">
                  <c:v>-18.9620457048868</c:v>
                </c:pt>
                <c:pt idx="258">
                  <c:v>-18.9655787182223</c:v>
                </c:pt>
                <c:pt idx="259">
                  <c:v>-18.9692788151637</c:v>
                </c:pt>
                <c:pt idx="260">
                  <c:v>-18.9731540755069</c:v>
                </c:pt>
                <c:pt idx="261">
                  <c:v>-18.9772129720205</c:v>
                </c:pt>
                <c:pt idx="262">
                  <c:v>-18.9814643905068</c:v>
                </c:pt>
                <c:pt idx="263">
                  <c:v>-18.9859176509449</c:v>
                </c:pt>
                <c:pt idx="264">
                  <c:v>-18.9905825297849</c:v>
                </c:pt>
                <c:pt idx="265">
                  <c:v>-18.995469283461</c:v>
                </c:pt>
                <c:pt idx="266">
                  <c:v>-19.0005886732004</c:v>
                </c:pt>
                <c:pt idx="267">
                  <c:v>-19.0059519912092</c:v>
                </c:pt>
                <c:pt idx="268">
                  <c:v>-19.0115710883198</c:v>
                </c:pt>
                <c:pt idx="269">
                  <c:v>-19.0174584031963</c:v>
                </c:pt>
                <c:pt idx="270">
                  <c:v>-19.023626993194</c:v>
                </c:pt>
                <c:pt idx="271">
                  <c:v>-19.0300905669845</c:v>
                </c:pt>
                <c:pt idx="272">
                  <c:v>-19.0368635190584</c:v>
                </c:pt>
                <c:pt idx="273">
                  <c:v>-19.0439609662336</c:v>
                </c:pt>
                <c:pt idx="274">
                  <c:v>-19.0513987863009</c:v>
                </c:pt>
                <c:pt idx="275">
                  <c:v>-19.0591936589536</c:v>
                </c:pt>
                <c:pt idx="276">
                  <c:v>-19.0673631091577</c:v>
                </c:pt>
                <c:pt idx="277">
                  <c:v>-19.075925553131</c:v>
                </c:pt>
                <c:pt idx="278">
                  <c:v>-19.0849003471163</c:v>
                </c:pt>
                <c:pt idx="279">
                  <c:v>-19.0943078391457</c:v>
                </c:pt>
                <c:pt idx="280">
                  <c:v>-19.1041694240131</c:v>
                </c:pt>
                <c:pt idx="281">
                  <c:v>-19.114507601688</c:v>
                </c:pt>
                <c:pt idx="282">
                  <c:v>-19.1253460394254</c:v>
                </c:pt>
                <c:pt idx="283">
                  <c:v>-19.1367096378489</c:v>
                </c:pt>
                <c:pt idx="284">
                  <c:v>-19.1486246013089</c:v>
                </c:pt>
                <c:pt idx="285">
                  <c:v>-19.1611185128446</c:v>
                </c:pt>
                <c:pt idx="286">
                  <c:v>-19.1742204141091</c:v>
                </c:pt>
                <c:pt idx="287">
                  <c:v>-19.1879608906519</c:v>
                </c:pt>
                <c:pt idx="288">
                  <c:v>-19.2023721629874</c:v>
                </c:pt>
                <c:pt idx="289">
                  <c:v>-19.2174881839227</c:v>
                </c:pt>
                <c:pt idx="290">
                  <c:v>-19.2333447426613</c:v>
                </c:pt>
                <c:pt idx="291">
                  <c:v>-19.2499795762527</c:v>
                </c:pt>
                <c:pt idx="292">
                  <c:v>-19.2674324890135</c:v>
                </c:pt>
                <c:pt idx="293">
                  <c:v>-19.2857454806113</c:v>
                </c:pt>
                <c:pt idx="294">
                  <c:v>-19.3049628835724</c:v>
                </c:pt>
                <c:pt idx="295">
                  <c:v>-19.3251315110566</c:v>
                </c:pt>
                <c:pt idx="296">
                  <c:v>-19.3463008158311</c:v>
                </c:pt>
                <c:pt idx="297">
                  <c:v>-19.3685230614771</c:v>
                </c:pt>
                <c:pt idx="298">
                  <c:v>-19.391853506979</c:v>
                </c:pt>
                <c:pt idx="299">
                  <c:v>-19.4163506059711</c:v>
                </c:pt>
                <c:pt idx="300">
                  <c:v>-19.4420762220674</c:v>
                </c:pt>
                <c:pt idx="301">
                  <c:v>-19.469095861862</c:v>
                </c:pt>
                <c:pt idx="302">
                  <c:v>-19.4974789273761</c:v>
                </c:pt>
                <c:pt idx="303">
                  <c:v>-19.5272989899431</c:v>
                </c:pt>
                <c:pt idx="304">
                  <c:v>-19.5586340877635</c:v>
                </c:pt>
                <c:pt idx="305">
                  <c:v>-19.591567049643</c:v>
                </c:pt>
                <c:pt idx="306">
                  <c:v>-19.6261858477425</c:v>
                </c:pt>
                <c:pt idx="307">
                  <c:v>-19.662583982537</c:v>
                </c:pt>
                <c:pt idx="308">
                  <c:v>-19.7008609035984</c:v>
                </c:pt>
                <c:pt idx="309">
                  <c:v>-19.7411224703055</c:v>
                </c:pt>
                <c:pt idx="310">
                  <c:v>-19.7834814571411</c:v>
                </c:pt>
                <c:pt idx="311">
                  <c:v>-19.8280581088904</c:v>
                </c:pt>
                <c:pt idx="312">
                  <c:v>-19.8749807518075</c:v>
                </c:pt>
                <c:pt idx="313">
                  <c:v>-19.9243864677001</c:v>
                </c:pt>
                <c:pt idx="314">
                  <c:v>-19.9764218389106</c:v>
                </c:pt>
                <c:pt idx="315">
                  <c:v>-20.0312437733836</c:v>
                </c:pt>
                <c:pt idx="316">
                  <c:v>-20.089020420427</c:v>
                </c:pt>
                <c:pt idx="317">
                  <c:v>-20.1499321894579</c:v>
                </c:pt>
                <c:pt idx="318">
                  <c:v>-20.2141728860093</c:v>
                </c:pt>
                <c:pt idx="319">
                  <c:v>-20.2819509816411</c:v>
                </c:pt>
                <c:pt idx="320">
                  <c:v>-20.3534910372216</c:v>
                </c:pt>
                <c:pt idx="321">
                  <c:v>-20.4290353024273</c:v>
                </c:pt>
                <c:pt idx="322">
                  <c:v>-20.5088455183806</c:v>
                </c:pt>
                <c:pt idx="323">
                  <c:v>-20.5932049552651</c:v>
                </c:pt>
                <c:pt idx="324">
                  <c:v>-20.6824207227284</c:v>
                </c:pt>
                <c:pt idx="325">
                  <c:v>-20.7768263981724</c:v>
                </c:pt>
                <c:pt idx="326">
                  <c:v>-20.8767850269563</c:v>
                </c:pt>
                <c:pt idx="327">
                  <c:v>-20.9826925595541</c:v>
                </c:pt>
                <c:pt idx="328">
                  <c:v>-21.0949818043415</c:v>
                </c:pt>
                <c:pt idx="329">
                  <c:v>-21.214126991699</c:v>
                </c:pt>
                <c:pt idx="330">
                  <c:v>-21.3406490664405</c:v>
                </c:pt>
                <c:pt idx="331">
                  <c:v>-21.4751218525001</c:v>
                </c:pt>
                <c:pt idx="332">
                  <c:v>-21.6181792680321</c:v>
                </c:pt>
                <c:pt idx="333">
                  <c:v>-21.7705238128903</c:v>
                </c:pt>
                <c:pt idx="334">
                  <c:v>-21.9329366069839</c:v>
                </c:pt>
                <c:pt idx="335">
                  <c:v>-22.1062893315519</c:v>
                </c:pt>
                <c:pt idx="336">
                  <c:v>-22.2915585219006</c:v>
                </c:pt>
                <c:pt idx="337">
                  <c:v>-22.4898427879837</c:v>
                </c:pt>
                <c:pt idx="338">
                  <c:v>-22.7023837102139</c:v>
                </c:pt>
                <c:pt idx="339">
                  <c:v>-22.9305913891186</c:v>
                </c:pt>
                <c:pt idx="340">
                  <c:v>-23.1760759436692</c:v>
                </c:pt>
                <c:pt idx="341">
                  <c:v>-23.4406866908794</c:v>
                </c:pt>
                <c:pt idx="342">
                  <c:v>-23.7265613533384</c:v>
                </c:pt>
                <c:pt idx="343">
                  <c:v>-24.0361885149653</c:v>
                </c:pt>
                <c:pt idx="344">
                  <c:v>-24.3724878072542</c:v>
                </c:pt>
                <c:pt idx="345">
                  <c:v>-24.7389141614177</c:v>
                </c:pt>
                <c:pt idx="346">
                  <c:v>-25.1395952315426</c:v>
                </c:pt>
                <c:pt idx="347">
                  <c:v>-25.5795153126623</c:v>
                </c:pt>
                <c:pt idx="348">
                  <c:v>-26.0647656346695</c:v>
                </c:pt>
                <c:pt idx="349">
                  <c:v>-26.6028913225209</c:v>
                </c:pt>
                <c:pt idx="350">
                  <c:v>-27.203382199925</c:v>
                </c:pt>
                <c:pt idx="351">
                  <c:v>-27.8783825800752</c:v>
                </c:pt>
                <c:pt idx="352">
                  <c:v>-28.6437422714974</c:v>
                </c:pt>
                <c:pt idx="353">
                  <c:v>-29.5206106305537</c:v>
                </c:pt>
                <c:pt idx="354">
                  <c:v>-30.5379058982693</c:v>
                </c:pt>
                <c:pt idx="355">
                  <c:v>-31.7361740880552</c:v>
                </c:pt>
                <c:pt idx="356">
                  <c:v>-33.1734075214872</c:v>
                </c:pt>
                <c:pt idx="357">
                  <c:v>-34.9319398906501</c:v>
                </c:pt>
                <c:pt idx="358">
                  <c:v>-37.1132101459334</c:v>
                </c:pt>
                <c:pt idx="359">
                  <c:v>-39.7216024145015</c:v>
                </c:pt>
                <c:pt idx="360">
                  <c:v>-41.9320239739505</c:v>
                </c:pt>
                <c:pt idx="361">
                  <c:v>-41.325341940199</c:v>
                </c:pt>
                <c:pt idx="362">
                  <c:v>-38.4428296462065</c:v>
                </c:pt>
                <c:pt idx="363">
                  <c:v>-35.5142750817508</c:v>
                </c:pt>
                <c:pt idx="364">
                  <c:v>-33.0402525932007</c:v>
                </c:pt>
                <c:pt idx="365">
                  <c:v>-30.9656878025545</c:v>
                </c:pt>
                <c:pt idx="366">
                  <c:v>-29.1907632594648</c:v>
                </c:pt>
                <c:pt idx="367">
                  <c:v>-27.6393047477823</c:v>
                </c:pt>
                <c:pt idx="368">
                  <c:v>-26.2580275980056</c:v>
                </c:pt>
                <c:pt idx="369">
                  <c:v>-25.0095460897682</c:v>
                </c:pt>
                <c:pt idx="370">
                  <c:v>-23.8670424181436</c:v>
                </c:pt>
                <c:pt idx="371">
                  <c:v>-22.8107880582245</c:v>
                </c:pt>
                <c:pt idx="372">
                  <c:v>-21.825917918527</c:v>
                </c:pt>
                <c:pt idx="373">
                  <c:v>-20.900987198229</c:v>
                </c:pt>
                <c:pt idx="374">
                  <c:v>-20.0270146046296</c:v>
                </c:pt>
                <c:pt idx="375">
                  <c:v>-19.1968325568953</c:v>
                </c:pt>
                <c:pt idx="376">
                  <c:v>-18.4046354705294</c:v>
                </c:pt>
                <c:pt idx="377">
                  <c:v>-17.6456588598554</c:v>
                </c:pt>
                <c:pt idx="378">
                  <c:v>-16.9159468087152</c:v>
                </c:pt>
                <c:pt idx="379">
                  <c:v>-16.212180411559</c:v>
                </c:pt>
                <c:pt idx="380">
                  <c:v>-15.5315491125178</c:v>
                </c:pt>
                <c:pt idx="381">
                  <c:v>-14.8716527737495</c:v>
                </c:pt>
                <c:pt idx="382">
                  <c:v>-14.2304261211553</c:v>
                </c:pt>
                <c:pt idx="383">
                  <c:v>-13.6060797327744</c:v>
                </c:pt>
                <c:pt idx="384">
                  <c:v>-12.9970534265156</c:v>
                </c:pt>
                <c:pt idx="385">
                  <c:v>-12.4019790602584</c:v>
                </c:pt>
                <c:pt idx="386">
                  <c:v>-11.8196505607979</c:v>
                </c:pt>
                <c:pt idx="387">
                  <c:v>-11.248999564775</c:v>
                </c:pt>
                <c:pt idx="388">
                  <c:v>-10.689075459983</c:v>
                </c:pt>
                <c:pt idx="389">
                  <c:v>-10.1390289090354</c:v>
                </c:pt>
                <c:pt idx="390">
                  <c:v>-9.59809815264416</c:v>
                </c:pt>
                <c:pt idx="391">
                  <c:v>-9.06559754937219</c:v>
                </c:pt>
                <c:pt idx="392">
                  <c:v>-8.54090792832567</c:v>
                </c:pt>
                <c:pt idx="393">
                  <c:v>-8.02346842174198</c:v>
                </c:pt>
                <c:pt idx="394">
                  <c:v>-7.51276951353259</c:v>
                </c:pt>
                <c:pt idx="395">
                  <c:v>-7.00834709306471</c:v>
                </c:pt>
                <c:pt idx="396">
                  <c:v>-6.50977734478996</c:v>
                </c:pt>
                <c:pt idx="397">
                  <c:v>-6.01667233666427</c:v>
                </c:pt>
                <c:pt idx="398">
                  <c:v>-5.5286761957811</c:v>
                </c:pt>
                <c:pt idx="399">
                  <c:v>-5.04546177985752</c:v>
                </c:pt>
                <c:pt idx="400">
                  <c:v>-4.56672776935363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"バックプレート孔 R_h"</c:f>
              <c:strCache>
                <c:ptCount val="1"/>
                <c:pt idx="0">
                  <c:v>バックプレート孔 R_h</c:v>
                </c:pt>
              </c:strCache>
            </c:strRef>
          </c:tx>
          <c:spPr>
            <a:solidFill>
              <a:srgbClr val="1baf7a"/>
            </a:solidFill>
            <a:ln w="1512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Spectrum!$AE$9:$AE$409</c:f>
              <c:numCache>
                <c:formatCode>0.00</c:formatCode>
                <c:ptCount val="401"/>
                <c:pt idx="0">
                  <c:v>-10.0682646202698</c:v>
                </c:pt>
                <c:pt idx="1">
                  <c:v>-10.2478777951125</c:v>
                </c:pt>
                <c:pt idx="2">
                  <c:v>-10.4266322467603</c:v>
                </c:pt>
                <c:pt idx="3">
                  <c:v>-10.60449626285</c:v>
                </c:pt>
                <c:pt idx="4">
                  <c:v>-10.7814373385158</c:v>
                </c:pt>
                <c:pt idx="5">
                  <c:v>-10.9574221889164</c:v>
                </c:pt>
                <c:pt idx="6">
                  <c:v>-11.1324167650889</c:v>
                </c:pt>
                <c:pt idx="7">
                  <c:v>-11.3063862733311</c:v>
                </c:pt>
                <c:pt idx="8">
                  <c:v>-11.4792951983174</c:v>
                </c:pt>
                <c:pt idx="9">
                  <c:v>-11.6511073301414</c:v>
                </c:pt>
                <c:pt idx="10">
                  <c:v>-11.8217857954749</c:v>
                </c:pt>
                <c:pt idx="11">
                  <c:v>-11.9912930930176</c:v>
                </c:pt>
                <c:pt idx="12">
                  <c:v>-12.159591133403</c:v>
                </c:pt>
                <c:pt idx="13">
                  <c:v>-12.3266412837037</c:v>
                </c:pt>
                <c:pt idx="14">
                  <c:v>-12.4924044166653</c:v>
                </c:pt>
                <c:pt idx="15">
                  <c:v>-12.6568409647697</c:v>
                </c:pt>
                <c:pt idx="16">
                  <c:v>-12.819910979205</c:v>
                </c:pt>
                <c:pt idx="17">
                  <c:v>-12.9815741937886</c:v>
                </c:pt>
                <c:pt idx="18">
                  <c:v>-13.1417900938561</c:v>
                </c:pt>
                <c:pt idx="19">
                  <c:v>-13.300517990092</c:v>
                </c:pt>
                <c:pt idx="20">
                  <c:v>-13.457717097239</c:v>
                </c:pt>
                <c:pt idx="21">
                  <c:v>-13.6133466175781</c:v>
                </c:pt>
                <c:pt idx="22">
                  <c:v>-13.7673658290271</c:v>
                </c:pt>
                <c:pt idx="23">
                  <c:v>-13.9197341776561</c:v>
                </c:pt>
                <c:pt idx="24">
                  <c:v>-14.0704113743686</c:v>
                </c:pt>
                <c:pt idx="25">
                  <c:v>-14.2193574954445</c:v>
                </c:pt>
                <c:pt idx="26">
                  <c:v>-14.3665330865895</c:v>
                </c:pt>
                <c:pt idx="27">
                  <c:v>-14.511899270081</c:v>
                </c:pt>
                <c:pt idx="28">
                  <c:v>-14.6554178545482</c:v>
                </c:pt>
                <c:pt idx="29">
                  <c:v>-14.797051446875</c:v>
                </c:pt>
                <c:pt idx="30">
                  <c:v>-14.936763565661</c:v>
                </c:pt>
                <c:pt idx="31">
                  <c:v>-15.0745187556332</c:v>
                </c:pt>
                <c:pt idx="32">
                  <c:v>-15.210282702357</c:v>
                </c:pt>
                <c:pt idx="33">
                  <c:v>-15.3440223465572</c:v>
                </c:pt>
                <c:pt idx="34">
                  <c:v>-15.4757059973288</c:v>
                </c:pt>
                <c:pt idx="35">
                  <c:v>-15.6053034434914</c:v>
                </c:pt>
                <c:pt idx="36">
                  <c:v>-15.7327860623221</c:v>
                </c:pt>
                <c:pt idx="37">
                  <c:v>-15.8581269248934</c:v>
                </c:pt>
                <c:pt idx="38">
                  <c:v>-15.9813008972402</c:v>
                </c:pt>
                <c:pt idx="39">
                  <c:v>-16.1022847365875</c:v>
                </c:pt>
                <c:pt idx="40">
                  <c:v>-16.2210571818868</c:v>
                </c:pt>
                <c:pt idx="41">
                  <c:v>-16.3375990379392</c:v>
                </c:pt>
                <c:pt idx="42">
                  <c:v>-16.4518932524138</c:v>
                </c:pt>
                <c:pt idx="43">
                  <c:v>-16.5639249851212</c:v>
                </c:pt>
                <c:pt idx="44">
                  <c:v>-16.6736816689526</c:v>
                </c:pt>
                <c:pt idx="45">
                  <c:v>-16.7811530619605</c:v>
                </c:pt>
                <c:pt idx="46">
                  <c:v>-16.8863312901251</c:v>
                </c:pt>
                <c:pt idx="47">
                  <c:v>-16.9892108804317</c:v>
                </c:pt>
                <c:pt idx="48">
                  <c:v>-17.0897887839617</c:v>
                </c:pt>
                <c:pt idx="49">
                  <c:v>-17.1880643887948</c:v>
                </c:pt>
                <c:pt idx="50">
                  <c:v>-17.2840395226031</c:v>
                </c:pt>
                <c:pt idx="51">
                  <c:v>-17.3777184449157</c:v>
                </c:pt>
                <c:pt idx="52">
                  <c:v>-17.4691078291232</c:v>
                </c:pt>
                <c:pt idx="53">
                  <c:v>-17.5582167343827</c:v>
                </c:pt>
                <c:pt idx="54">
                  <c:v>-17.6450565676739</c:v>
                </c:pt>
                <c:pt idx="55">
                  <c:v>-17.7296410363429</c:v>
                </c:pt>
                <c:pt idx="56">
                  <c:v>-17.8119860915502</c:v>
                </c:pt>
                <c:pt idx="57">
                  <c:v>-17.8921098631112</c:v>
                </c:pt>
                <c:pt idx="58">
                  <c:v>-17.9700325862909</c:v>
                </c:pt>
                <c:pt idx="59">
                  <c:v>-18.0457765211641</c:v>
                </c:pt>
                <c:pt idx="60">
                  <c:v>-18.1193658652124</c:v>
                </c:pt>
                <c:pt idx="61">
                  <c:v>-18.1908266598617</c:v>
                </c:pt>
                <c:pt idx="62">
                  <c:v>-18.2601866917016</c:v>
                </c:pt>
                <c:pt idx="63">
                  <c:v>-18.3274753891467</c:v>
                </c:pt>
                <c:pt idx="64">
                  <c:v>-18.392723715312</c:v>
                </c:pt>
                <c:pt idx="65">
                  <c:v>-18.4559640578809</c:v>
                </c:pt>
                <c:pt idx="66">
                  <c:v>-18.5172301167339</c:v>
                </c:pt>
                <c:pt idx="67">
                  <c:v>-18.5765567900954</c:v>
                </c:pt>
                <c:pt idx="68">
                  <c:v>-18.6339800599327</c:v>
                </c:pt>
                <c:pt idx="69">
                  <c:v>-18.6895368773135</c:v>
                </c:pt>
                <c:pt idx="70">
                  <c:v>-18.7432650483912</c:v>
                </c:pt>
                <c:pt idx="71">
                  <c:v>-18.79520312165</c:v>
                </c:pt>
                <c:pt idx="72">
                  <c:v>-18.845390276995</c:v>
                </c:pt>
                <c:pt idx="73">
                  <c:v>-18.8938662172267</c:v>
                </c:pt>
                <c:pt idx="74">
                  <c:v>-18.9406710623861</c:v>
                </c:pt>
                <c:pt idx="75">
                  <c:v>-18.9858452474075</c:v>
                </c:pt>
                <c:pt idx="76">
                  <c:v>-19.0294294234617</c:v>
                </c:pt>
                <c:pt idx="77">
                  <c:v>-19.0714643633188</c:v>
                </c:pt>
                <c:pt idx="78">
                  <c:v>-19.1119908710086</c:v>
                </c:pt>
                <c:pt idx="79">
                  <c:v>-19.1510496960044</c:v>
                </c:pt>
                <c:pt idx="80">
                  <c:v>-19.1886814521072</c:v>
                </c:pt>
                <c:pt idx="81">
                  <c:v>-19.2249265411608</c:v>
                </c:pt>
                <c:pt idx="82">
                  <c:v>-19.2598250816812</c:v>
                </c:pt>
                <c:pt idx="83">
                  <c:v>-19.2934168424458</c:v>
                </c:pt>
                <c:pt idx="84">
                  <c:v>-19.3257411810461</c:v>
                </c:pt>
                <c:pt idx="85">
                  <c:v>-19.3568369873748</c:v>
                </c:pt>
                <c:pt idx="86">
                  <c:v>-19.386742631985</c:v>
                </c:pt>
                <c:pt idx="87">
                  <c:v>-19.4154959192315</c:v>
                </c:pt>
                <c:pt idx="88">
                  <c:v>-19.4431340450791</c:v>
                </c:pt>
                <c:pt idx="89">
                  <c:v>-19.4696935594431</c:v>
                </c:pt>
                <c:pt idx="90">
                  <c:v>-19.4952103329032</c:v>
                </c:pt>
                <c:pt idx="91">
                  <c:v>-19.5197195276251</c:v>
                </c:pt>
                <c:pt idx="92">
                  <c:v>-19.5432555723053</c:v>
                </c:pt>
                <c:pt idx="93">
                  <c:v>-19.5658521409463</c:v>
                </c:pt>
                <c:pt idx="94">
                  <c:v>-19.5875421352651</c:v>
                </c:pt>
                <c:pt idx="95">
                  <c:v>-19.608357670531</c:v>
                </c:pt>
                <c:pt idx="96">
                  <c:v>-19.6283300646246</c:v>
                </c:pt>
                <c:pt idx="97">
                  <c:v>-19.647489830114</c:v>
                </c:pt>
                <c:pt idx="98">
                  <c:v>-19.6658666691398</c:v>
                </c:pt>
                <c:pt idx="99">
                  <c:v>-19.6834894709076</c:v>
                </c:pt>
                <c:pt idx="100">
                  <c:v>-19.7003863115866</c:v>
                </c:pt>
                <c:pt idx="101">
                  <c:v>-19.7165844564218</c:v>
                </c:pt>
                <c:pt idx="102">
                  <c:v>-19.732110363869</c:v>
                </c:pt>
                <c:pt idx="103">
                  <c:v>-19.7469896915721</c:v>
                </c:pt>
                <c:pt idx="104">
                  <c:v>-19.761247304007</c:v>
                </c:pt>
                <c:pt idx="105">
                  <c:v>-19.7749072816246</c:v>
                </c:pt>
                <c:pt idx="106">
                  <c:v>-19.787992931335</c:v>
                </c:pt>
                <c:pt idx="107">
                  <c:v>-19.800526798181</c:v>
                </c:pt>
                <c:pt idx="108">
                  <c:v>-19.8125306780579</c:v>
                </c:pt>
                <c:pt idx="109">
                  <c:v>-19.8240256313473</c:v>
                </c:pt>
                <c:pt idx="110">
                  <c:v>-19.8350319973377</c:v>
                </c:pt>
                <c:pt idx="111">
                  <c:v>-19.8455694093155</c:v>
                </c:pt>
                <c:pt idx="112">
                  <c:v>-19.8556568102164</c:v>
                </c:pt>
                <c:pt idx="113">
                  <c:v>-19.8653124687371</c:v>
                </c:pt>
                <c:pt idx="114">
                  <c:v>-19.8745539958128</c:v>
                </c:pt>
                <c:pt idx="115">
                  <c:v>-19.8833983613752</c:v>
                </c:pt>
                <c:pt idx="116">
                  <c:v>-19.8918619113117</c:v>
                </c:pt>
                <c:pt idx="117">
                  <c:v>-19.8999603845538</c:v>
                </c:pt>
                <c:pt idx="118">
                  <c:v>-19.9077089302286</c:v>
                </c:pt>
                <c:pt idx="119">
                  <c:v>-19.9151221248152</c:v>
                </c:pt>
                <c:pt idx="120">
                  <c:v>-19.9222139892514</c:v>
                </c:pt>
                <c:pt idx="121">
                  <c:v>-19.9289980059424</c:v>
                </c:pt>
                <c:pt idx="122">
                  <c:v>-19.9354871356295</c:v>
                </c:pt>
                <c:pt idx="123">
                  <c:v>-19.9416938340793</c:v>
                </c:pt>
                <c:pt idx="124">
                  <c:v>-19.9476300685614</c:v>
                </c:pt>
                <c:pt idx="125">
                  <c:v>-19.9533073340824</c:v>
                </c:pt>
                <c:pt idx="126">
                  <c:v>-19.9587366693544</c:v>
                </c:pt>
                <c:pt idx="127">
                  <c:v>-19.9639286724711</c:v>
                </c:pt>
                <c:pt idx="128">
                  <c:v>-19.9688935162777</c:v>
                </c:pt>
                <c:pt idx="129">
                  <c:v>-19.9736409634142</c:v>
                </c:pt>
                <c:pt idx="130">
                  <c:v>-19.9781803810227</c:v>
                </c:pt>
                <c:pt idx="131">
                  <c:v>-19.9825207551061</c:v>
                </c:pt>
                <c:pt idx="132">
                  <c:v>-19.9866707045302</c:v>
                </c:pt>
                <c:pt idx="133">
                  <c:v>-19.9906384946652</c:v>
                </c:pt>
                <c:pt idx="134">
                  <c:v>-19.9944320506584</c:v>
                </c:pt>
                <c:pt idx="135">
                  <c:v>-19.99805897034</c:v>
                </c:pt>
                <c:pt idx="136">
                  <c:v>-20.001526536758</c:v>
                </c:pt>
                <c:pt idx="137">
                  <c:v>-20.0048417303442</c:v>
                </c:pt>
                <c:pt idx="138">
                  <c:v>-20.0080112407117</c:v>
                </c:pt>
                <c:pt idx="139">
                  <c:v>-20.0110414780882</c:v>
                </c:pt>
                <c:pt idx="140">
                  <c:v>-20.0139385843875</c:v>
                </c:pt>
                <c:pt idx="141">
                  <c:v>-20.0167084439246</c:v>
                </c:pt>
                <c:pt idx="142">
                  <c:v>-20.0193566937785</c:v>
                </c:pt>
                <c:pt idx="143">
                  <c:v>-20.0218887338106</c:v>
                </c:pt>
                <c:pt idx="144">
                  <c:v>-20.0243097363431</c:v>
                </c:pt>
                <c:pt idx="145">
                  <c:v>-20.0266246555057</c:v>
                </c:pt>
                <c:pt idx="146">
                  <c:v>-20.0288382362566</c:v>
                </c:pt>
                <c:pt idx="147">
                  <c:v>-20.0309550230883</c:v>
                </c:pt>
                <c:pt idx="148">
                  <c:v>-20.0329793684213</c:v>
                </c:pt>
                <c:pt idx="149">
                  <c:v>-20.0349154406986</c:v>
                </c:pt>
                <c:pt idx="150">
                  <c:v>-20.0367672321872</c:v>
                </c:pt>
                <c:pt idx="151">
                  <c:v>-20.0385385664932</c:v>
                </c:pt>
                <c:pt idx="152">
                  <c:v>-20.0402331058031</c:v>
                </c:pt>
                <c:pt idx="153">
                  <c:v>-20.0418543578557</c:v>
                </c:pt>
                <c:pt idx="154">
                  <c:v>-20.0434056826553</c:v>
                </c:pt>
                <c:pt idx="155">
                  <c:v>-20.0448902989348</c:v>
                </c:pt>
                <c:pt idx="156">
                  <c:v>-20.0463112903748</c:v>
                </c:pt>
                <c:pt idx="157">
                  <c:v>-20.0476716115905</c:v>
                </c:pt>
                <c:pt idx="158">
                  <c:v>-20.0489740938915</c:v>
                </c:pt>
                <c:pt idx="159">
                  <c:v>-20.050221450824</c:v>
                </c:pt>
                <c:pt idx="160">
                  <c:v>-20.0514162835042</c:v>
                </c:pt>
                <c:pt idx="161">
                  <c:v>-20.0525610857493</c:v>
                </c:pt>
                <c:pt idx="162">
                  <c:v>-20.0536582490137</c:v>
                </c:pt>
                <c:pt idx="163">
                  <c:v>-20.0547100671404</c:v>
                </c:pt>
                <c:pt idx="164">
                  <c:v>-20.0557187409321</c:v>
                </c:pt>
                <c:pt idx="165">
                  <c:v>-20.0566863825511</c:v>
                </c:pt>
                <c:pt idx="166">
                  <c:v>-20.0576150197545</c:v>
                </c:pt>
                <c:pt idx="167">
                  <c:v>-20.0585065999716</c:v>
                </c:pt>
                <c:pt idx="168">
                  <c:v>-20.0593629942312</c:v>
                </c:pt>
                <c:pt idx="169">
                  <c:v>-20.060186000944</c:v>
                </c:pt>
                <c:pt idx="170">
                  <c:v>-20.0609773495474</c:v>
                </c:pt>
                <c:pt idx="171">
                  <c:v>-20.0617387040197</c:v>
                </c:pt>
                <c:pt idx="172">
                  <c:v>-20.0624716662677</c:v>
                </c:pt>
                <c:pt idx="173">
                  <c:v>-20.0631777793972</c:v>
                </c:pt>
                <c:pt idx="174">
                  <c:v>-20.063858530868</c:v>
                </c:pt>
                <c:pt idx="175">
                  <c:v>-20.0645153555427</c:v>
                </c:pt>
                <c:pt idx="176">
                  <c:v>-20.0651496386334</c:v>
                </c:pt>
                <c:pt idx="177">
                  <c:v>-20.0657627185511</c:v>
                </c:pt>
                <c:pt idx="178">
                  <c:v>-20.0663558896648</c:v>
                </c:pt>
                <c:pt idx="179">
                  <c:v>-20.0669304049733</c:v>
                </c:pt>
                <c:pt idx="180">
                  <c:v>-20.0674874786974</c:v>
                </c:pt>
                <c:pt idx="181">
                  <c:v>-20.0680282887945</c:v>
                </c:pt>
                <c:pt idx="182">
                  <c:v>-20.0685539794032</c:v>
                </c:pt>
                <c:pt idx="183">
                  <c:v>-20.0690656632203</c:v>
                </c:pt>
                <c:pt idx="184">
                  <c:v>-20.0695644238166</c:v>
                </c:pt>
                <c:pt idx="185">
                  <c:v>-20.0700513178945</c:v>
                </c:pt>
                <c:pt idx="186">
                  <c:v>-20.0705273774935</c:v>
                </c:pt>
                <c:pt idx="187">
                  <c:v>-20.0709936121465</c:v>
                </c:pt>
                <c:pt idx="188">
                  <c:v>-20.0714510109917</c:v>
                </c:pt>
                <c:pt idx="189">
                  <c:v>-20.0719005448445</c:v>
                </c:pt>
                <c:pt idx="190">
                  <c:v>-20.0723431682337</c:v>
                </c:pt>
                <c:pt idx="191">
                  <c:v>-20.0727798214053</c:v>
                </c:pt>
                <c:pt idx="192">
                  <c:v>-20.0732114322993</c:v>
                </c:pt>
                <c:pt idx="193">
                  <c:v>-20.0736389185016</c:v>
                </c:pt>
                <c:pt idx="194">
                  <c:v>-20.0740631891774</c:v>
                </c:pt>
                <c:pt idx="195">
                  <c:v>-20.0744851469877</c:v>
                </c:pt>
                <c:pt idx="196">
                  <c:v>-20.0749056899951</c:v>
                </c:pt>
                <c:pt idx="197">
                  <c:v>-20.0753257135601</c:v>
                </c:pt>
                <c:pt idx="198">
                  <c:v>-20.0757461122352</c:v>
                </c:pt>
                <c:pt idx="199">
                  <c:v>-20.0761677816581</c:v>
                </c:pt>
                <c:pt idx="200">
                  <c:v>-20.0765916204485</c:v>
                </c:pt>
                <c:pt idx="201">
                  <c:v>-20.0770185321137</c:v>
                </c:pt>
                <c:pt idx="202">
                  <c:v>-20.0774494269659</c:v>
                </c:pt>
                <c:pt idx="203">
                  <c:v>-20.0778852240549</c:v>
                </c:pt>
                <c:pt idx="204">
                  <c:v>-20.0783268531221</c:v>
                </c:pt>
                <c:pt idx="205">
                  <c:v>-20.0787752565775</c:v>
                </c:pt>
                <c:pt idx="206">
                  <c:v>-20.0792313915062</c:v>
                </c:pt>
                <c:pt idx="207">
                  <c:v>-20.0796962317074</c:v>
                </c:pt>
                <c:pt idx="208">
                  <c:v>-20.0801707697703</c:v>
                </c:pt>
                <c:pt idx="209">
                  <c:v>-20.0806560191922</c:v>
                </c:pt>
                <c:pt idx="210">
                  <c:v>-20.0811530165423</c:v>
                </c:pt>
                <c:pt idx="211">
                  <c:v>-20.0816628236766</c:v>
                </c:pt>
                <c:pt idx="212">
                  <c:v>-20.0821865300093</c:v>
                </c:pt>
                <c:pt idx="213">
                  <c:v>-20.0827252548436</c:v>
                </c:pt>
                <c:pt idx="214">
                  <c:v>-20.0832801497692</c:v>
                </c:pt>
                <c:pt idx="215">
                  <c:v>-20.0838524011307</c:v>
                </c:pt>
                <c:pt idx="216">
                  <c:v>-20.0844432325727</c:v>
                </c:pt>
                <c:pt idx="217">
                  <c:v>-20.0850539076664</c:v>
                </c:pt>
                <c:pt idx="218">
                  <c:v>-20.0856857326247</c:v>
                </c:pt>
                <c:pt idx="219">
                  <c:v>-20.0863400591113</c:v>
                </c:pt>
                <c:pt idx="220">
                  <c:v>-20.08701828715</c:v>
                </c:pt>
                <c:pt idx="221">
                  <c:v>-20.0877218681401</c:v>
                </c:pt>
                <c:pt idx="222">
                  <c:v>-20.0884523079867</c:v>
                </c:pt>
                <c:pt idx="223">
                  <c:v>-20.0892111703501</c:v>
                </c:pt>
                <c:pt idx="224">
                  <c:v>-20.0900000800243</c:v>
                </c:pt>
                <c:pt idx="225">
                  <c:v>-20.0908207264503</c:v>
                </c:pt>
                <c:pt idx="226">
                  <c:v>-20.0916748673739</c:v>
                </c:pt>
                <c:pt idx="227">
                  <c:v>-20.0925643326542</c:v>
                </c:pt>
                <c:pt idx="228">
                  <c:v>-20.0934910282342</c:v>
                </c:pt>
                <c:pt idx="229">
                  <c:v>-20.0944569402806</c:v>
                </c:pt>
                <c:pt idx="230">
                  <c:v>-20.0954641395029</c:v>
                </c:pt>
                <c:pt idx="231">
                  <c:v>-20.0965147856627</c:v>
                </c:pt>
                <c:pt idx="232">
                  <c:v>-20.0976111322824</c:v>
                </c:pt>
                <c:pt idx="233">
                  <c:v>-20.0987555315658</c:v>
                </c:pt>
                <c:pt idx="234">
                  <c:v>-20.0999504395409</c:v>
                </c:pt>
                <c:pt idx="235">
                  <c:v>-20.1011984214382</c:v>
                </c:pt>
                <c:pt idx="236">
                  <c:v>-20.1025021573163</c:v>
                </c:pt>
                <c:pt idx="237">
                  <c:v>-20.1038644479492</c:v>
                </c:pt>
                <c:pt idx="238">
                  <c:v>-20.1052882209895</c:v>
                </c:pt>
                <c:pt idx="239">
                  <c:v>-20.1067765374217</c:v>
                </c:pt>
                <c:pt idx="240">
                  <c:v>-20.1083325983221</c:v>
                </c:pt>
                <c:pt idx="241">
                  <c:v>-20.1099597519414</c:v>
                </c:pt>
                <c:pt idx="242">
                  <c:v>-20.1116615011286</c:v>
                </c:pt>
                <c:pt idx="243">
                  <c:v>-20.113441511113</c:v>
                </c:pt>
                <c:pt idx="244">
                  <c:v>-20.1153036176659</c:v>
                </c:pt>
                <c:pt idx="245">
                  <c:v>-20.1172518356609</c:v>
                </c:pt>
                <c:pt idx="246">
                  <c:v>-20.1192903680554</c:v>
                </c:pt>
                <c:pt idx="247">
                  <c:v>-20.1214236153174</c:v>
                </c:pt>
                <c:pt idx="248">
                  <c:v>-20.1236561853197</c:v>
                </c:pt>
                <c:pt idx="249">
                  <c:v>-20.1259929037299</c:v>
                </c:pt>
                <c:pt idx="250">
                  <c:v>-20.1284388249224</c:v>
                </c:pt>
                <c:pt idx="251">
                  <c:v>-20.1309992434409</c:v>
                </c:pt>
                <c:pt idx="252">
                  <c:v>-20.1336797060442</c:v>
                </c:pt>
                <c:pt idx="253">
                  <c:v>-20.1364860243666</c:v>
                </c:pt>
                <c:pt idx="254">
                  <c:v>-20.1394242882271</c:v>
                </c:pt>
                <c:pt idx="255">
                  <c:v>-20.1425008796267</c:v>
                </c:pt>
                <c:pt idx="256">
                  <c:v>-20.1457224874712</c:v>
                </c:pt>
                <c:pt idx="257">
                  <c:v>-20.1490961230616</c:v>
                </c:pt>
                <c:pt idx="258">
                  <c:v>-20.152629136397</c:v>
                </c:pt>
                <c:pt idx="259">
                  <c:v>-20.1563292333385</c:v>
                </c:pt>
                <c:pt idx="260">
                  <c:v>-20.1602044936816</c:v>
                </c:pt>
                <c:pt idx="261">
                  <c:v>-20.1642633901952</c:v>
                </c:pt>
                <c:pt idx="262">
                  <c:v>-20.1685148086815</c:v>
                </c:pt>
                <c:pt idx="263">
                  <c:v>-20.1729680691196</c:v>
                </c:pt>
                <c:pt idx="264">
                  <c:v>-20.1776329479596</c:v>
                </c:pt>
                <c:pt idx="265">
                  <c:v>-20.1825197016357</c:v>
                </c:pt>
                <c:pt idx="266">
                  <c:v>-20.1876390913751</c:v>
                </c:pt>
                <c:pt idx="267">
                  <c:v>-20.1930024093839</c:v>
                </c:pt>
                <c:pt idx="268">
                  <c:v>-20.1986215064946</c:v>
                </c:pt>
                <c:pt idx="269">
                  <c:v>-20.204508821371</c:v>
                </c:pt>
                <c:pt idx="270">
                  <c:v>-20.2106774113688</c:v>
                </c:pt>
                <c:pt idx="271">
                  <c:v>-20.2171409851592</c:v>
                </c:pt>
                <c:pt idx="272">
                  <c:v>-20.2239139372331</c:v>
                </c:pt>
                <c:pt idx="273">
                  <c:v>-20.2310113844083</c:v>
                </c:pt>
                <c:pt idx="274">
                  <c:v>-20.2384492044756</c:v>
                </c:pt>
                <c:pt idx="275">
                  <c:v>-20.2462440771283</c:v>
                </c:pt>
                <c:pt idx="276">
                  <c:v>-20.2544135273324</c:v>
                </c:pt>
                <c:pt idx="277">
                  <c:v>-20.2629759713057</c:v>
                </c:pt>
                <c:pt idx="278">
                  <c:v>-20.271950765291</c:v>
                </c:pt>
                <c:pt idx="279">
                  <c:v>-20.2813582573204</c:v>
                </c:pt>
                <c:pt idx="280">
                  <c:v>-20.2912198421879</c:v>
                </c:pt>
                <c:pt idx="281">
                  <c:v>-20.3015580198627</c:v>
                </c:pt>
                <c:pt idx="282">
                  <c:v>-20.3123964576001</c:v>
                </c:pt>
                <c:pt idx="283">
                  <c:v>-20.3237600560236</c:v>
                </c:pt>
                <c:pt idx="284">
                  <c:v>-20.3356750194836</c:v>
                </c:pt>
                <c:pt idx="285">
                  <c:v>-20.3481689310193</c:v>
                </c:pt>
                <c:pt idx="286">
                  <c:v>-20.3612708322838</c:v>
                </c:pt>
                <c:pt idx="287">
                  <c:v>-20.3750113088266</c:v>
                </c:pt>
                <c:pt idx="288">
                  <c:v>-20.3894225811621</c:v>
                </c:pt>
                <c:pt idx="289">
                  <c:v>-20.4045386020974</c:v>
                </c:pt>
                <c:pt idx="290">
                  <c:v>-20.420395160836</c:v>
                </c:pt>
                <c:pt idx="291">
                  <c:v>-20.4370299944274</c:v>
                </c:pt>
                <c:pt idx="292">
                  <c:v>-20.4544829071882</c:v>
                </c:pt>
                <c:pt idx="293">
                  <c:v>-20.472795898786</c:v>
                </c:pt>
                <c:pt idx="294">
                  <c:v>-20.4920133017471</c:v>
                </c:pt>
                <c:pt idx="295">
                  <c:v>-20.5121819292314</c:v>
                </c:pt>
                <c:pt idx="296">
                  <c:v>-20.5333512340058</c:v>
                </c:pt>
                <c:pt idx="297">
                  <c:v>-20.5555734796518</c:v>
                </c:pt>
                <c:pt idx="298">
                  <c:v>-20.5789039251537</c:v>
                </c:pt>
                <c:pt idx="299">
                  <c:v>-20.6034010241458</c:v>
                </c:pt>
                <c:pt idx="300">
                  <c:v>-20.6291266402422</c:v>
                </c:pt>
                <c:pt idx="301">
                  <c:v>-20.6561462800368</c:v>
                </c:pt>
                <c:pt idx="302">
                  <c:v>-20.6845293455509</c:v>
                </c:pt>
                <c:pt idx="303">
                  <c:v>-20.7143494081178</c:v>
                </c:pt>
                <c:pt idx="304">
                  <c:v>-20.7456845059382</c:v>
                </c:pt>
                <c:pt idx="305">
                  <c:v>-20.7786174678177</c:v>
                </c:pt>
                <c:pt idx="306">
                  <c:v>-20.8132362659172</c:v>
                </c:pt>
                <c:pt idx="307">
                  <c:v>-20.8496344007117</c:v>
                </c:pt>
                <c:pt idx="308">
                  <c:v>-20.8879113217731</c:v>
                </c:pt>
                <c:pt idx="309">
                  <c:v>-20.9281728884802</c:v>
                </c:pt>
                <c:pt idx="310">
                  <c:v>-20.9705318753158</c:v>
                </c:pt>
                <c:pt idx="311">
                  <c:v>-21.0151085270651</c:v>
                </c:pt>
                <c:pt idx="312">
                  <c:v>-21.0620311699823</c:v>
                </c:pt>
                <c:pt idx="313">
                  <c:v>-21.1114368858748</c:v>
                </c:pt>
                <c:pt idx="314">
                  <c:v>-21.1634722570853</c:v>
                </c:pt>
                <c:pt idx="315">
                  <c:v>-21.2182941915583</c:v>
                </c:pt>
                <c:pt idx="316">
                  <c:v>-21.2760708386017</c:v>
                </c:pt>
                <c:pt idx="317">
                  <c:v>-21.3369826076326</c:v>
                </c:pt>
                <c:pt idx="318">
                  <c:v>-21.401223304184</c:v>
                </c:pt>
                <c:pt idx="319">
                  <c:v>-21.4690013998158</c:v>
                </c:pt>
                <c:pt idx="320">
                  <c:v>-21.5405414553964</c:v>
                </c:pt>
                <c:pt idx="321">
                  <c:v>-21.6160857206021</c:v>
                </c:pt>
                <c:pt idx="322">
                  <c:v>-21.6958959365554</c:v>
                </c:pt>
                <c:pt idx="323">
                  <c:v>-21.7802553734398</c:v>
                </c:pt>
                <c:pt idx="324">
                  <c:v>-21.8694711409031</c:v>
                </c:pt>
                <c:pt idx="325">
                  <c:v>-21.9638768163471</c:v>
                </c:pt>
                <c:pt idx="326">
                  <c:v>-22.0638354451311</c:v>
                </c:pt>
                <c:pt idx="327">
                  <c:v>-22.1697429777288</c:v>
                </c:pt>
                <c:pt idx="328">
                  <c:v>-22.2820322225162</c:v>
                </c:pt>
                <c:pt idx="329">
                  <c:v>-22.4011774098737</c:v>
                </c:pt>
                <c:pt idx="330">
                  <c:v>-22.5276994846152</c:v>
                </c:pt>
                <c:pt idx="331">
                  <c:v>-22.6621722706748</c:v>
                </c:pt>
                <c:pt idx="332">
                  <c:v>-22.8052296862069</c:v>
                </c:pt>
                <c:pt idx="333">
                  <c:v>-22.957574231065</c:v>
                </c:pt>
                <c:pt idx="334">
                  <c:v>-23.1199870251586</c:v>
                </c:pt>
                <c:pt idx="335">
                  <c:v>-23.2933397497266</c:v>
                </c:pt>
                <c:pt idx="336">
                  <c:v>-23.4786089400754</c:v>
                </c:pt>
                <c:pt idx="337">
                  <c:v>-23.6768932061584</c:v>
                </c:pt>
                <c:pt idx="338">
                  <c:v>-23.8894341283886</c:v>
                </c:pt>
                <c:pt idx="339">
                  <c:v>-24.1176418072934</c:v>
                </c:pt>
                <c:pt idx="340">
                  <c:v>-24.363126361844</c:v>
                </c:pt>
                <c:pt idx="341">
                  <c:v>-24.6277371090542</c:v>
                </c:pt>
                <c:pt idx="342">
                  <c:v>-24.9136117715131</c:v>
                </c:pt>
                <c:pt idx="343">
                  <c:v>-25.22323893314</c:v>
                </c:pt>
                <c:pt idx="344">
                  <c:v>-25.5595382254289</c:v>
                </c:pt>
                <c:pt idx="345">
                  <c:v>-25.9259645795924</c:v>
                </c:pt>
                <c:pt idx="346">
                  <c:v>-26.3266456497173</c:v>
                </c:pt>
                <c:pt idx="347">
                  <c:v>-26.7665657308371</c:v>
                </c:pt>
                <c:pt idx="348">
                  <c:v>-27.2518160528442</c:v>
                </c:pt>
                <c:pt idx="349">
                  <c:v>-27.7899417406956</c:v>
                </c:pt>
                <c:pt idx="350">
                  <c:v>-28.3904326180997</c:v>
                </c:pt>
                <c:pt idx="351">
                  <c:v>-29.0654329982499</c:v>
                </c:pt>
                <c:pt idx="352">
                  <c:v>-29.8307926896721</c:v>
                </c:pt>
                <c:pt idx="353">
                  <c:v>-30.7076610487284</c:v>
                </c:pt>
                <c:pt idx="354">
                  <c:v>-31.724956316444</c:v>
                </c:pt>
                <c:pt idx="355">
                  <c:v>-32.9232245062299</c:v>
                </c:pt>
                <c:pt idx="356">
                  <c:v>-34.3604579396619</c:v>
                </c:pt>
                <c:pt idx="357">
                  <c:v>-36.1189903088248</c:v>
                </c:pt>
                <c:pt idx="358">
                  <c:v>-38.3002605641081</c:v>
                </c:pt>
                <c:pt idx="359">
                  <c:v>-40.9086528326762</c:v>
                </c:pt>
                <c:pt idx="360">
                  <c:v>-43.1190743921252</c:v>
                </c:pt>
                <c:pt idx="361">
                  <c:v>-42.5123923583738</c:v>
                </c:pt>
                <c:pt idx="362">
                  <c:v>-39.6298800643813</c:v>
                </c:pt>
                <c:pt idx="363">
                  <c:v>-36.7013254999255</c:v>
                </c:pt>
                <c:pt idx="364">
                  <c:v>-34.2273030113754</c:v>
                </c:pt>
                <c:pt idx="365">
                  <c:v>-32.1527382207292</c:v>
                </c:pt>
                <c:pt idx="366">
                  <c:v>-30.3778136776395</c:v>
                </c:pt>
                <c:pt idx="367">
                  <c:v>-28.826355165957</c:v>
                </c:pt>
                <c:pt idx="368">
                  <c:v>-27.4450780161804</c:v>
                </c:pt>
                <c:pt idx="369">
                  <c:v>-26.1965965079429</c:v>
                </c:pt>
                <c:pt idx="370">
                  <c:v>-25.0540928363183</c:v>
                </c:pt>
                <c:pt idx="371">
                  <c:v>-23.9978384763992</c:v>
                </c:pt>
                <c:pt idx="372">
                  <c:v>-23.0129683367018</c:v>
                </c:pt>
                <c:pt idx="373">
                  <c:v>-22.0880376164038</c:v>
                </c:pt>
                <c:pt idx="374">
                  <c:v>-21.2140650228043</c:v>
                </c:pt>
                <c:pt idx="375">
                  <c:v>-20.3838829750701</c:v>
                </c:pt>
                <c:pt idx="376">
                  <c:v>-19.5916858887041</c:v>
                </c:pt>
                <c:pt idx="377">
                  <c:v>-18.8327092780301</c:v>
                </c:pt>
                <c:pt idx="378">
                  <c:v>-18.1029972268899</c:v>
                </c:pt>
                <c:pt idx="379">
                  <c:v>-17.3992308297337</c:v>
                </c:pt>
                <c:pt idx="380">
                  <c:v>-16.7185995306925</c:v>
                </c:pt>
                <c:pt idx="381">
                  <c:v>-16.0587031919242</c:v>
                </c:pt>
                <c:pt idx="382">
                  <c:v>-15.41747653933</c:v>
                </c:pt>
                <c:pt idx="383">
                  <c:v>-14.7931301509492</c:v>
                </c:pt>
                <c:pt idx="384">
                  <c:v>-14.1841038446904</c:v>
                </c:pt>
                <c:pt idx="385">
                  <c:v>-13.5890294784331</c:v>
                </c:pt>
                <c:pt idx="386">
                  <c:v>-13.0067009789726</c:v>
                </c:pt>
                <c:pt idx="387">
                  <c:v>-12.4360499829497</c:v>
                </c:pt>
                <c:pt idx="388">
                  <c:v>-11.8761258781577</c:v>
                </c:pt>
                <c:pt idx="389">
                  <c:v>-11.3260793272102</c:v>
                </c:pt>
                <c:pt idx="390">
                  <c:v>-10.7851485708189</c:v>
                </c:pt>
                <c:pt idx="391">
                  <c:v>-10.2526479675469</c:v>
                </c:pt>
                <c:pt idx="392">
                  <c:v>-9.7279583465004</c:v>
                </c:pt>
                <c:pt idx="393">
                  <c:v>-9.21051883991671</c:v>
                </c:pt>
                <c:pt idx="394">
                  <c:v>-8.69981993170731</c:v>
                </c:pt>
                <c:pt idx="395">
                  <c:v>-8.19539751123943</c:v>
                </c:pt>
                <c:pt idx="396">
                  <c:v>-7.69682776296468</c:v>
                </c:pt>
                <c:pt idx="397">
                  <c:v>-7.203722754839</c:v>
                </c:pt>
                <c:pt idx="398">
                  <c:v>-6.71572661395583</c:v>
                </c:pt>
                <c:pt idx="399">
                  <c:v>-6.23251219803225</c:v>
                </c:pt>
                <c:pt idx="400">
                  <c:v>-5.75377818752835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"ベント R_v"</c:f>
              <c:strCache>
                <c:ptCount val="1"/>
                <c:pt idx="0">
                  <c:v>ベント R_v</c:v>
                </c:pt>
              </c:strCache>
            </c:strRef>
          </c:tx>
          <c:spPr>
            <a:solidFill>
              <a:srgbClr val="eda100"/>
            </a:solidFill>
            <a:ln w="1512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Spectrum!$AF$9:$AF$409</c:f>
              <c:numCache>
                <c:formatCode>0.00</c:formatCode>
                <c:ptCount val="401"/>
                <c:pt idx="0">
                  <c:v>22.686345514077</c:v>
                </c:pt>
                <c:pt idx="1">
                  <c:v>22.4863452357153</c:v>
                </c:pt>
                <c:pt idx="2">
                  <c:v>22.2863449442349</c:v>
                </c:pt>
                <c:pt idx="3">
                  <c:v>22.0863446390174</c:v>
                </c:pt>
                <c:pt idx="4">
                  <c:v>21.8863443194155</c:v>
                </c:pt>
                <c:pt idx="5">
                  <c:v>21.6863439847514</c:v>
                </c:pt>
                <c:pt idx="6">
                  <c:v>21.486343634315</c:v>
                </c:pt>
                <c:pt idx="7">
                  <c:v>21.2863432673632</c:v>
                </c:pt>
                <c:pt idx="8">
                  <c:v>21.0863428831174</c:v>
                </c:pt>
                <c:pt idx="9">
                  <c:v>20.8863424807628</c:v>
                </c:pt>
                <c:pt idx="10">
                  <c:v>20.6863420594459</c:v>
                </c:pt>
                <c:pt idx="11">
                  <c:v>20.486341618273</c:v>
                </c:pt>
                <c:pt idx="12">
                  <c:v>20.2863411563083</c:v>
                </c:pt>
                <c:pt idx="13">
                  <c:v>20.0863406725719</c:v>
                </c:pt>
                <c:pt idx="14">
                  <c:v>19.8863401660379</c:v>
                </c:pt>
                <c:pt idx="15">
                  <c:v>19.6863396356317</c:v>
                </c:pt>
                <c:pt idx="16">
                  <c:v>19.4863390802283</c:v>
                </c:pt>
                <c:pt idx="17">
                  <c:v>19.2863384986497</c:v>
                </c:pt>
                <c:pt idx="18">
                  <c:v>19.0863378896622</c:v>
                </c:pt>
                <c:pt idx="19">
                  <c:v>18.8863372519741</c:v>
                </c:pt>
                <c:pt idx="20">
                  <c:v>18.6863365842328</c:v>
                </c:pt>
                <c:pt idx="21">
                  <c:v>18.4863358850221</c:v>
                </c:pt>
                <c:pt idx="22">
                  <c:v>18.2863351528586</c:v>
                </c:pt>
                <c:pt idx="23">
                  <c:v>18.0863343861894</c:v>
                </c:pt>
                <c:pt idx="24">
                  <c:v>17.8863335833884</c:v>
                </c:pt>
                <c:pt idx="25">
                  <c:v>17.6863327427527</c:v>
                </c:pt>
                <c:pt idx="26">
                  <c:v>17.4863318624992</c:v>
                </c:pt>
                <c:pt idx="27">
                  <c:v>17.2863309407608</c:v>
                </c:pt>
                <c:pt idx="28">
                  <c:v>17.0863299755824</c:v>
                </c:pt>
                <c:pt idx="29">
                  <c:v>16.8863289649167</c:v>
                </c:pt>
                <c:pt idx="30">
                  <c:v>16.6863279066201</c:v>
                </c:pt>
                <c:pt idx="31">
                  <c:v>16.4863267984477</c:v>
                </c:pt>
                <c:pt idx="32">
                  <c:v>16.2863256380489</c:v>
                </c:pt>
                <c:pt idx="33">
                  <c:v>16.0863244229624</c:v>
                </c:pt>
                <c:pt idx="34">
                  <c:v>15.886323150611</c:v>
                </c:pt>
                <c:pt idx="35">
                  <c:v>15.6863218182957</c:v>
                </c:pt>
                <c:pt idx="36">
                  <c:v>15.4863204231906</c:v>
                </c:pt>
                <c:pt idx="37">
                  <c:v>15.2863189623366</c:v>
                </c:pt>
                <c:pt idx="38">
                  <c:v>15.0863174326349</c:v>
                </c:pt>
                <c:pt idx="39">
                  <c:v>14.8863158308409</c:v>
                </c:pt>
                <c:pt idx="40">
                  <c:v>14.6863141535571</c:v>
                </c:pt>
                <c:pt idx="41">
                  <c:v>14.4863123972257</c:v>
                </c:pt>
                <c:pt idx="42">
                  <c:v>14.2863105581212</c:v>
                </c:pt>
                <c:pt idx="43">
                  <c:v>14.0863086323429</c:v>
                </c:pt>
                <c:pt idx="44">
                  <c:v>13.8863066158057</c:v>
                </c:pt>
                <c:pt idx="45">
                  <c:v>13.6863045042325</c:v>
                </c:pt>
                <c:pt idx="46">
                  <c:v>13.4863022931445</c:v>
                </c:pt>
                <c:pt idx="47">
                  <c:v>13.2862999778515</c:v>
                </c:pt>
                <c:pt idx="48">
                  <c:v>13.0862975534426</c:v>
                </c:pt>
                <c:pt idx="49">
                  <c:v>12.8862950147753</c:v>
                </c:pt>
                <c:pt idx="50">
                  <c:v>12.6862923564648</c:v>
                </c:pt>
                <c:pt idx="51">
                  <c:v>12.4862895728725</c:v>
                </c:pt>
                <c:pt idx="52">
                  <c:v>12.2862866580942</c:v>
                </c:pt>
                <c:pt idx="53">
                  <c:v>12.0862836059471</c:v>
                </c:pt>
                <c:pt idx="54">
                  <c:v>11.8862804099573</c:v>
                </c:pt>
                <c:pt idx="55">
                  <c:v>11.6862770633457</c:v>
                </c:pt>
                <c:pt idx="56">
                  <c:v>11.4862735590138</c:v>
                </c:pt>
                <c:pt idx="57">
                  <c:v>11.2862698895285</c:v>
                </c:pt>
                <c:pt idx="58">
                  <c:v>11.0862660471062</c:v>
                </c:pt>
                <c:pt idx="59">
                  <c:v>10.8862620235967</c:v>
                </c:pt>
                <c:pt idx="60">
                  <c:v>10.6862578104658</c:v>
                </c:pt>
                <c:pt idx="61">
                  <c:v>10.4862533987766</c:v>
                </c:pt>
                <c:pt idx="62">
                  <c:v>10.2862487791717</c:v>
                </c:pt>
                <c:pt idx="63">
                  <c:v>10.0862439418519</c:v>
                </c:pt>
                <c:pt idx="64">
                  <c:v>9.88623887655694</c:v>
                </c:pt>
                <c:pt idx="65">
                  <c:v>9.68623357254241</c:v>
                </c:pt>
                <c:pt idx="66">
                  <c:v>9.48622801855791</c:v>
                </c:pt>
                <c:pt idx="67">
                  <c:v>9.28622220282255</c:v>
                </c:pt>
                <c:pt idx="68">
                  <c:v>9.0862161130005</c:v>
                </c:pt>
                <c:pt idx="69">
                  <c:v>8.88620973617415</c:v>
                </c:pt>
                <c:pt idx="70">
                  <c:v>8.68620305881753</c:v>
                </c:pt>
                <c:pt idx="71">
                  <c:v>8.48619606676678</c:v>
                </c:pt>
                <c:pt idx="72">
                  <c:v>8.28618874519083</c:v>
                </c:pt>
                <c:pt idx="73">
                  <c:v>8.08618107855945</c:v>
                </c:pt>
                <c:pt idx="74">
                  <c:v>7.88617305061052</c:v>
                </c:pt>
                <c:pt idx="75">
                  <c:v>7.68616464431533</c:v>
                </c:pt>
                <c:pt idx="76">
                  <c:v>7.4861558418429</c:v>
                </c:pt>
                <c:pt idx="77">
                  <c:v>7.28614662452163</c:v>
                </c:pt>
                <c:pt idx="78">
                  <c:v>7.08613697279998</c:v>
                </c:pt>
                <c:pt idx="79">
                  <c:v>6.88612686620491</c:v>
                </c:pt>
                <c:pt idx="80">
                  <c:v>6.68611628329848</c:v>
                </c:pt>
                <c:pt idx="81">
                  <c:v>6.48610520163245</c:v>
                </c:pt>
                <c:pt idx="82">
                  <c:v>6.28609359770034</c:v>
                </c:pt>
                <c:pt idx="83">
                  <c:v>6.08608144688801</c:v>
                </c:pt>
                <c:pt idx="84">
                  <c:v>5.88606872342102</c:v>
                </c:pt>
                <c:pt idx="85">
                  <c:v>5.68605540031025</c:v>
                </c:pt>
                <c:pt idx="86">
                  <c:v>5.48604144929447</c:v>
                </c:pt>
                <c:pt idx="87">
                  <c:v>5.28602684078051</c:v>
                </c:pt>
                <c:pt idx="88">
                  <c:v>5.08601154378031</c:v>
                </c:pt>
                <c:pt idx="89">
                  <c:v>4.8859955258452</c:v>
                </c:pt>
                <c:pt idx="90">
                  <c:v>4.68597875299721</c:v>
                </c:pt>
                <c:pt idx="91">
                  <c:v>4.48596118965691</c:v>
                </c:pt>
                <c:pt idx="92">
                  <c:v>4.28594279856771</c:v>
                </c:pt>
                <c:pt idx="93">
                  <c:v>4.08592354071698</c:v>
                </c:pt>
                <c:pt idx="94">
                  <c:v>3.88590337525345</c:v>
                </c:pt>
                <c:pt idx="95">
                  <c:v>3.68588225940015</c:v>
                </c:pt>
                <c:pt idx="96">
                  <c:v>3.48586014836389</c:v>
                </c:pt>
                <c:pt idx="97">
                  <c:v>3.28583699524006</c:v>
                </c:pt>
                <c:pt idx="98">
                  <c:v>3.08581275091316</c:v>
                </c:pt>
                <c:pt idx="99">
                  <c:v>2.8857873639527</c:v>
                </c:pt>
                <c:pt idx="100">
                  <c:v>2.68576078050373</c:v>
                </c:pt>
                <c:pt idx="101">
                  <c:v>2.48573294417278</c:v>
                </c:pt>
                <c:pt idx="102">
                  <c:v>2.28570379590817</c:v>
                </c:pt>
                <c:pt idx="103">
                  <c:v>2.08567327387455</c:v>
                </c:pt>
                <c:pt idx="104">
                  <c:v>1.88564131332176</c:v>
                </c:pt>
                <c:pt idx="105">
                  <c:v>1.68560784644733</c:v>
                </c:pt>
                <c:pt idx="106">
                  <c:v>1.48557280225255</c:v>
                </c:pt>
                <c:pt idx="107">
                  <c:v>1.28553610639181</c:v>
                </c:pt>
                <c:pt idx="108">
                  <c:v>1.08549768101478</c:v>
                </c:pt>
                <c:pt idx="109">
                  <c:v>0.885457444600907</c:v>
                </c:pt>
                <c:pt idx="110">
                  <c:v>0.685415311786779</c:v>
                </c:pt>
                <c:pt idx="111">
                  <c:v>0.485371193184527</c:v>
                </c:pt>
                <c:pt idx="112">
                  <c:v>0.285324995192009</c:v>
                </c:pt>
                <c:pt idx="113">
                  <c:v>0.0852766197942688</c:v>
                </c:pt>
                <c:pt idx="114">
                  <c:v>-0.114774035644508</c:v>
                </c:pt>
                <c:pt idx="115">
                  <c:v>-0.314827078599537</c:v>
                </c:pt>
                <c:pt idx="116">
                  <c:v>-0.514882621613033</c:v>
                </c:pt>
                <c:pt idx="117">
                  <c:v>-0.714940782533397</c:v>
                </c:pt>
                <c:pt idx="118">
                  <c:v>-0.915001684765935</c:v>
                </c:pt>
                <c:pt idx="119">
                  <c:v>-1.11506545753452</c:v>
                </c:pt>
                <c:pt idx="120">
                  <c:v>-1.31513223615622</c:v>
                </c:pt>
                <c:pt idx="121">
                  <c:v>-1.51520216232907</c:v>
                </c:pt>
                <c:pt idx="122">
                  <c:v>-1.7152753844329</c:v>
                </c:pt>
                <c:pt idx="123">
                  <c:v>-1.91535205784458</c:v>
                </c:pt>
                <c:pt idx="124">
                  <c:v>-2.11543234526812</c:v>
                </c:pt>
                <c:pt idx="125">
                  <c:v>-2.31551641708103</c:v>
                </c:pt>
                <c:pt idx="126">
                  <c:v>-2.5156044516958</c:v>
                </c:pt>
                <c:pt idx="127">
                  <c:v>-2.71569663593945</c:v>
                </c:pt>
                <c:pt idx="128">
                  <c:v>-2.91579316545074</c:v>
                </c:pt>
                <c:pt idx="129">
                  <c:v>-3.11589424509625</c:v>
                </c:pt>
                <c:pt idx="130">
                  <c:v>-3.31600008940546</c:v>
                </c:pt>
                <c:pt idx="131">
                  <c:v>-3.51611092302792</c:v>
                </c:pt>
                <c:pt idx="132">
                  <c:v>-3.7162269812101</c:v>
                </c:pt>
                <c:pt idx="133">
                  <c:v>-3.91634851029669</c:v>
                </c:pt>
                <c:pt idx="134">
                  <c:v>-4.11647576825421</c:v>
                </c:pt>
                <c:pt idx="135">
                  <c:v>-4.31660902521999</c:v>
                </c:pt>
                <c:pt idx="136">
                  <c:v>-4.51674856407747</c:v>
                </c:pt>
                <c:pt idx="137">
                  <c:v>-4.716894681058</c:v>
                </c:pt>
                <c:pt idx="138">
                  <c:v>-4.91704768637154</c:v>
                </c:pt>
                <c:pt idx="139">
                  <c:v>-5.11720790486751</c:v>
                </c:pt>
                <c:pt idx="140">
                  <c:v>-5.31737567672636</c:v>
                </c:pt>
                <c:pt idx="141">
                  <c:v>-5.51755135818462</c:v>
                </c:pt>
                <c:pt idx="142">
                  <c:v>-5.7177353222935</c:v>
                </c:pt>
                <c:pt idx="143">
                  <c:v>-5.9179279597143</c:v>
                </c:pt>
                <c:pt idx="144">
                  <c:v>-6.11812967955094</c:v>
                </c:pt>
                <c:pt idx="145">
                  <c:v>-6.31834091022272</c:v>
                </c:pt>
                <c:pt idx="146">
                  <c:v>-6.51856210037729</c:v>
                </c:pt>
                <c:pt idx="147">
                  <c:v>-6.71879371984849</c:v>
                </c:pt>
                <c:pt idx="148">
                  <c:v>-6.91903626065893</c:v>
                </c:pt>
                <c:pt idx="149">
                  <c:v>-7.11929023806944</c:v>
                </c:pt>
                <c:pt idx="150">
                  <c:v>-7.31955619168065</c:v>
                </c:pt>
                <c:pt idx="151">
                  <c:v>-7.51983468658419</c:v>
                </c:pt>
                <c:pt idx="152">
                  <c:v>-7.72012631457117</c:v>
                </c:pt>
                <c:pt idx="153">
                  <c:v>-7.92043169539643</c:v>
                </c:pt>
                <c:pt idx="154">
                  <c:v>-8.12075147810423</c:v>
                </c:pt>
                <c:pt idx="155">
                  <c:v>-8.32108634241638</c:v>
                </c:pt>
                <c:pt idx="156">
                  <c:v>-8.52143700018687</c:v>
                </c:pt>
                <c:pt idx="157">
                  <c:v>-8.72180419692583</c:v>
                </c:pt>
                <c:pt idx="158">
                  <c:v>-8.9221887133966</c:v>
                </c:pt>
                <c:pt idx="159">
                  <c:v>-9.12259136728856</c:v>
                </c:pt>
                <c:pt idx="160">
                  <c:v>-9.32301301497016</c:v>
                </c:pt>
                <c:pt idx="161">
                  <c:v>-9.52345455332634</c:v>
                </c:pt>
                <c:pt idx="162">
                  <c:v>-9.72391692168298</c:v>
                </c:pt>
                <c:pt idx="163">
                  <c:v>-9.92440110382433</c:v>
                </c:pt>
                <c:pt idx="164">
                  <c:v>-10.124908130107</c:v>
                </c:pt>
                <c:pt idx="165">
                  <c:v>-10.325439079675</c:v>
                </c:pt>
                <c:pt idx="166">
                  <c:v>-10.5259950827818</c:v>
                </c:pt>
                <c:pt idx="167">
                  <c:v>-10.7265773232238</c:v>
                </c:pt>
                <c:pt idx="168">
                  <c:v>-10.9271870408907</c:v>
                </c:pt>
                <c:pt idx="169">
                  <c:v>-11.1278255344387</c:v>
                </c:pt>
                <c:pt idx="170">
                  <c:v>-11.3284941640934</c:v>
                </c:pt>
                <c:pt idx="171">
                  <c:v>-11.5291943545869</c:v>
                </c:pt>
                <c:pt idx="172">
                  <c:v>-11.7299275982374</c:v>
                </c:pt>
                <c:pt idx="173">
                  <c:v>-11.9306954581779</c:v>
                </c:pt>
                <c:pt idx="174">
                  <c:v>-12.1314995717412</c:v>
                </c:pt>
                <c:pt idx="175">
                  <c:v>-12.332341654009</c:v>
                </c:pt>
                <c:pt idx="176">
                  <c:v>-12.5332235015334</c:v>
                </c:pt>
                <c:pt idx="177">
                  <c:v>-12.7341469962395</c:v>
                </c:pt>
                <c:pt idx="178">
                  <c:v>-12.9351141095184</c:v>
                </c:pt>
                <c:pt idx="179">
                  <c:v>-13.136126906519</c:v>
                </c:pt>
                <c:pt idx="180">
                  <c:v>-13.3371875506507</c:v>
                </c:pt>
                <c:pt idx="181">
                  <c:v>-13.5382983083054</c:v>
                </c:pt>
                <c:pt idx="182">
                  <c:v>-13.7394615538117</c:v>
                </c:pt>
                <c:pt idx="183">
                  <c:v>-13.9406797746325</c:v>
                </c:pt>
                <c:pt idx="184">
                  <c:v>-14.1419555768179</c:v>
                </c:pt>
                <c:pt idx="185">
                  <c:v>-14.3432916907275</c:v>
                </c:pt>
                <c:pt idx="186">
                  <c:v>-14.544690977035</c:v>
                </c:pt>
                <c:pt idx="187">
                  <c:v>-14.7461564330308</c:v>
                </c:pt>
                <c:pt idx="188">
                  <c:v>-14.9476911992369</c:v>
                </c:pt>
                <c:pt idx="189">
                  <c:v>-15.1492985663513</c:v>
                </c:pt>
                <c:pt idx="190">
                  <c:v>-15.3509819825381</c:v>
                </c:pt>
                <c:pt idx="191">
                  <c:v>-15.5527450610832</c:v>
                </c:pt>
                <c:pt idx="192">
                  <c:v>-15.7545915884326</c:v>
                </c:pt>
                <c:pt idx="193">
                  <c:v>-15.956525532636</c:v>
                </c:pt>
                <c:pt idx="194">
                  <c:v>-16.1585510522155</c:v>
                </c:pt>
                <c:pt idx="195">
                  <c:v>-16.3606725054828</c:v>
                </c:pt>
                <c:pt idx="196">
                  <c:v>-16.5628944603294</c:v>
                </c:pt>
                <c:pt idx="197">
                  <c:v>-16.7652217045153</c:v>
                </c:pt>
                <c:pt idx="198">
                  <c:v>-16.9676592564826</c:v>
                </c:pt>
                <c:pt idx="199">
                  <c:v>-17.1702123767241</c:v>
                </c:pt>
                <c:pt idx="200">
                  <c:v>-17.3728865797365</c:v>
                </c:pt>
                <c:pt idx="201">
                  <c:v>-17.5756876465906</c:v>
                </c:pt>
                <c:pt idx="202">
                  <c:v>-17.7786216381543</c:v>
                </c:pt>
                <c:pt idx="203">
                  <c:v>-17.9816949090034</c:v>
                </c:pt>
                <c:pt idx="204">
                  <c:v>-18.1849141220596</c:v>
                </c:pt>
                <c:pt idx="205">
                  <c:v>-18.388286263999</c:v>
                </c:pt>
                <c:pt idx="206">
                  <c:v>-18.5918186614719</c:v>
                </c:pt>
                <c:pt idx="207">
                  <c:v>-18.7955189981849</c:v>
                </c:pt>
                <c:pt idx="208">
                  <c:v>-18.9993953328918</c:v>
                </c:pt>
                <c:pt idx="209">
                  <c:v>-19.2034561183496</c:v>
                </c:pt>
                <c:pt idx="210">
                  <c:v>-19.4077102212961</c:v>
                </c:pt>
                <c:pt idx="211">
                  <c:v>-19.6121669435089</c:v>
                </c:pt>
                <c:pt idx="212">
                  <c:v>-19.816836044013</c:v>
                </c:pt>
                <c:pt idx="213">
                  <c:v>-20.0217277625059</c:v>
                </c:pt>
                <c:pt idx="214">
                  <c:v>-20.2268528440753</c:v>
                </c:pt>
                <c:pt idx="215">
                  <c:v>-20.4322225652893</c:v>
                </c:pt>
                <c:pt idx="216">
                  <c:v>-20.6378487617455</c:v>
                </c:pt>
                <c:pt idx="217">
                  <c:v>-20.8437438571714</c:v>
                </c:pt>
                <c:pt idx="218">
                  <c:v>-21.0499208941753</c:v>
                </c:pt>
                <c:pt idx="219">
                  <c:v>-21.2563935667533</c:v>
                </c:pt>
                <c:pt idx="220">
                  <c:v>-21.4631762546685</c:v>
                </c:pt>
                <c:pt idx="221">
                  <c:v>-21.6702840598258</c:v>
                </c:pt>
                <c:pt idx="222">
                  <c:v>-21.8777328447743</c:v>
                </c:pt>
                <c:pt idx="223">
                  <c:v>-22.0855392734824</c:v>
                </c:pt>
                <c:pt idx="224">
                  <c:v>-22.2937208545392</c:v>
                </c:pt>
                <c:pt idx="225">
                  <c:v>-22.5022959869534</c:v>
                </c:pt>
                <c:pt idx="226">
                  <c:v>-22.7112840087254</c:v>
                </c:pt>
                <c:pt idx="227">
                  <c:v>-22.9207052483956</c:v>
                </c:pt>
                <c:pt idx="228">
                  <c:v>-23.130581079778</c:v>
                </c:pt>
                <c:pt idx="229">
                  <c:v>-23.3409339801115</c:v>
                </c:pt>
                <c:pt idx="230">
                  <c:v>-23.5517875918812</c:v>
                </c:pt>
                <c:pt idx="231">
                  <c:v>-23.7631667885834</c:v>
                </c:pt>
                <c:pt idx="232">
                  <c:v>-23.9750977447293</c:v>
                </c:pt>
                <c:pt idx="233">
                  <c:v>-24.1876080104177</c:v>
                </c:pt>
                <c:pt idx="234">
                  <c:v>-24.4007265908262</c:v>
                </c:pt>
                <c:pt idx="235">
                  <c:v>-24.6144840310103</c:v>
                </c:pt>
                <c:pt idx="236">
                  <c:v>-24.8289125064362</c:v>
                </c:pt>
                <c:pt idx="237">
                  <c:v>-25.0440459197089</c:v>
                </c:pt>
                <c:pt idx="238">
                  <c:v>-25.2599200040076</c:v>
                </c:pt>
                <c:pt idx="239">
                  <c:v>-25.4765724337868</c:v>
                </c:pt>
                <c:pt idx="240">
                  <c:v>-25.6940429433605</c:v>
                </c:pt>
                <c:pt idx="241">
                  <c:v>-25.9123734540462</c:v>
                </c:pt>
                <c:pt idx="242">
                  <c:v>-26.1316082106174</c:v>
                </c:pt>
                <c:pt idx="243">
                  <c:v>-26.3517939278925</c:v>
                </c:pt>
                <c:pt idx="244">
                  <c:v>-26.5729799483715</c:v>
                </c:pt>
                <c:pt idx="245">
                  <c:v>-26.7952184119361</c:v>
                </c:pt>
                <c:pt idx="246">
                  <c:v>-27.0185644387347</c:v>
                </c:pt>
                <c:pt idx="247">
                  <c:v>-27.2430763265049</c:v>
                </c:pt>
                <c:pt idx="248">
                  <c:v>-27.4688157637183</c:v>
                </c:pt>
                <c:pt idx="249">
                  <c:v>-27.6958480601053</c:v>
                </c:pt>
                <c:pt idx="250">
                  <c:v>-27.9242423962853</c:v>
                </c:pt>
                <c:pt idx="251">
                  <c:v>-28.1540720944449</c:v>
                </c:pt>
                <c:pt idx="252">
                  <c:v>-28.3854149122349</c:v>
                </c:pt>
                <c:pt idx="253">
                  <c:v>-28.6183533623265</c:v>
                </c:pt>
                <c:pt idx="254">
                  <c:v>-28.8529750603747</c:v>
                </c:pt>
                <c:pt idx="255">
                  <c:v>-29.0893731044827</c:v>
                </c:pt>
                <c:pt idx="256">
                  <c:v>-29.3276464896707</c:v>
                </c:pt>
                <c:pt idx="257">
                  <c:v>-29.5679005613077</c:v>
                </c:pt>
                <c:pt idx="258">
                  <c:v>-29.8102475120064</c:v>
                </c:pt>
                <c:pt idx="259">
                  <c:v>-30.0548069270951</c:v>
                </c:pt>
                <c:pt idx="260">
                  <c:v>-30.3017063844991</c:v>
                </c:pt>
                <c:pt idx="261">
                  <c:v>-30.5510821156979</c:v>
                </c:pt>
                <c:pt idx="262">
                  <c:v>-30.803079735397</c:v>
                </c:pt>
                <c:pt idx="263">
                  <c:v>-31.0578550486884</c:v>
                </c:pt>
                <c:pt idx="264">
                  <c:v>-31.3155749458109</c:v>
                </c:pt>
                <c:pt idx="265">
                  <c:v>-31.5764183961878</c:v>
                </c:pt>
                <c:pt idx="266">
                  <c:v>-31.8405775552743</c:v>
                </c:pt>
                <c:pt idx="267">
                  <c:v>-32.1082589999412</c:v>
                </c:pt>
                <c:pt idx="268">
                  <c:v>-32.3796851107304</c:v>
                </c:pt>
                <c:pt idx="269">
                  <c:v>-32.6550956224297</c:v>
                </c:pt>
                <c:pt idx="270">
                  <c:v>-32.9347493681425</c:v>
                </c:pt>
                <c:pt idx="271">
                  <c:v>-33.2189262465078</c:v>
                </c:pt>
                <c:pt idx="272">
                  <c:v>-33.5079294471353</c:v>
                </c:pt>
                <c:pt idx="273">
                  <c:v>-33.802087975878</c:v>
                </c:pt>
                <c:pt idx="274">
                  <c:v>-34.1017595295505</c:v>
                </c:pt>
                <c:pt idx="275">
                  <c:v>-34.4073337794687</c:v>
                </c:pt>
                <c:pt idx="276">
                  <c:v>-34.7192361351958</c:v>
                </c:pt>
                <c:pt idx="277">
                  <c:v>-35.0379320747136</c:v>
                </c:pt>
                <c:pt idx="278">
                  <c:v>-35.3639321456646</c:v>
                </c:pt>
                <c:pt idx="279">
                  <c:v>-35.6977977653112</c:v>
                </c:pt>
                <c:pt idx="280">
                  <c:v>-36.0401479757498</c:v>
                </c:pt>
                <c:pt idx="281">
                  <c:v>-36.3916673474014</c:v>
                </c:pt>
                <c:pt idx="282">
                  <c:v>-36.7531152701664</c:v>
                </c:pt>
                <c:pt idx="283">
                  <c:v>-37.1253369309198</c:v>
                </c:pt>
                <c:pt idx="284">
                  <c:v>-37.509276352314</c:v>
                </c:pt>
                <c:pt idx="285">
                  <c:v>-37.9059919666887</c:v>
                </c:pt>
                <c:pt idx="286">
                  <c:v>-38.3166753277374</c:v>
                </c:pt>
                <c:pt idx="287">
                  <c:v>-38.7426737316793</c:v>
                </c:pt>
                <c:pt idx="288">
                  <c:v>-39.1855177429894</c:v>
                </c:pt>
                <c:pt idx="289">
                  <c:v>-39.6469549163146</c:v>
                </c:pt>
                <c:pt idx="290">
                  <c:v>-40.1289914019734</c:v>
                </c:pt>
                <c:pt idx="291">
                  <c:v>-40.633943652195</c:v>
                </c:pt>
                <c:pt idx="292">
                  <c:v>-41.164503154455</c:v>
                </c:pt>
                <c:pt idx="293">
                  <c:v>-41.7238180628882</c:v>
                </c:pt>
                <c:pt idx="294">
                  <c:v>-42.3155968388242</c:v>
                </c:pt>
                <c:pt idx="295">
                  <c:v>-42.9442405857792</c:v>
                </c:pt>
                <c:pt idx="296">
                  <c:v>-43.6150126149855</c:v>
                </c:pt>
                <c:pt idx="297">
                  <c:v>-44.3342555410339</c:v>
                </c:pt>
                <c:pt idx="298">
                  <c:v>-45.1096666477228</c:v>
                </c:pt>
                <c:pt idx="299">
                  <c:v>-45.9506377399217</c:v>
                </c:pt>
                <c:pt idx="300">
                  <c:v>-46.8686459340885</c:v>
                </c:pt>
                <c:pt idx="301">
                  <c:v>-47.8776179965309</c:v>
                </c:pt>
                <c:pt idx="302">
                  <c:v>-48.9940008860343</c:v>
                </c:pt>
                <c:pt idx="303">
                  <c:v>-50.2357177384011</c:v>
                </c:pt>
                <c:pt idx="304">
                  <c:v>-51.6175841780882</c:v>
                </c:pt>
                <c:pt idx="305">
                  <c:v>-53.1362474721089</c:v>
                </c:pt>
                <c:pt idx="306">
                  <c:v>-54.7268955700176</c:v>
                </c:pt>
                <c:pt idx="307">
                  <c:v>-56.1645873227427</c:v>
                </c:pt>
                <c:pt idx="308">
                  <c:v>-56.9726420907068</c:v>
                </c:pt>
                <c:pt idx="309">
                  <c:v>-56.7064403956576</c:v>
                </c:pt>
                <c:pt idx="310">
                  <c:v>-55.5292577773396</c:v>
                </c:pt>
                <c:pt idx="311">
                  <c:v>-53.9758997487089</c:v>
                </c:pt>
                <c:pt idx="312">
                  <c:v>-52.4043868617205</c:v>
                </c:pt>
                <c:pt idx="313">
                  <c:v>-50.9478716876171</c:v>
                </c:pt>
                <c:pt idx="314">
                  <c:v>-49.6337677304983</c:v>
                </c:pt>
                <c:pt idx="315">
                  <c:v>-48.4537729967063</c:v>
                </c:pt>
                <c:pt idx="316">
                  <c:v>-47.3906171923446</c:v>
                </c:pt>
                <c:pt idx="317">
                  <c:v>-46.4268086893684</c:v>
                </c:pt>
                <c:pt idx="318">
                  <c:v>-45.5470597666204</c:v>
                </c:pt>
                <c:pt idx="319">
                  <c:v>-44.7386380589942</c:v>
                </c:pt>
                <c:pt idx="320">
                  <c:v>-43.9911019864474</c:v>
                </c:pt>
                <c:pt idx="321">
                  <c:v>-43.2959067967668</c:v>
                </c:pt>
                <c:pt idx="322">
                  <c:v>-42.646033708148</c:v>
                </c:pt>
                <c:pt idx="323">
                  <c:v>-42.0356806112218</c:v>
                </c:pt>
                <c:pt idx="324">
                  <c:v>-41.4600154802176</c:v>
                </c:pt>
                <c:pt idx="325">
                  <c:v>-40.9149831067962</c:v>
                </c:pt>
                <c:pt idx="326">
                  <c:v>-40.3971543148035</c:v>
                </c:pt>
                <c:pt idx="327">
                  <c:v>-39.9036081318321</c:v>
                </c:pt>
                <c:pt idx="328">
                  <c:v>-39.4318392787344</c:v>
                </c:pt>
                <c:pt idx="329">
                  <c:v>-38.9796850774625</c:v>
                </c:pt>
                <c:pt idx="330">
                  <c:v>-38.5452672925213</c:v>
                </c:pt>
                <c:pt idx="331">
                  <c:v>-38.1269455146716</c:v>
                </c:pt>
                <c:pt idx="332">
                  <c:v>-37.7232795213803</c:v>
                </c:pt>
                <c:pt idx="333">
                  <c:v>-37.3329986665295</c:v>
                </c:pt>
                <c:pt idx="334">
                  <c:v>-36.9549768133595</c:v>
                </c:pt>
                <c:pt idx="335">
                  <c:v>-36.5882116697657</c:v>
                </c:pt>
                <c:pt idx="336">
                  <c:v>-36.2318076442511</c:v>
                </c:pt>
                <c:pt idx="337">
                  <c:v>-35.8849615364987</c:v>
                </c:pt>
                <c:pt idx="338">
                  <c:v>-35.5469505251224</c:v>
                </c:pt>
                <c:pt idx="339">
                  <c:v>-35.2171220287323</c:v>
                </c:pt>
                <c:pt idx="340">
                  <c:v>-34.8948851038315</c:v>
                </c:pt>
                <c:pt idx="341">
                  <c:v>-34.5797031107294</c:v>
                </c:pt>
                <c:pt idx="342">
                  <c:v>-34.2710874313972</c:v>
                </c:pt>
                <c:pt idx="343">
                  <c:v>-33.9685920645627</c:v>
                </c:pt>
                <c:pt idx="344">
                  <c:v>-33.6718089559913</c:v>
                </c:pt>
                <c:pt idx="345">
                  <c:v>-33.3803639478218</c:v>
                </c:pt>
                <c:pt idx="346">
                  <c:v>-33.0939132515218</c:v>
                </c:pt>
                <c:pt idx="347">
                  <c:v>-32.8121403656534</c:v>
                </c:pt>
                <c:pt idx="348">
                  <c:v>-32.5347533730492</c:v>
                </c:pt>
                <c:pt idx="349">
                  <c:v>-32.2614825628891</c:v>
                </c:pt>
                <c:pt idx="350">
                  <c:v>-31.9920783320419</c:v>
                </c:pt>
                <c:pt idx="351">
                  <c:v>-31.7263093273073</c:v>
                </c:pt>
                <c:pt idx="352">
                  <c:v>-31.4639607961795</c:v>
                </c:pt>
                <c:pt idx="353">
                  <c:v>-31.2048331186963</c:v>
                </c:pt>
                <c:pt idx="354">
                  <c:v>-30.948740497046</c:v>
                </c:pt>
                <c:pt idx="355">
                  <c:v>-30.6955097830255</c:v>
                </c:pt>
                <c:pt idx="356">
                  <c:v>-30.444979426301</c:v>
                </c:pt>
                <c:pt idx="357">
                  <c:v>-30.196998528832</c:v>
                </c:pt>
                <c:pt idx="358">
                  <c:v>-29.951425992839</c:v>
                </c:pt>
                <c:pt idx="359">
                  <c:v>-29.7081297514115</c:v>
                </c:pt>
                <c:pt idx="360">
                  <c:v>-29.4669860723031</c:v>
                </c:pt>
                <c:pt idx="361">
                  <c:v>-29.2278789266989</c:v>
                </c:pt>
                <c:pt idx="362">
                  <c:v>-28.9906994157949</c:v>
                </c:pt>
                <c:pt idx="363">
                  <c:v>-28.7553452489337</c:v>
                </c:pt>
                <c:pt idx="364">
                  <c:v>-28.5217202678146</c:v>
                </c:pt>
                <c:pt idx="365">
                  <c:v>-28.28973401197</c:v>
                </c:pt>
                <c:pt idx="366">
                  <c:v>-28.0593013212692</c:v>
                </c:pt>
                <c:pt idx="367">
                  <c:v>-27.8303419717172</c:v>
                </c:pt>
                <c:pt idx="368">
                  <c:v>-27.6027803412448</c:v>
                </c:pt>
                <c:pt idx="369">
                  <c:v>-27.3765451025656</c:v>
                </c:pt>
                <c:pt idx="370">
                  <c:v>-27.1515689405033</c:v>
                </c:pt>
                <c:pt idx="371">
                  <c:v>-26.9277882914792</c:v>
                </c:pt>
                <c:pt idx="372">
                  <c:v>-26.7051431031028</c:v>
                </c:pt>
                <c:pt idx="373">
                  <c:v>-26.4835766120277</c:v>
                </c:pt>
                <c:pt idx="374">
                  <c:v>-26.2630351384298</c:v>
                </c:pt>
                <c:pt idx="375">
                  <c:v>-26.0434678956348</c:v>
                </c:pt>
                <c:pt idx="376">
                  <c:v>-25.8248268135741</c:v>
                </c:pt>
                <c:pt idx="377">
                  <c:v>-25.6070663748814</c:v>
                </c:pt>
                <c:pt idx="378">
                  <c:v>-25.3901434625592</c:v>
                </c:pt>
                <c:pt idx="379">
                  <c:v>-25.174017218252</c:v>
                </c:pt>
                <c:pt idx="380">
                  <c:v>-24.9586489102528</c:v>
                </c:pt>
                <c:pt idx="381">
                  <c:v>-24.7440018104572</c:v>
                </c:pt>
                <c:pt idx="382">
                  <c:v>-24.5300410795481</c:v>
                </c:pt>
                <c:pt idx="383">
                  <c:v>-24.3167336597655</c:v>
                </c:pt>
                <c:pt idx="384">
                  <c:v>-24.1040481746715</c:v>
                </c:pt>
                <c:pt idx="385">
                  <c:v>-23.8919548353759</c:v>
                </c:pt>
                <c:pt idx="386">
                  <c:v>-23.6804253527328</c:v>
                </c:pt>
                <c:pt idx="387">
                  <c:v>-23.4694328550664</c:v>
                </c:pt>
                <c:pt idx="388">
                  <c:v>-23.2589518110169</c:v>
                </c:pt>
                <c:pt idx="389">
                  <c:v>-23.0489579571363</c:v>
                </c:pt>
                <c:pt idx="390">
                  <c:v>-22.8394282298933</c:v>
                </c:pt>
                <c:pt idx="391">
                  <c:v>-22.6303407017766</c:v>
                </c:pt>
                <c:pt idx="392">
                  <c:v>-22.4216745212091</c:v>
                </c:pt>
                <c:pt idx="393">
                  <c:v>-22.2134098560113</c:v>
                </c:pt>
                <c:pt idx="394">
                  <c:v>-22.0055278401708</c:v>
                </c:pt>
                <c:pt idx="395">
                  <c:v>-21.7980105236973</c:v>
                </c:pt>
                <c:pt idx="396">
                  <c:v>-21.5908408253557</c:v>
                </c:pt>
                <c:pt idx="397">
                  <c:v>-21.3840024880895</c:v>
                </c:pt>
                <c:pt idx="398">
                  <c:v>-21.1774800369592</c:v>
                </c:pt>
                <c:pt idx="399">
                  <c:v>-20.9712587394334</c:v>
                </c:pt>
                <c:pt idx="400">
                  <c:v>-20.7653245678841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"バイアス抵抗 R_b"</c:f>
              <c:strCache>
                <c:ptCount val="1"/>
                <c:pt idx="0">
                  <c:v>バイアス抵抗 R_b</c:v>
                </c:pt>
              </c:strCache>
            </c:strRef>
          </c:tx>
          <c:spPr>
            <a:solidFill>
              <a:srgbClr val="e87ba4"/>
            </a:solidFill>
            <a:ln w="1512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Spectrum!$AG$9:$AG$409</c:f>
              <c:numCache>
                <c:formatCode>0.00</c:formatCode>
                <c:ptCount val="401"/>
                <c:pt idx="0">
                  <c:v>28.4462370673032</c:v>
                </c:pt>
                <c:pt idx="1">
                  <c:v>28.0696990515115</c:v>
                </c:pt>
                <c:pt idx="2">
                  <c:v>27.694131666841</c:v>
                </c:pt>
                <c:pt idx="3">
                  <c:v>27.3195692819224</c:v>
                </c:pt>
                <c:pt idx="4">
                  <c:v>26.9460470007476</c:v>
                </c:pt>
                <c:pt idx="5">
                  <c:v>26.5736006379045</c:v>
                </c:pt>
                <c:pt idx="6">
                  <c:v>26.2022666898049</c:v>
                </c:pt>
                <c:pt idx="7">
                  <c:v>25.8320823017177</c:v>
                </c:pt>
                <c:pt idx="8">
                  <c:v>25.4630852304419</c:v>
                </c:pt>
                <c:pt idx="9">
                  <c:v>25.0953138024576</c:v>
                </c:pt>
                <c:pt idx="10">
                  <c:v>24.7288068674218</c:v>
                </c:pt>
                <c:pt idx="11">
                  <c:v>24.3636037468887</c:v>
                </c:pt>
                <c:pt idx="12">
                  <c:v>23.9997441781647</c:v>
                </c:pt>
                <c:pt idx="13">
                  <c:v>23.6372682532328</c:v>
                </c:pt>
                <c:pt idx="14">
                  <c:v>23.2762163527143</c:v>
                </c:pt>
                <c:pt idx="15">
                  <c:v>22.9166290748701</c:v>
                </c:pt>
                <c:pt idx="16">
                  <c:v>22.5585471596821</c:v>
                </c:pt>
                <c:pt idx="17">
                  <c:v>22.2020114080969</c:v>
                </c:pt>
                <c:pt idx="18">
                  <c:v>21.8470625965569</c:v>
                </c:pt>
                <c:pt idx="19">
                  <c:v>21.4937413869931</c:v>
                </c:pt>
                <c:pt idx="20">
                  <c:v>21.1420882325029</c:v>
                </c:pt>
                <c:pt idx="21">
                  <c:v>20.7921432789826</c:v>
                </c:pt>
                <c:pt idx="22">
                  <c:v>20.4439462630456</c:v>
                </c:pt>
                <c:pt idx="23">
                  <c:v>20.0975364066007</c:v>
                </c:pt>
                <c:pt idx="24">
                  <c:v>19.7529523085247</c:v>
                </c:pt>
                <c:pt idx="25">
                  <c:v>19.4102318339123</c:v>
                </c:pt>
                <c:pt idx="26">
                  <c:v>19.0694120014387</c:v>
                </c:pt>
                <c:pt idx="27">
                  <c:v>18.7305288694156</c:v>
                </c:pt>
                <c:pt idx="28">
                  <c:v>18.3936174211706</c:v>
                </c:pt>
                <c:pt idx="29">
                  <c:v>18.058711450415</c:v>
                </c:pt>
                <c:pt idx="30">
                  <c:v>17.7258434473066</c:v>
                </c:pt>
                <c:pt idx="31">
                  <c:v>17.3950444859358</c:v>
                </c:pt>
                <c:pt idx="32">
                  <c:v>17.0663441139936</c:v>
                </c:pt>
                <c:pt idx="33">
                  <c:v>16.7397702453887</c:v>
                </c:pt>
                <c:pt idx="34">
                  <c:v>16.415349056591</c:v>
                </c:pt>
                <c:pt idx="35">
                  <c:v>16.0931048874747</c:v>
                </c:pt>
                <c:pt idx="36">
                  <c:v>15.7730601474223</c:v>
                </c:pt>
                <c:pt idx="37">
                  <c:v>15.4552352274336</c:v>
                </c:pt>
                <c:pt idx="38">
                  <c:v>15.1396484189448</c:v>
                </c:pt>
                <c:pt idx="39">
                  <c:v>14.8263158400326</c:v>
                </c:pt>
                <c:pt idx="40">
                  <c:v>14.5152513696205</c:v>
                </c:pt>
                <c:pt idx="41">
                  <c:v>14.2064665902521</c:v>
                </c:pt>
                <c:pt idx="42">
                  <c:v>13.8999707399237</c:v>
                </c:pt>
                <c:pt idx="43">
                  <c:v>13.5957706734031</c:v>
                </c:pt>
                <c:pt idx="44">
                  <c:v>13.2938708333728</c:v>
                </c:pt>
                <c:pt idx="45">
                  <c:v>12.9942732316568</c:v>
                </c:pt>
                <c:pt idx="46">
                  <c:v>12.6969774406993</c:v>
                </c:pt>
                <c:pt idx="47">
                  <c:v>12.4019805953703</c:v>
                </c:pt>
                <c:pt idx="48">
                  <c:v>12.1092774050838</c:v>
                </c:pt>
                <c:pt idx="49">
                  <c:v>11.8188601761182</c:v>
                </c:pt>
                <c:pt idx="50">
                  <c:v>11.53071884394</c:v>
                </c:pt>
                <c:pt idx="51">
                  <c:v>11.2448410152439</c:v>
                </c:pt>
                <c:pt idx="52">
                  <c:v>10.9612120193361</c:v>
                </c:pt>
                <c:pt idx="53">
                  <c:v>10.6798149684157</c:v>
                </c:pt>
                <c:pt idx="54">
                  <c:v>10.4006308262302</c:v>
                </c:pt>
                <c:pt idx="55">
                  <c:v>10.1236384845252</c:v>
                </c:pt>
                <c:pt idx="56">
                  <c:v>9.84881484664647</c:v>
                </c:pt>
                <c:pt idx="57">
                  <c:v>9.57613491761106</c:v>
                </c:pt>
                <c:pt idx="58">
                  <c:v>9.30557189992502</c:v>
                </c:pt>
                <c:pt idx="59">
                  <c:v>9.03709729439788</c:v>
                </c:pt>
                <c:pt idx="60">
                  <c:v>8.77068100518711</c:v>
                </c:pt>
                <c:pt idx="61">
                  <c:v>8.50629144829657</c:v>
                </c:pt>
                <c:pt idx="62">
                  <c:v>8.24389566275475</c:v>
                </c:pt>
                <c:pt idx="63">
                  <c:v>7.98345942370668</c:v>
                </c:pt>
                <c:pt idx="64">
                  <c:v>7.72494735667227</c:v>
                </c:pt>
                <c:pt idx="65">
                  <c:v>7.46832305224788</c:v>
                </c:pt>
                <c:pt idx="66">
                  <c:v>7.2135491805598</c:v>
                </c:pt>
                <c:pt idx="67">
                  <c:v>6.96058760481504</c:v>
                </c:pt>
                <c:pt idx="68">
                  <c:v>6.70939949333779</c:v>
                </c:pt>
                <c:pt idx="69">
                  <c:v>6.45994542952519</c:v>
                </c:pt>
                <c:pt idx="70">
                  <c:v>6.21218551920498</c:v>
                </c:pt>
                <c:pt idx="71">
                  <c:v>5.9660794949299</c:v>
                </c:pt>
                <c:pt idx="72">
                  <c:v>5.72158681679491</c:v>
                </c:pt>
                <c:pt idx="73">
                  <c:v>5.47866676941756</c:v>
                </c:pt>
                <c:pt idx="74">
                  <c:v>5.23727855477373</c:v>
                </c:pt>
                <c:pt idx="75">
                  <c:v>4.99738138063286</c:v>
                </c:pt>
                <c:pt idx="76">
                  <c:v>4.75893454438913</c:v>
                </c:pt>
                <c:pt idx="77">
                  <c:v>4.52189751213047</c:v>
                </c:pt>
                <c:pt idx="78">
                  <c:v>4.28622999283602</c:v>
                </c:pt>
                <c:pt idx="79">
                  <c:v>4.05189200763466</c:v>
                </c:pt>
                <c:pt idx="80">
                  <c:v>3.81884395409747</c:v>
                </c:pt>
                <c:pt idx="81">
                  <c:v>3.58704666557526</c:v>
                </c:pt>
                <c:pt idx="82">
                  <c:v>3.35646146562379</c:v>
                </c:pt>
                <c:pt idx="83">
                  <c:v>3.12705021759253</c:v>
                </c:pt>
                <c:pt idx="84">
                  <c:v>2.89877536947635</c:v>
                </c:pt>
                <c:pt idx="85">
                  <c:v>2.67159999415593</c:v>
                </c:pt>
                <c:pt idx="86">
                  <c:v>2.44548782517117</c:v>
                </c:pt>
                <c:pt idx="87">
                  <c:v>2.22040328818913</c:v>
                </c:pt>
                <c:pt idx="88">
                  <c:v>1.99631152834225</c:v>
                </c:pt>
                <c:pt idx="89">
                  <c:v>1.77317843362384</c:v>
                </c:pt>
                <c:pt idx="90">
                  <c:v>1.55097065453601</c:v>
                </c:pt>
                <c:pt idx="91">
                  <c:v>1.32965562019081</c:v>
                </c:pt>
                <c:pt idx="92">
                  <c:v>1.10920155107017</c:v>
                </c:pt>
                <c:pt idx="93">
                  <c:v>0.889577468651104</c:v>
                </c:pt>
                <c:pt idx="94">
                  <c:v>0.670753202102479</c:v>
                </c:pt>
                <c:pt idx="95">
                  <c:v>0.452699392259168</c:v>
                </c:pt>
                <c:pt idx="96">
                  <c:v>0.235387493074011</c:v>
                </c:pt>
                <c:pt idx="97">
                  <c:v>0.0187897707467294</c:v>
                </c:pt>
                <c:pt idx="98">
                  <c:v>-0.197120699279378</c:v>
                </c:pt>
                <c:pt idx="99">
                  <c:v>-0.412370037266424</c:v>
                </c:pt>
                <c:pt idx="100">
                  <c:v>-0.626983565897138</c:v>
                </c:pt>
                <c:pt idx="101">
                  <c:v>-0.840985818585568</c:v>
                </c:pt>
                <c:pt idx="102">
                  <c:v>-1.05440054921856</c:v>
                </c:pt>
                <c:pt idx="103">
                  <c:v>-1.26725074317294</c:v>
                </c:pt>
                <c:pt idx="104">
                  <c:v>-1.47955862946086</c:v>
                </c:pt>
                <c:pt idx="105">
                  <c:v>-1.69134569386458</c:v>
                </c:pt>
                <c:pt idx="106">
                  <c:v>-1.90263269293022</c:v>
                </c:pt>
                <c:pt idx="107">
                  <c:v>-2.11343966869795</c:v>
                </c:pt>
                <c:pt idx="108">
                  <c:v>-2.32378596405618</c:v>
                </c:pt>
                <c:pt idx="109">
                  <c:v>-2.53369023861231</c:v>
                </c:pt>
                <c:pt idx="110">
                  <c:v>-2.7431704849831</c:v>
                </c:pt>
                <c:pt idx="111">
                  <c:v>-2.95224404541519</c:v>
                </c:pt>
                <c:pt idx="112">
                  <c:v>-3.16092762865053</c:v>
                </c:pt>
                <c:pt idx="113">
                  <c:v>-3.36923732696356</c:v>
                </c:pt>
                <c:pt idx="114">
                  <c:v>-3.57718863329843</c:v>
                </c:pt>
                <c:pt idx="115">
                  <c:v>-3.78479645844542</c:v>
                </c:pt>
                <c:pt idx="116">
                  <c:v>-3.99207514819789</c:v>
                </c:pt>
                <c:pt idx="117">
                  <c:v>-4.19903850043996</c:v>
                </c:pt>
                <c:pt idx="118">
                  <c:v>-4.40569978211793</c:v>
                </c:pt>
                <c:pt idx="119">
                  <c:v>-4.61207174605568</c:v>
                </c:pt>
                <c:pt idx="120">
                  <c:v>-4.81816664757679</c:v>
                </c:pt>
                <c:pt idx="121">
                  <c:v>-5.02399626090245</c:v>
                </c:pt>
                <c:pt idx="122">
                  <c:v>-5.22957189529578</c:v>
                </c:pt>
                <c:pt idx="123">
                  <c:v>-5.43490441093098</c:v>
                </c:pt>
                <c:pt idx="124">
                  <c:v>-5.64000423446483</c:v>
                </c:pt>
                <c:pt idx="125">
                  <c:v>-5.8448813742923</c:v>
                </c:pt>
                <c:pt idx="126">
                  <c:v>-6.04954543547518</c:v>
                </c:pt>
                <c:pt idx="127">
                  <c:v>-6.25400563432734</c:v>
                </c:pt>
                <c:pt idx="128">
                  <c:v>-6.45827081265178</c:v>
                </c:pt>
                <c:pt idx="129">
                  <c:v>-6.66234945161783</c:v>
                </c:pt>
                <c:pt idx="130">
                  <c:v>-6.86624968527726</c:v>
                </c:pt>
                <c:pt idx="131">
                  <c:v>-7.06997931371286</c:v>
                </c:pt>
                <c:pt idx="132">
                  <c:v>-7.27354581582007</c:v>
                </c:pt>
                <c:pt idx="133">
                  <c:v>-7.47695636171943</c:v>
                </c:pt>
                <c:pt idx="134">
                  <c:v>-7.68021782480239</c:v>
                </c:pt>
                <c:pt idx="135">
                  <c:v>-7.88333679341211</c:v>
                </c:pt>
                <c:pt idx="136">
                  <c:v>-8.08631958216234</c:v>
                </c:pt>
                <c:pt idx="137">
                  <c:v>-8.28917224289873</c:v>
                </c:pt>
                <c:pt idx="138">
                  <c:v>-8.49190057530773</c:v>
                </c:pt>
                <c:pt idx="139">
                  <c:v>-8.69451013717812</c:v>
                </c:pt>
                <c:pt idx="140">
                  <c:v>-8.89700625432234</c:v>
                </c:pt>
                <c:pt idx="141">
                  <c:v>-9.09939403016377</c:v>
                </c:pt>
                <c:pt idx="142">
                  <c:v>-9.30167835499706</c:v>
                </c:pt>
                <c:pt idx="143">
                  <c:v>-9.50386391492934</c:v>
                </c:pt>
                <c:pt idx="144">
                  <c:v>-9.70595520051078</c:v>
                </c:pt>
                <c:pt idx="145">
                  <c:v>-9.90795651506129</c:v>
                </c:pt>
                <c:pt idx="146">
                  <c:v>-10.1098719827024</c:v>
                </c:pt>
                <c:pt idx="147">
                  <c:v>-10.3117055561036</c:v>
                </c:pt>
                <c:pt idx="148">
                  <c:v>-10.5134610239498</c:v>
                </c:pt>
                <c:pt idx="149">
                  <c:v>-10.7151420181399</c:v>
                </c:pt>
                <c:pt idx="150">
                  <c:v>-10.9167520207253</c:v>
                </c:pt>
                <c:pt idx="151">
                  <c:v>-11.1182943705953</c:v>
                </c:pt>
                <c:pt idx="152">
                  <c:v>-11.3197722699203</c:v>
                </c:pt>
                <c:pt idx="153">
                  <c:v>-11.5211887903592</c:v>
                </c:pt>
                <c:pt idx="154">
                  <c:v>-11.7225468790409</c:v>
                </c:pt>
                <c:pt idx="155">
                  <c:v>-11.923849364328</c:v>
                </c:pt>
                <c:pt idx="156">
                  <c:v>-12.12509896137</c:v>
                </c:pt>
                <c:pt idx="157">
                  <c:v>-12.3262982774562</c:v>
                </c:pt>
                <c:pt idx="158">
                  <c:v>-12.5274498171742</c:v>
                </c:pt>
                <c:pt idx="159">
                  <c:v>-12.7285559873829</c:v>
                </c:pt>
                <c:pt idx="160">
                  <c:v>-12.9296191020083</c:v>
                </c:pt>
                <c:pt idx="161">
                  <c:v>-13.130641386669</c:v>
                </c:pt>
                <c:pt idx="162">
                  <c:v>-13.3316249831387</c:v>
                </c:pt>
                <c:pt idx="163">
                  <c:v>-13.5325719536539</c:v>
                </c:pt>
                <c:pt idx="164">
                  <c:v>-13.7334842850733</c:v>
                </c:pt>
                <c:pt idx="165">
                  <c:v>-13.9343638928965</c:v>
                </c:pt>
                <c:pt idx="166">
                  <c:v>-14.1352126251481</c:v>
                </c:pt>
                <c:pt idx="167">
                  <c:v>-14.3360322661348</c:v>
                </c:pt>
                <c:pt idx="168">
                  <c:v>-14.5368245400821</c:v>
                </c:pt>
                <c:pt idx="169">
                  <c:v>-14.7375911146561</c:v>
                </c:pt>
                <c:pt idx="170">
                  <c:v>-14.9383336043776</c:v>
                </c:pt>
                <c:pt idx="171">
                  <c:v>-15.1390535739352</c:v>
                </c:pt>
                <c:pt idx="172">
                  <c:v>-15.3397525414021</c:v>
                </c:pt>
                <c:pt idx="173">
                  <c:v>-15.5404319813635</c:v>
                </c:pt>
                <c:pt idx="174">
                  <c:v>-15.74109332796</c:v>
                </c:pt>
                <c:pt idx="175">
                  <c:v>-15.9417379778539</c:v>
                </c:pt>
                <c:pt idx="176">
                  <c:v>-16.1423672931223</c:v>
                </c:pt>
                <c:pt idx="177">
                  <c:v>-16.3429826040835</c:v>
                </c:pt>
                <c:pt idx="178">
                  <c:v>-16.5435852120624</c:v>
                </c:pt>
                <c:pt idx="179">
                  <c:v>-16.7441763921</c:v>
                </c:pt>
                <c:pt idx="180">
                  <c:v>-16.944757395612</c:v>
                </c:pt>
                <c:pt idx="181">
                  <c:v>-17.1453294530018</c:v>
                </c:pt>
                <c:pt idx="182">
                  <c:v>-17.3458937762344</c:v>
                </c:pt>
                <c:pt idx="183">
                  <c:v>-17.5464515613739</c:v>
                </c:pt>
                <c:pt idx="184">
                  <c:v>-17.7470039910918</c:v>
                </c:pt>
                <c:pt idx="185">
                  <c:v>-17.9475522371506</c:v>
                </c:pt>
                <c:pt idx="186">
                  <c:v>-18.1480974628669</c:v>
                </c:pt>
                <c:pt idx="187">
                  <c:v>-18.3486408255608</c:v>
                </c:pt>
                <c:pt idx="188">
                  <c:v>-18.5491834789941</c:v>
                </c:pt>
                <c:pt idx="189">
                  <c:v>-18.7497265758052</c:v>
                </c:pt>
                <c:pt idx="190">
                  <c:v>-18.9502712699433</c:v>
                </c:pt>
                <c:pt idx="191">
                  <c:v>-19.1508187191083</c:v>
                </c:pt>
                <c:pt idx="192">
                  <c:v>-19.3513700872016</c:v>
                </c:pt>
                <c:pt idx="193">
                  <c:v>-19.5519265467923</c:v>
                </c:pt>
                <c:pt idx="194">
                  <c:v>-19.7524892816034</c:v>
                </c:pt>
                <c:pt idx="195">
                  <c:v>-19.9530594890256</c:v>
                </c:pt>
                <c:pt idx="196">
                  <c:v>-20.1536383826615</c:v>
                </c:pt>
                <c:pt idx="197">
                  <c:v>-20.354227194907</c:v>
                </c:pt>
                <c:pt idx="198">
                  <c:v>-20.5548271795746</c:v>
                </c:pt>
                <c:pt idx="199">
                  <c:v>-20.7554396145662</c:v>
                </c:pt>
                <c:pt idx="200">
                  <c:v>-20.9560658045978</c:v>
                </c:pt>
                <c:pt idx="201">
                  <c:v>-21.1567070839849</c:v>
                </c:pt>
                <c:pt idx="202">
                  <c:v>-21.3573648194938</c:v>
                </c:pt>
                <c:pt idx="203">
                  <c:v>-21.5580404132647</c:v>
                </c:pt>
                <c:pt idx="204">
                  <c:v>-21.7587353058125</c:v>
                </c:pt>
                <c:pt idx="205">
                  <c:v>-21.9594509791136</c:v>
                </c:pt>
                <c:pt idx="206">
                  <c:v>-22.1601889597839</c:v>
                </c:pt>
                <c:pt idx="207">
                  <c:v>-22.3609508223554</c:v>
                </c:pt>
                <c:pt idx="208">
                  <c:v>-22.5617381926592</c:v>
                </c:pt>
                <c:pt idx="209">
                  <c:v>-22.7625527513219</c:v>
                </c:pt>
                <c:pt idx="210">
                  <c:v>-22.9633962373839</c:v>
                </c:pt>
                <c:pt idx="211">
                  <c:v>-23.1642704520461</c:v>
                </c:pt>
                <c:pt idx="212">
                  <c:v>-23.3651772625558</c:v>
                </c:pt>
                <c:pt idx="213">
                  <c:v>-23.5661186062385</c:v>
                </c:pt>
                <c:pt idx="214">
                  <c:v>-23.7670964946862</c:v>
                </c:pt>
                <c:pt idx="215">
                  <c:v>-23.9681130181109</c:v>
                </c:pt>
                <c:pt idx="216">
                  <c:v>-24.1691703498733</c:v>
                </c:pt>
                <c:pt idx="217">
                  <c:v>-24.3702707511978</c:v>
                </c:pt>
                <c:pt idx="218">
                  <c:v>-24.5714165760842</c:v>
                </c:pt>
                <c:pt idx="219">
                  <c:v>-24.7726102764273</c:v>
                </c:pt>
                <c:pt idx="220">
                  <c:v>-24.973854407357</c:v>
                </c:pt>
                <c:pt idx="221">
                  <c:v>-25.1751516328106</c:v>
                </c:pt>
                <c:pt idx="222">
                  <c:v>-25.3765047313511</c:v>
                </c:pt>
                <c:pt idx="223">
                  <c:v>-25.5779166022454</c:v>
                </c:pt>
                <c:pt idx="224">
                  <c:v>-25.779390271816</c:v>
                </c:pt>
                <c:pt idx="225">
                  <c:v>-25.9809289000826</c:v>
                </c:pt>
                <c:pt idx="226">
                  <c:v>-26.182535787708</c:v>
                </c:pt>
                <c:pt idx="227">
                  <c:v>-26.3842143832677</c:v>
                </c:pt>
                <c:pt idx="228">
                  <c:v>-26.5859682908579</c:v>
                </c:pt>
                <c:pt idx="229">
                  <c:v>-26.787801278063</c:v>
                </c:pt>
                <c:pt idx="230">
                  <c:v>-26.9897172843014</c:v>
                </c:pt>
                <c:pt idx="231">
                  <c:v>-27.1917204295698</c:v>
                </c:pt>
                <c:pt idx="232">
                  <c:v>-27.3938150236097</c:v>
                </c:pt>
                <c:pt idx="233">
                  <c:v>-27.5960055755168</c:v>
                </c:pt>
                <c:pt idx="234">
                  <c:v>-27.7982968038209</c:v>
                </c:pt>
                <c:pt idx="235">
                  <c:v>-28.000693647059</c:v>
                </c:pt>
                <c:pt idx="236">
                  <c:v>-28.2032012748712</c:v>
                </c:pt>
                <c:pt idx="237">
                  <c:v>-28.4058250996478</c:v>
                </c:pt>
                <c:pt idx="238">
                  <c:v>-28.6085707887586</c:v>
                </c:pt>
                <c:pt idx="239">
                  <c:v>-28.8114442773961</c:v>
                </c:pt>
                <c:pt idx="240">
                  <c:v>-29.0144517820683</c:v>
                </c:pt>
                <c:pt idx="241">
                  <c:v>-29.217599814777</c:v>
                </c:pt>
                <c:pt idx="242">
                  <c:v>-29.4208951979207</c:v>
                </c:pt>
                <c:pt idx="243">
                  <c:v>-29.6243450799645</c:v>
                </c:pt>
                <c:pt idx="244">
                  <c:v>-29.8279569519187</c:v>
                </c:pt>
                <c:pt idx="245">
                  <c:v>-30.0317386646757</c:v>
                </c:pt>
                <c:pt idx="246">
                  <c:v>-30.2356984472528</c:v>
                </c:pt>
                <c:pt idx="247">
                  <c:v>-30.4398449259949</c:v>
                </c:pt>
                <c:pt idx="248">
                  <c:v>-30.6441871447948</c:v>
                </c:pt>
                <c:pt idx="249">
                  <c:v>-30.8487345863881</c:v>
                </c:pt>
                <c:pt idx="250">
                  <c:v>-31.0534971947925</c:v>
                </c:pt>
                <c:pt idx="251">
                  <c:v>-31.258485398954</c:v>
                </c:pt>
                <c:pt idx="252">
                  <c:v>-31.4637101376801</c:v>
                </c:pt>
                <c:pt idx="253">
                  <c:v>-31.6691828859332</c:v>
                </c:pt>
                <c:pt idx="254">
                  <c:v>-31.8749156825724</c:v>
                </c:pt>
                <c:pt idx="255">
                  <c:v>-32.080921159633</c:v>
                </c:pt>
                <c:pt idx="256">
                  <c:v>-32.2872125732397</c:v>
                </c:pt>
                <c:pt idx="257">
                  <c:v>-32.4938038362592</c:v>
                </c:pt>
                <c:pt idx="258">
                  <c:v>-32.7007095528032</c:v>
                </c:pt>
                <c:pt idx="259">
                  <c:v>-32.9079450547026</c:v>
                </c:pt>
                <c:pt idx="260">
                  <c:v>-33.1155264400819</c:v>
                </c:pt>
                <c:pt idx="261">
                  <c:v>-33.3234706141747</c:v>
                </c:pt>
                <c:pt idx="262">
                  <c:v>-33.5317953325288</c:v>
                </c:pt>
                <c:pt idx="263">
                  <c:v>-33.7405192467655</c:v>
                </c:pt>
                <c:pt idx="264">
                  <c:v>-33.9496619530669</c:v>
                </c:pt>
                <c:pt idx="265">
                  <c:v>-34.1592440435826</c:v>
                </c:pt>
                <c:pt idx="266">
                  <c:v>-34.3692871609605</c:v>
                </c:pt>
                <c:pt idx="267">
                  <c:v>-34.5798140562247</c:v>
                </c:pt>
                <c:pt idx="268">
                  <c:v>-34.7908486502424</c:v>
                </c:pt>
                <c:pt idx="269">
                  <c:v>-35.002416099043</c:v>
                </c:pt>
                <c:pt idx="270">
                  <c:v>-35.214542863274</c:v>
                </c:pt>
                <c:pt idx="271">
                  <c:v>-35.4272567821048</c:v>
                </c:pt>
                <c:pt idx="272">
                  <c:v>-35.640587151919</c:v>
                </c:pt>
                <c:pt idx="273">
                  <c:v>-35.8545648101621</c:v>
                </c:pt>
                <c:pt idx="274">
                  <c:v>-36.0692222247516</c:v>
                </c:pt>
                <c:pt idx="275">
                  <c:v>-36.2845935894895</c:v>
                </c:pt>
                <c:pt idx="276">
                  <c:v>-36.500714925962</c:v>
                </c:pt>
                <c:pt idx="277">
                  <c:v>-36.7176241924584</c:v>
                </c:pt>
                <c:pt idx="278">
                  <c:v>-36.9353614004908</c:v>
                </c:pt>
                <c:pt idx="279">
                  <c:v>-37.1539687395572</c:v>
                </c:pt>
                <c:pt idx="280">
                  <c:v>-37.3734907108537</c:v>
                </c:pt>
                <c:pt idx="281">
                  <c:v>-37.5939742707157</c:v>
                </c:pt>
                <c:pt idx="282">
                  <c:v>-37.8154689846475</c:v>
                </c:pt>
                <c:pt idx="283">
                  <c:v>-38.0380271928927</c:v>
                </c:pt>
                <c:pt idx="284">
                  <c:v>-38.2617041886005</c:v>
                </c:pt>
                <c:pt idx="285">
                  <c:v>-38.4865584097564</c:v>
                </c:pt>
                <c:pt idx="286">
                  <c:v>-38.7126516461802</c:v>
                </c:pt>
                <c:pt idx="287">
                  <c:v>-38.9400492630367</c:v>
                </c:pt>
                <c:pt idx="288">
                  <c:v>-39.1688204424764</c:v>
                </c:pt>
                <c:pt idx="289">
                  <c:v>-39.3990384452087</c:v>
                </c:pt>
                <c:pt idx="290">
                  <c:v>-39.6307808940274</c:v>
                </c:pt>
                <c:pt idx="291">
                  <c:v>-39.8641300815534</c:v>
                </c:pt>
                <c:pt idx="292">
                  <c:v>-40.0991733047373</c:v>
                </c:pt>
                <c:pt idx="293">
                  <c:v>-40.3360032289887</c:v>
                </c:pt>
                <c:pt idx="294">
                  <c:v>-40.5747182851595</c:v>
                </c:pt>
                <c:pt idx="295">
                  <c:v>-40.8154231030372</c:v>
                </c:pt>
                <c:pt idx="296">
                  <c:v>-41.0582289854848</c:v>
                </c:pt>
                <c:pt idx="297">
                  <c:v>-41.3032544279264</c:v>
                </c:pt>
                <c:pt idx="298">
                  <c:v>-41.5506256885277</c:v>
                </c:pt>
                <c:pt idx="299">
                  <c:v>-41.8004774151749</c:v>
                </c:pt>
                <c:pt idx="300">
                  <c:v>-42.05295333623</c:v>
                </c:pt>
                <c:pt idx="301">
                  <c:v>-42.3082070230711</c:v>
                </c:pt>
                <c:pt idx="302">
                  <c:v>-42.5664027336206</c:v>
                </c:pt>
                <c:pt idx="303">
                  <c:v>-42.8277163474791</c:v>
                </c:pt>
                <c:pt idx="304">
                  <c:v>-43.0923364049399</c:v>
                </c:pt>
                <c:pt idx="305">
                  <c:v>-43.3604652641285</c:v>
                </c:pt>
                <c:pt idx="306">
                  <c:v>-43.6323203928376</c:v>
                </c:pt>
                <c:pt idx="307">
                  <c:v>-43.9081358144078</c:v>
                </c:pt>
                <c:pt idx="308">
                  <c:v>-44.1881637303217</c:v>
                </c:pt>
                <c:pt idx="309">
                  <c:v>-44.4726763461607</c:v>
                </c:pt>
                <c:pt idx="310">
                  <c:v>-44.7619679323722</c:v>
                </c:pt>
                <c:pt idx="311">
                  <c:v>-45.056357157103</c:v>
                </c:pt>
                <c:pt idx="312">
                  <c:v>-45.356189735411</c:v>
                </c:pt>
                <c:pt idx="313">
                  <c:v>-45.6618414477885</c:v>
                </c:pt>
                <c:pt idx="314">
                  <c:v>-45.9737215915056</c:v>
                </c:pt>
                <c:pt idx="315">
                  <c:v>-46.2922769413272</c:v>
                </c:pt>
                <c:pt idx="316">
                  <c:v>-46.6179963123363</c:v>
                </c:pt>
                <c:pt idx="317">
                  <c:v>-46.9514158377547</c:v>
                </c:pt>
                <c:pt idx="318">
                  <c:v>-47.2931250999529</c:v>
                </c:pt>
                <c:pt idx="319">
                  <c:v>-47.6437742847418</c:v>
                </c:pt>
                <c:pt idx="320">
                  <c:v>-48.0040825695573</c:v>
                </c:pt>
                <c:pt idx="321">
                  <c:v>-48.3748480079315</c:v>
                </c:pt>
                <c:pt idx="322">
                  <c:v>-48.7569592392832</c:v>
                </c:pt>
                <c:pt idx="323">
                  <c:v>-49.1514094394513</c:v>
                </c:pt>
                <c:pt idx="324">
                  <c:v>-49.5593130401965</c:v>
                </c:pt>
                <c:pt idx="325">
                  <c:v>-49.9819258943641</c:v>
                </c:pt>
                <c:pt idx="326">
                  <c:v>-50.4206697602999</c:v>
                </c:pt>
                <c:pt idx="327">
                  <c:v>-50.8771622423776</c:v>
                </c:pt>
                <c:pt idx="328">
                  <c:v>-51.3532536792516</c:v>
                </c:pt>
                <c:pt idx="329">
                  <c:v>-51.8510729531678</c:v>
                </c:pt>
                <c:pt idx="330">
                  <c:v>-52.3730848522951</c:v>
                </c:pt>
                <c:pt idx="331">
                  <c:v>-52.9221625235788</c:v>
                </c:pt>
                <c:pt idx="332">
                  <c:v>-53.5016798023384</c:v>
                </c:pt>
                <c:pt idx="333">
                  <c:v>-54.1156299239412</c:v>
                </c:pt>
                <c:pt idx="334">
                  <c:v>-54.7687794647764</c:v>
                </c:pt>
                <c:pt idx="335">
                  <c:v>-55.4668694604065</c:v>
                </c:pt>
                <c:pt idx="336">
                  <c:v>-56.216879475138</c:v>
                </c:pt>
                <c:pt idx="337">
                  <c:v>-57.0273742672133</c:v>
                </c:pt>
                <c:pt idx="338">
                  <c:v>-57.908953830951</c:v>
                </c:pt>
                <c:pt idx="339">
                  <c:v>-58.8748167924507</c:v>
                </c:pt>
                <c:pt idx="340">
                  <c:v>-59.9413954766578</c:v>
                </c:pt>
                <c:pt idx="341">
                  <c:v>-61.1288380052384</c:v>
                </c:pt>
                <c:pt idx="342">
                  <c:v>-62.4605106751755</c:v>
                </c:pt>
                <c:pt idx="343">
                  <c:v>-63.9587427539401</c:v>
                </c:pt>
                <c:pt idx="344">
                  <c:v>-65.6278326640448</c:v>
                </c:pt>
                <c:pt idx="345">
                  <c:v>-67.3979307339599</c:v>
                </c:pt>
                <c:pt idx="346">
                  <c:v>-68.9812503132469</c:v>
                </c:pt>
                <c:pt idx="347">
                  <c:v>-69.7391802436662</c:v>
                </c:pt>
                <c:pt idx="348">
                  <c:v>-69.1818848208637</c:v>
                </c:pt>
                <c:pt idx="349">
                  <c:v>-67.7084203788492</c:v>
                </c:pt>
                <c:pt idx="350">
                  <c:v>-65.9868809903777</c:v>
                </c:pt>
                <c:pt idx="351">
                  <c:v>-64.3466940158064</c:v>
                </c:pt>
                <c:pt idx="352">
                  <c:v>-62.875042384018</c:v>
                </c:pt>
                <c:pt idx="353">
                  <c:v>-61.5726788303818</c:v>
                </c:pt>
                <c:pt idx="354">
                  <c:v>-60.4182846287575</c:v>
                </c:pt>
                <c:pt idx="355">
                  <c:v>-59.3883825666583</c:v>
                </c:pt>
                <c:pt idx="356">
                  <c:v>-58.4624860353277</c:v>
                </c:pt>
                <c:pt idx="357">
                  <c:v>-57.6238485290906</c:v>
                </c:pt>
                <c:pt idx="358">
                  <c:v>-56.8590387325758</c:v>
                </c:pt>
                <c:pt idx="359">
                  <c:v>-56.1573064746754</c:v>
                </c:pt>
                <c:pt idx="360">
                  <c:v>-55.5100067741181</c:v>
                </c:pt>
                <c:pt idx="361">
                  <c:v>-54.9101363081159</c:v>
                </c:pt>
                <c:pt idx="362">
                  <c:v>-54.3519755845069</c:v>
                </c:pt>
                <c:pt idx="363">
                  <c:v>-53.8308164263221</c:v>
                </c:pt>
                <c:pt idx="364">
                  <c:v>-53.3427547411546</c:v>
                </c:pt>
                <c:pt idx="365">
                  <c:v>-52.8845322998262</c:v>
                </c:pt>
                <c:pt idx="366">
                  <c:v>-52.4534151422848</c:v>
                </c:pt>
                <c:pt idx="367">
                  <c:v>-52.0470994303145</c:v>
                </c:pt>
                <c:pt idx="368">
                  <c:v>-51.6636379993475</c:v>
                </c:pt>
                <c:pt idx="369">
                  <c:v>-51.3013826523914</c:v>
                </c:pt>
                <c:pt idx="370">
                  <c:v>-50.9589385417264</c:v>
                </c:pt>
                <c:pt idx="371">
                  <c:v>-50.635127929748</c:v>
                </c:pt>
                <c:pt idx="372">
                  <c:v>-50.3289613092066</c:v>
                </c:pt>
                <c:pt idx="373">
                  <c:v>-50.0396143682108</c:v>
                </c:pt>
                <c:pt idx="374">
                  <c:v>-49.7664096589821</c:v>
                </c:pt>
                <c:pt idx="375">
                  <c:v>-49.5088021087084</c:v>
                </c:pt>
                <c:pt idx="376">
                  <c:v>-49.2663677224033</c:v>
                </c:pt>
                <c:pt idx="377">
                  <c:v>-49.0387949904088</c:v>
                </c:pt>
                <c:pt idx="378">
                  <c:v>-48.8258786407855</c:v>
                </c:pt>
                <c:pt idx="379">
                  <c:v>-48.6275154793486</c:v>
                </c:pt>
                <c:pt idx="380">
                  <c:v>-48.4437021450497</c:v>
                </c:pt>
                <c:pt idx="381">
                  <c:v>-48.274534681508</c:v>
                </c:pt>
                <c:pt idx="382">
                  <c:v>-48.120209891332</c:v>
                </c:pt>
                <c:pt idx="383">
                  <c:v>-47.9810285022031</c:v>
                </c:pt>
                <c:pt idx="384">
                  <c:v>-47.8574002358033</c:v>
                </c:pt>
                <c:pt idx="385">
                  <c:v>-47.7498509354995</c:v>
                </c:pt>
                <c:pt idx="386">
                  <c:v>-47.6590319789965</c:v>
                </c:pt>
                <c:pt idx="387">
                  <c:v>-47.58573228041</c:v>
                </c:pt>
                <c:pt idx="388">
                  <c:v>-47.5308932743369</c:v>
                </c:pt>
                <c:pt idx="389">
                  <c:v>-47.4956273732785</c:v>
                </c:pt>
                <c:pt idx="390">
                  <c:v>-47.4812404973369</c:v>
                </c:pt>
                <c:pt idx="391">
                  <c:v>-47.4892593840345</c:v>
                </c:pt>
                <c:pt idx="392">
                  <c:v>-47.5214644776396</c:v>
                </c:pt>
                <c:pt idx="393">
                  <c:v>-47.579929229748</c:v>
                </c:pt>
                <c:pt idx="394">
                  <c:v>-47.6670665283598</c:v>
                </c:pt>
                <c:pt idx="395">
                  <c:v>-47.7856825313468</c:v>
                </c:pt>
                <c:pt idx="396">
                  <c:v>-47.939037045941</c:v>
                </c:pt>
                <c:pt idx="397">
                  <c:v>-48.1309070235826</c:v>
                </c:pt>
                <c:pt idx="398">
                  <c:v>-48.3656442023882</c:v>
                </c:pt>
                <c:pt idx="399">
                  <c:v>-48.6482062698476</c:v>
                </c:pt>
                <c:pt idx="400">
                  <c:v>-48.9841165403333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"アンプ電圧 e_n"</c:f>
              <c:strCache>
                <c:ptCount val="1"/>
                <c:pt idx="0">
                  <c:v>アンプ電圧 e_n</c:v>
                </c:pt>
              </c:strCache>
            </c:strRef>
          </c:tx>
          <c:spPr>
            <a:solidFill>
              <a:srgbClr val="008300"/>
            </a:solidFill>
            <a:ln w="15120">
              <a:solidFill>
                <a:srgbClr val="008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Spectrum!$AH$9:$AH$409</c:f>
              <c:numCache>
                <c:formatCode>0.00</c:formatCode>
                <c:ptCount val="401"/>
                <c:pt idx="0">
                  <c:v>-1.43952679327245</c:v>
                </c:pt>
                <c:pt idx="1">
                  <c:v>-1.70686646985865</c:v>
                </c:pt>
                <c:pt idx="2">
                  <c:v>-1.97304086397081</c:v>
                </c:pt>
                <c:pt idx="3">
                  <c:v>-2.23801195685082</c:v>
                </c:pt>
                <c:pt idx="4">
                  <c:v>-2.50174094282957</c:v>
                </c:pt>
                <c:pt idx="5">
                  <c:v>-2.76418825420657</c:v>
                </c:pt>
                <c:pt idx="6">
                  <c:v>-3.02531359017616</c:v>
                </c:pt>
                <c:pt idx="7">
                  <c:v>-3.28507594998756</c:v>
                </c:pt>
                <c:pt idx="8">
                  <c:v>-3.54343367050815</c:v>
                </c:pt>
                <c:pt idx="9">
                  <c:v>-3.80034446835091</c:v>
                </c:pt>
                <c:pt idx="10">
                  <c:v>-4.055765486704</c:v>
                </c:pt>
                <c:pt idx="11">
                  <c:v>-4.30965334698078</c:v>
                </c:pt>
                <c:pt idx="12">
                  <c:v>-4.56196420538563</c:v>
                </c:pt>
                <c:pt idx="13">
                  <c:v>-4.81265381445905</c:v>
                </c:pt>
                <c:pt idx="14">
                  <c:v>-5.06167758963839</c:v>
                </c:pt>
                <c:pt idx="15">
                  <c:v>-5.30899068083184</c:v>
                </c:pt>
                <c:pt idx="16">
                  <c:v>-5.55454804896796</c:v>
                </c:pt>
                <c:pt idx="17">
                  <c:v>-5.79830454743969</c:v>
                </c:pt>
                <c:pt idx="18">
                  <c:v>-6.04021500831901</c:v>
                </c:pt>
                <c:pt idx="19">
                  <c:v>-6.28023433317001</c:v>
                </c:pt>
                <c:pt idx="20">
                  <c:v>-6.51831758823917</c:v>
                </c:pt>
                <c:pt idx="21">
                  <c:v>-6.75442010375245</c:v>
                </c:pt>
                <c:pt idx="22">
                  <c:v>-6.98849757699292</c:v>
                </c:pt>
                <c:pt idx="23">
                  <c:v>-7.2205061787828</c:v>
                </c:pt>
                <c:pt idx="24">
                  <c:v>-7.45040266293899</c:v>
                </c:pt>
                <c:pt idx="25">
                  <c:v>-7.67814447822001</c:v>
                </c:pt>
                <c:pt idx="26">
                  <c:v>-7.90368988222971</c:v>
                </c:pt>
                <c:pt idx="27">
                  <c:v>-8.12699805669859</c:v>
                </c:pt>
                <c:pt idx="28">
                  <c:v>-8.34802922351391</c:v>
                </c:pt>
                <c:pt idx="29">
                  <c:v>-8.56674476083414</c:v>
                </c:pt>
                <c:pt idx="30">
                  <c:v>-8.78310731858295</c:v>
                </c:pt>
                <c:pt idx="31">
                  <c:v>-8.99708093259392</c:v>
                </c:pt>
                <c:pt idx="32">
                  <c:v>-9.20863113664945</c:v>
                </c:pt>
                <c:pt idx="33">
                  <c:v>-9.4177250716464</c:v>
                </c:pt>
                <c:pt idx="34">
                  <c:v>-9.62433159111218</c:v>
                </c:pt>
                <c:pt idx="35">
                  <c:v>-9.82842136229803</c:v>
                </c:pt>
                <c:pt idx="36">
                  <c:v>-10.0299669620883</c:v>
                </c:pt>
                <c:pt idx="37">
                  <c:v>-10.2289429669831</c:v>
                </c:pt>
                <c:pt idx="38">
                  <c:v>-10.4253260364471</c:v>
                </c:pt>
                <c:pt idx="39">
                  <c:v>-10.6190949889509</c:v>
                </c:pt>
                <c:pt idx="40">
                  <c:v>-10.8102308700869</c:v>
                </c:pt>
                <c:pt idx="41">
                  <c:v>-10.9987170121951</c:v>
                </c:pt>
                <c:pt idx="42">
                  <c:v>-11.1845390850035</c:v>
                </c:pt>
                <c:pt idx="43">
                  <c:v>-11.3676851368596</c:v>
                </c:pt>
                <c:pt idx="44">
                  <c:v>-11.548145626209</c:v>
                </c:pt>
                <c:pt idx="45">
                  <c:v>-11.725913443064</c:v>
                </c:pt>
                <c:pt idx="46">
                  <c:v>-11.9009839202922</c:v>
                </c:pt>
                <c:pt idx="47">
                  <c:v>-12.0733548346458</c:v>
                </c:pt>
                <c:pt idx="48">
                  <c:v>-12.2430263975484</c:v>
                </c:pt>
                <c:pt idx="49">
                  <c:v>-12.410001235744</c:v>
                </c:pt>
                <c:pt idx="50">
                  <c:v>-12.5742843620067</c:v>
                </c:pt>
                <c:pt idx="51">
                  <c:v>-12.735883136196</c:v>
                </c:pt>
                <c:pt idx="52">
                  <c:v>-12.8948072170265</c:v>
                </c:pt>
                <c:pt idx="53">
                  <c:v>-13.0510685049964</c:v>
                </c:pt>
                <c:pt idx="54">
                  <c:v>-13.2046810769938</c:v>
                </c:pt>
                <c:pt idx="55">
                  <c:v>-13.3556611131604</c:v>
                </c:pt>
                <c:pt idx="56">
                  <c:v>-13.5040268166464</c:v>
                </c:pt>
                <c:pt idx="57">
                  <c:v>-13.6497983269415</c:v>
                </c:pt>
                <c:pt idx="58">
                  <c:v>-13.7929976274966</c:v>
                </c:pt>
                <c:pt idx="59">
                  <c:v>-13.9336484483845</c:v>
                </c:pt>
                <c:pt idx="60">
                  <c:v>-14.0717761647604</c:v>
                </c:pt>
                <c:pt idx="61">
                  <c:v>-14.2074076918951</c:v>
                </c:pt>
                <c:pt idx="62">
                  <c:v>-14.3405713775499</c:v>
                </c:pt>
                <c:pt idx="63">
                  <c:v>-14.4712968924546</c:v>
                </c:pt>
                <c:pt idx="64">
                  <c:v>-14.5996151196308</c:v>
                </c:pt>
                <c:pt idx="65">
                  <c:v>-14.7255580432789</c:v>
                </c:pt>
                <c:pt idx="66">
                  <c:v>-14.8491586379147</c:v>
                </c:pt>
                <c:pt idx="67">
                  <c:v>-14.9704507584045</c:v>
                </c:pt>
                <c:pt idx="68">
                  <c:v>-15.0894690315053</c:v>
                </c:pt>
                <c:pt idx="69">
                  <c:v>-15.2062487494707</c:v>
                </c:pt>
                <c:pt idx="70">
                  <c:v>-15.3208257662339</c:v>
                </c:pt>
                <c:pt idx="71">
                  <c:v>-15.4332363966272</c:v>
                </c:pt>
                <c:pt idx="72">
                  <c:v>-15.543517319046</c:v>
                </c:pt>
                <c:pt idx="73">
                  <c:v>-15.6517054819117</c:v>
                </c:pt>
                <c:pt idx="74">
                  <c:v>-15.7578380142336</c:v>
                </c:pt>
                <c:pt idx="75">
                  <c:v>-15.8619521405211</c:v>
                </c:pt>
                <c:pt idx="76">
                  <c:v>-15.9640851002434</c:v>
                </c:pt>
                <c:pt idx="77">
                  <c:v>-16.0642740719881</c:v>
                </c:pt>
                <c:pt idx="78">
                  <c:v>-16.1625561024224</c:v>
                </c:pt>
                <c:pt idx="79">
                  <c:v>-16.258968040119</c:v>
                </c:pt>
                <c:pt idx="80">
                  <c:v>-16.3535464742661</c:v>
                </c:pt>
                <c:pt idx="81">
                  <c:v>-16.4463276782466</c:v>
                </c:pt>
                <c:pt idx="82">
                  <c:v>-16.5373475580368</c:v>
                </c:pt>
                <c:pt idx="83">
                  <c:v>-16.6266416053427</c:v>
                </c:pt>
                <c:pt idx="84">
                  <c:v>-16.7142448553706</c:v>
                </c:pt>
                <c:pt idx="85">
                  <c:v>-16.8001918490997</c:v>
                </c:pt>
                <c:pt idx="86">
                  <c:v>-16.8845165999068</c:v>
                </c:pt>
                <c:pt idx="87">
                  <c:v>-16.9672525643778</c:v>
                </c:pt>
                <c:pt idx="88">
                  <c:v>-17.0484326171249</c:v>
                </c:pt>
                <c:pt idx="89">
                  <c:v>-17.1280890294169</c:v>
                </c:pt>
                <c:pt idx="90">
                  <c:v>-17.2062534514253</c:v>
                </c:pt>
                <c:pt idx="91">
                  <c:v>-17.2829568978793</c:v>
                </c:pt>
                <c:pt idx="92">
                  <c:v>-17.3582297369211</c:v>
                </c:pt>
                <c:pt idx="93">
                  <c:v>-17.4321016819517</c:v>
                </c:pt>
                <c:pt idx="94">
                  <c:v>-17.5046017862571</c:v>
                </c:pt>
                <c:pt idx="95">
                  <c:v>-17.5757584402073</c:v>
                </c:pt>
                <c:pt idx="96">
                  <c:v>-17.6455993708231</c:v>
                </c:pt>
                <c:pt idx="97">
                  <c:v>-17.7141516435114</c:v>
                </c:pt>
                <c:pt idx="98">
                  <c:v>-17.7814416657751</c:v>
                </c:pt>
                <c:pt idx="99">
                  <c:v>-17.8474951927091</c:v>
                </c:pt>
                <c:pt idx="100">
                  <c:v>-17.9123373341035</c:v>
                </c:pt>
                <c:pt idx="101">
                  <c:v>-17.9759925629797</c:v>
                </c:pt>
                <c:pt idx="102">
                  <c:v>-18.0384847253971</c:v>
                </c:pt>
                <c:pt idx="103">
                  <c:v>-18.0998370513728</c:v>
                </c:pt>
                <c:pt idx="104">
                  <c:v>-18.1600721667683</c:v>
                </c:pt>
                <c:pt idx="105">
                  <c:v>-18.2192121060048</c:v>
                </c:pt>
                <c:pt idx="106">
                  <c:v>-18.2772783254774</c:v>
                </c:pt>
                <c:pt idx="107">
                  <c:v>-18.3342917175466</c:v>
                </c:pt>
                <c:pt idx="108">
                  <c:v>-18.3902726249978</c:v>
                </c:pt>
                <c:pt idx="109">
                  <c:v>-18.4452408558612</c:v>
                </c:pt>
                <c:pt idx="110">
                  <c:v>-18.4992156984994</c:v>
                </c:pt>
                <c:pt idx="111">
                  <c:v>-18.5522159368746</c:v>
                </c:pt>
                <c:pt idx="112">
                  <c:v>-18.6042598659142</c:v>
                </c:pt>
                <c:pt idx="113">
                  <c:v>-18.655365306904</c:v>
                </c:pt>
                <c:pt idx="114">
                  <c:v>-18.7055496228412</c:v>
                </c:pt>
                <c:pt idx="115">
                  <c:v>-18.7548297336911</c:v>
                </c:pt>
                <c:pt idx="116">
                  <c:v>-18.803222131491</c:v>
                </c:pt>
                <c:pt idx="117">
                  <c:v>-18.850742895258</c:v>
                </c:pt>
                <c:pt idx="118">
                  <c:v>-18.8974077056573</c:v>
                </c:pt>
                <c:pt idx="119">
                  <c:v>-18.9432318593957</c:v>
                </c:pt>
                <c:pt idx="120">
                  <c:v>-18.9882302833095</c:v>
                </c:pt>
                <c:pt idx="121">
                  <c:v>-19.0324175481192</c:v>
                </c:pt>
                <c:pt idx="122">
                  <c:v>-19.075807881829</c:v>
                </c:pt>
                <c:pt idx="123">
                  <c:v>-19.1184151827536</c:v>
                </c:pt>
                <c:pt idx="124">
                  <c:v>-19.160253032156</c:v>
                </c:pt>
                <c:pt idx="125">
                  <c:v>-19.2013347064846</c:v>
                </c:pt>
                <c:pt idx="126">
                  <c:v>-19.2416731892026</c:v>
                </c:pt>
                <c:pt idx="127">
                  <c:v>-19.2812811822015</c:v>
                </c:pt>
                <c:pt idx="128">
                  <c:v>-19.320171116798</c:v>
                </c:pt>
                <c:pt idx="129">
                  <c:v>-19.3583551643098</c:v>
                </c:pt>
                <c:pt idx="130">
                  <c:v>-19.3958452462151</c:v>
                </c:pt>
                <c:pt idx="131">
                  <c:v>-19.4326530438945</c:v>
                </c:pt>
                <c:pt idx="132">
                  <c:v>-19.4687900079631</c:v>
                </c:pt>
                <c:pt idx="133">
                  <c:v>-19.5042673671962</c:v>
                </c:pt>
                <c:pt idx="134">
                  <c:v>-19.5390961370567</c:v>
                </c:pt>
                <c:pt idx="135">
                  <c:v>-19.573287127832</c:v>
                </c:pt>
                <c:pt idx="136">
                  <c:v>-19.6068509523901</c:v>
                </c:pt>
                <c:pt idx="137">
                  <c:v>-19.6397980335634</c:v>
                </c:pt>
                <c:pt idx="138">
                  <c:v>-19.6721386111724</c:v>
                </c:pt>
                <c:pt idx="139">
                  <c:v>-19.7038827486993</c:v>
                </c:pt>
                <c:pt idx="140">
                  <c:v>-19.7350403396238</c:v>
                </c:pt>
                <c:pt idx="141">
                  <c:v>-19.7656211134332</c:v>
                </c:pt>
                <c:pt idx="142">
                  <c:v>-19.795634641318</c:v>
                </c:pt>
                <c:pt idx="143">
                  <c:v>-19.8250903415667</c:v>
                </c:pt>
                <c:pt idx="144">
                  <c:v>-19.8539974846727</c:v>
                </c:pt>
                <c:pt idx="145">
                  <c:v>-19.8823651981638</c:v>
                </c:pt>
                <c:pt idx="146">
                  <c:v>-19.9102024711695</c:v>
                </c:pt>
                <c:pt idx="147">
                  <c:v>-19.9375181587379</c:v>
                </c:pt>
                <c:pt idx="148">
                  <c:v>-19.9643209859134</c:v>
                </c:pt>
                <c:pt idx="149">
                  <c:v>-19.9906195515901</c:v>
                </c:pt>
                <c:pt idx="150">
                  <c:v>-20.0164223321503</c:v>
                </c:pt>
                <c:pt idx="151">
                  <c:v>-20.0417376849029</c:v>
                </c:pt>
                <c:pt idx="152">
                  <c:v>-20.0665738513313</c:v>
                </c:pt>
                <c:pt idx="153">
                  <c:v>-20.0909389601635</c:v>
                </c:pt>
                <c:pt idx="154">
                  <c:v>-20.114841030275</c:v>
                </c:pt>
                <c:pt idx="155">
                  <c:v>-20.138287973436</c:v>
                </c:pt>
                <c:pt idx="156">
                  <c:v>-20.1612875969132</c:v>
                </c:pt>
                <c:pt idx="157">
                  <c:v>-20.1838476059366</c:v>
                </c:pt>
                <c:pt idx="158">
                  <c:v>-20.2059756060411</c:v>
                </c:pt>
                <c:pt idx="159">
                  <c:v>-20.2276791052928</c:v>
                </c:pt>
                <c:pt idx="160">
                  <c:v>-20.2489655164102</c:v>
                </c:pt>
                <c:pt idx="161">
                  <c:v>-20.2698421587864</c:v>
                </c:pt>
                <c:pt idx="162">
                  <c:v>-20.2903162604249</c:v>
                </c:pt>
                <c:pt idx="163">
                  <c:v>-20.3103949597945</c:v>
                </c:pt>
                <c:pt idx="164">
                  <c:v>-20.3300853076124</c:v>
                </c:pt>
                <c:pt idx="165">
                  <c:v>-20.3493942685627</c:v>
                </c:pt>
                <c:pt idx="166">
                  <c:v>-20.3683287229584</c:v>
                </c:pt>
                <c:pt idx="167">
                  <c:v>-20.3868954683539</c:v>
                </c:pt>
                <c:pt idx="168">
                  <c:v>-20.4051012211133</c:v>
                </c:pt>
                <c:pt idx="169">
                  <c:v>-20.4229526179431</c:v>
                </c:pt>
                <c:pt idx="170">
                  <c:v>-20.4404562173949</c:v>
                </c:pt>
                <c:pt idx="171">
                  <c:v>-20.4576185013425</c:v>
                </c:pt>
                <c:pt idx="172">
                  <c:v>-20.4744458764415</c:v>
                </c:pt>
                <c:pt idx="173">
                  <c:v>-20.4909446755754</c:v>
                </c:pt>
                <c:pt idx="174">
                  <c:v>-20.5071211592935</c:v>
                </c:pt>
                <c:pt idx="175">
                  <c:v>-20.5229815172465</c:v>
                </c:pt>
                <c:pt idx="176">
                  <c:v>-20.5385318696231</c:v>
                </c:pt>
                <c:pt idx="177">
                  <c:v>-20.5537782685946</c:v>
                </c:pt>
                <c:pt idx="178">
                  <c:v>-20.5687266997689</c:v>
                </c:pt>
                <c:pt idx="179">
                  <c:v>-20.5833830836613</c:v>
                </c:pt>
                <c:pt idx="180">
                  <c:v>-20.5977532771839</c:v>
                </c:pt>
                <c:pt idx="181">
                  <c:v>-20.6118430751589</c:v>
                </c:pt>
                <c:pt idx="182">
                  <c:v>-20.6256582118594</c:v>
                </c:pt>
                <c:pt idx="183">
                  <c:v>-20.6392043625811</c:v>
                </c:pt>
                <c:pt idx="184">
                  <c:v>-20.6524871452495</c:v>
                </c:pt>
                <c:pt idx="185">
                  <c:v>-20.6655121220652</c:v>
                </c:pt>
                <c:pt idx="186">
                  <c:v>-20.6782848011916</c:v>
                </c:pt>
                <c:pt idx="187">
                  <c:v>-20.6908106384889</c:v>
                </c:pt>
                <c:pt idx="188">
                  <c:v>-20.7030950392956</c:v>
                </c:pt>
                <c:pt idx="189">
                  <c:v>-20.7151433602645</c:v>
                </c:pt>
                <c:pt idx="190">
                  <c:v>-20.7269609112541</c:v>
                </c:pt>
                <c:pt idx="191">
                  <c:v>-20.7385529572793</c:v>
                </c:pt>
                <c:pt idx="192">
                  <c:v>-20.7499247205256</c:v>
                </c:pt>
                <c:pt idx="193">
                  <c:v>-20.7610813824299</c:v>
                </c:pt>
                <c:pt idx="194">
                  <c:v>-20.7720280858312</c:v>
                </c:pt>
                <c:pt idx="195">
                  <c:v>-20.7827699371956</c:v>
                </c:pt>
                <c:pt idx="196">
                  <c:v>-20.7933120089186</c:v>
                </c:pt>
                <c:pt idx="197">
                  <c:v>-20.8036593417089</c:v>
                </c:pt>
                <c:pt idx="198">
                  <c:v>-20.8138169470569</c:v>
                </c:pt>
                <c:pt idx="199">
                  <c:v>-20.8237898097941</c:v>
                </c:pt>
                <c:pt idx="200">
                  <c:v>-20.8335828907445</c:v>
                </c:pt>
                <c:pt idx="201">
                  <c:v>-20.8432011294744</c:v>
                </c:pt>
                <c:pt idx="202">
                  <c:v>-20.852649447145</c:v>
                </c:pt>
                <c:pt idx="203">
                  <c:v>-20.8619327494717</c:v>
                </c:pt>
                <c:pt idx="204">
                  <c:v>-20.8710559297954</c:v>
                </c:pt>
                <c:pt idx="205">
                  <c:v>-20.8800238722712</c:v>
                </c:pt>
                <c:pt idx="206">
                  <c:v>-20.8888414551791</c:v>
                </c:pt>
                <c:pt idx="207">
                  <c:v>-20.8975135543636</c:v>
                </c:pt>
                <c:pt idx="208">
                  <c:v>-20.9060450468062</c:v>
                </c:pt>
                <c:pt idx="209">
                  <c:v>-20.9144408143387</c:v>
                </c:pt>
                <c:pt idx="210">
                  <c:v>-20.9227057475033</c:v>
                </c:pt>
                <c:pt idx="211">
                  <c:v>-20.9308447495652</c:v>
                </c:pt>
                <c:pt idx="212">
                  <c:v>-20.938862740687</c:v>
                </c:pt>
                <c:pt idx="213">
                  <c:v>-20.9467646622703</c:v>
                </c:pt>
                <c:pt idx="214">
                  <c:v>-20.9545554814738</c:v>
                </c:pt>
                <c:pt idx="215">
                  <c:v>-20.962240195916</c:v>
                </c:pt>
                <c:pt idx="216">
                  <c:v>-20.9698238385711</c:v>
                </c:pt>
                <c:pt idx="217">
                  <c:v>-20.9773114828669</c:v>
                </c:pt>
                <c:pt idx="218">
                  <c:v>-20.9847082479963</c:v>
                </c:pt>
                <c:pt idx="219">
                  <c:v>-20.992019304451</c:v>
                </c:pt>
                <c:pt idx="220">
                  <c:v>-20.9992498797885</c:v>
                </c:pt>
                <c:pt idx="221">
                  <c:v>-21.0064052646456</c:v>
                </c:pt>
                <c:pt idx="222">
                  <c:v>-21.0134908190076</c:v>
                </c:pt>
                <c:pt idx="223">
                  <c:v>-21.02051197875</c:v>
                </c:pt>
                <c:pt idx="224">
                  <c:v>-21.0274742624624</c:v>
                </c:pt>
                <c:pt idx="225">
                  <c:v>-21.0343832785717</c:v>
                </c:pt>
                <c:pt idx="226">
                  <c:v>-21.0412447327781</c:v>
                </c:pt>
                <c:pt idx="227">
                  <c:v>-21.0480644358223</c:v>
                </c:pt>
                <c:pt idx="228">
                  <c:v>-21.0548483115966</c:v>
                </c:pt>
                <c:pt idx="229">
                  <c:v>-21.0616024056237</c:v>
                </c:pt>
                <c:pt idx="230">
                  <c:v>-21.0683328939167</c:v>
                </c:pt>
                <c:pt idx="231">
                  <c:v>-21.0750460922441</c:v>
                </c:pt>
                <c:pt idx="232">
                  <c:v>-21.0817484658193</c:v>
                </c:pt>
                <c:pt idx="233">
                  <c:v>-21.0884466394379</c:v>
                </c:pt>
                <c:pt idx="234">
                  <c:v>-21.0951474080874</c:v>
                </c:pt>
                <c:pt idx="235">
                  <c:v>-21.1018577480519</c:v>
                </c:pt>
                <c:pt idx="236">
                  <c:v>-21.1085848285425</c:v>
                </c:pt>
                <c:pt idx="237">
                  <c:v>-21.1153360238792</c:v>
                </c:pt>
                <c:pt idx="238">
                  <c:v>-21.1221189262555</c:v>
                </c:pt>
                <c:pt idx="239">
                  <c:v>-21.1289413591176</c:v>
                </c:pt>
                <c:pt idx="240">
                  <c:v>-21.1358113911929</c:v>
                </c:pt>
                <c:pt idx="241">
                  <c:v>-21.1427373512033</c:v>
                </c:pt>
                <c:pt idx="242">
                  <c:v>-21.1497278433018</c:v>
                </c:pt>
                <c:pt idx="243">
                  <c:v>-21.156791763275</c:v>
                </c:pt>
                <c:pt idx="244">
                  <c:v>-21.1639383155525</c:v>
                </c:pt>
                <c:pt idx="245">
                  <c:v>-21.1711770310724</c:v>
                </c:pt>
                <c:pt idx="246">
                  <c:v>-21.17851778605</c:v>
                </c:pt>
                <c:pt idx="247">
                  <c:v>-21.1859708217047</c:v>
                </c:pt>
                <c:pt idx="248">
                  <c:v>-21.1935467649998</c:v>
                </c:pt>
                <c:pt idx="249">
                  <c:v>-21.2012566504556</c:v>
                </c:pt>
                <c:pt idx="250">
                  <c:v>-21.2091119431018</c:v>
                </c:pt>
                <c:pt idx="251">
                  <c:v>-21.2171245626341</c:v>
                </c:pt>
                <c:pt idx="252">
                  <c:v>-21.2253069088531</c:v>
                </c:pt>
                <c:pt idx="253">
                  <c:v>-21.2336718884599</c:v>
                </c:pt>
                <c:pt idx="254">
                  <c:v>-21.2422329432956</c:v>
                </c:pt>
                <c:pt idx="255">
                  <c:v>-21.2510040801135</c:v>
                </c:pt>
                <c:pt idx="256">
                  <c:v>-21.2599999019811</c:v>
                </c:pt>
                <c:pt idx="257">
                  <c:v>-21.2692356414161</c:v>
                </c:pt>
                <c:pt idx="258">
                  <c:v>-21.2787271953682</c:v>
                </c:pt>
                <c:pt idx="259">
                  <c:v>-21.2884911621669</c:v>
                </c:pt>
                <c:pt idx="260">
                  <c:v>-21.2985448805648</c:v>
                </c:pt>
                <c:pt idx="261">
                  <c:v>-21.3089064710153</c:v>
                </c:pt>
                <c:pt idx="262">
                  <c:v>-21.3195948793367</c:v>
                </c:pt>
                <c:pt idx="263">
                  <c:v>-21.3306299229231</c:v>
                </c:pt>
                <c:pt idx="264">
                  <c:v>-21.3420323396788</c:v>
                </c:pt>
                <c:pt idx="265">
                  <c:v>-21.3538238398665</c:v>
                </c:pt>
                <c:pt idx="266">
                  <c:v>-21.3660271610733</c:v>
                </c:pt>
                <c:pt idx="267">
                  <c:v>-21.3786661265192</c:v>
                </c:pt>
                <c:pt idx="268">
                  <c:v>-21.391765706948</c:v>
                </c:pt>
                <c:pt idx="269">
                  <c:v>-21.4053520863645</c:v>
                </c:pt>
                <c:pt idx="270">
                  <c:v>-21.4194527319037</c:v>
                </c:pt>
                <c:pt idx="271">
                  <c:v>-21.4340964681416</c:v>
                </c:pt>
                <c:pt idx="272">
                  <c:v>-21.4493135561876</c:v>
                </c:pt>
                <c:pt idx="273">
                  <c:v>-21.4651357779292</c:v>
                </c:pt>
                <c:pt idx="274">
                  <c:v>-21.48159652583</c:v>
                </c:pt>
                <c:pt idx="275">
                  <c:v>-21.4987308987268</c:v>
                </c:pt>
                <c:pt idx="276">
                  <c:v>-21.5165758041067</c:v>
                </c:pt>
                <c:pt idx="277">
                  <c:v>-21.5351700673984</c:v>
                </c:pt>
                <c:pt idx="278">
                  <c:v>-21.5545545488579</c:v>
                </c:pt>
                <c:pt idx="279">
                  <c:v>-21.5747722686925</c:v>
                </c:pt>
                <c:pt idx="280">
                  <c:v>-21.5958685411272</c:v>
                </c:pt>
                <c:pt idx="281">
                  <c:v>-21.6178911181957</c:v>
                </c:pt>
                <c:pt idx="282">
                  <c:v>-21.6408903441126</c:v>
                </c:pt>
                <c:pt idx="283">
                  <c:v>-21.6649193211827</c:v>
                </c:pt>
                <c:pt idx="284">
                  <c:v>-21.6900340882981</c:v>
                </c:pt>
                <c:pt idx="285">
                  <c:v>-21.7162938131969</c:v>
                </c:pt>
                <c:pt idx="286">
                  <c:v>-21.743760999781</c:v>
                </c:pt>
                <c:pt idx="287">
                  <c:v>-21.7725017119437</c:v>
                </c:pt>
                <c:pt idx="288">
                  <c:v>-21.8025858155197</c:v>
                </c:pt>
                <c:pt idx="289">
                  <c:v>-21.8340872401632</c:v>
                </c:pt>
                <c:pt idx="290">
                  <c:v>-21.8670842631738</c:v>
                </c:pt>
                <c:pt idx="291">
                  <c:v>-21.9016598175321</c:v>
                </c:pt>
                <c:pt idx="292">
                  <c:v>-21.9379018266926</c:v>
                </c:pt>
                <c:pt idx="293">
                  <c:v>-21.9759035689959</c:v>
                </c:pt>
                <c:pt idx="294">
                  <c:v>-22.0157640749316</c:v>
                </c:pt>
                <c:pt idx="295">
                  <c:v>-22.0575885609047</c:v>
                </c:pt>
                <c:pt idx="296">
                  <c:v>-22.1014889036444</c:v>
                </c:pt>
                <c:pt idx="297">
                  <c:v>-22.1475841599538</c:v>
                </c:pt>
                <c:pt idx="298">
                  <c:v>-22.1960011371494</c:v>
                </c:pt>
                <c:pt idx="299">
                  <c:v>-22.2468750202935</c:v>
                </c:pt>
                <c:pt idx="300">
                  <c:v>-22.3003500631998</c:v>
                </c:pt>
                <c:pt idx="301">
                  <c:v>-22.3565803512179</c:v>
                </c:pt>
                <c:pt idx="302">
                  <c:v>-22.4157306450021</c:v>
                </c:pt>
                <c:pt idx="303">
                  <c:v>-22.4779773158802</c:v>
                </c:pt>
                <c:pt idx="304">
                  <c:v>-22.5435093851</c:v>
                </c:pt>
                <c:pt idx="305">
                  <c:v>-22.612529681195</c:v>
                </c:pt>
                <c:pt idx="306">
                  <c:v>-22.6852561320416</c:v>
                </c:pt>
                <c:pt idx="307">
                  <c:v>-22.7619232109585</c:v>
                </c:pt>
                <c:pt idx="308">
                  <c:v>-22.8427835595141</c:v>
                </c:pt>
                <c:pt idx="309">
                  <c:v>-22.9281098136932</c:v>
                </c:pt>
                <c:pt idx="310">
                  <c:v>-23.0181966648697</c:v>
                </c:pt>
                <c:pt idx="311">
                  <c:v>-23.1133631928417</c:v>
                </c:pt>
                <c:pt idx="312">
                  <c:v>-23.2139555152406</c:v>
                </c:pt>
                <c:pt idx="313">
                  <c:v>-23.3203498062484</c:v>
                </c:pt>
                <c:pt idx="314">
                  <c:v>-23.4329557481304</c:v>
                </c:pt>
                <c:pt idx="315">
                  <c:v>-23.5522204921391</c:v>
                </c:pt>
                <c:pt idx="316">
                  <c:v>-23.6786332215188</c:v>
                </c:pt>
                <c:pt idx="317">
                  <c:v>-23.8127304295061</c:v>
                </c:pt>
                <c:pt idx="318">
                  <c:v>-23.9551020505141</c:v>
                </c:pt>
                <c:pt idx="319">
                  <c:v>-24.1063986145959</c:v>
                </c:pt>
                <c:pt idx="320">
                  <c:v>-24.2673396357974</c:v>
                </c:pt>
                <c:pt idx="321">
                  <c:v>-24.4387234967933</c:v>
                </c:pt>
                <c:pt idx="322">
                  <c:v>-24.6214391588387</c:v>
                </c:pt>
                <c:pt idx="323">
                  <c:v>-24.8164801124606</c:v>
                </c:pt>
                <c:pt idx="324">
                  <c:v>-25.0249610971145</c:v>
                </c:pt>
                <c:pt idx="325">
                  <c:v>-25.2481382664989</c:v>
                </c:pt>
                <c:pt idx="326">
                  <c:v>-25.4874336731194</c:v>
                </c:pt>
                <c:pt idx="327">
                  <c:v>-25.7444652089619</c:v>
                </c:pt>
                <c:pt idx="328">
                  <c:v>-26.0210834938879</c:v>
                </c:pt>
                <c:pt idx="329">
                  <c:v>-26.3194176850846</c:v>
                </c:pt>
                <c:pt idx="330">
                  <c:v>-26.6419328395329</c:v>
                </c:pt>
                <c:pt idx="331">
                  <c:v>-26.9915023669949</c:v>
                </c:pt>
                <c:pt idx="332">
                  <c:v>-27.3715003597425</c:v>
                </c:pt>
                <c:pt idx="333">
                  <c:v>-27.7859203043589</c:v>
                </c:pt>
                <c:pt idx="334">
                  <c:v>-28.2395290228391</c:v>
                </c:pt>
                <c:pt idx="335">
                  <c:v>-28.7380677908633</c:v>
                </c:pt>
                <c:pt idx="336">
                  <c:v>-29.2885164074886</c:v>
                </c:pt>
                <c:pt idx="337">
                  <c:v>-29.8994398604581</c:v>
                </c:pt>
                <c:pt idx="338">
                  <c:v>-30.581438368457</c:v>
                </c:pt>
                <c:pt idx="339">
                  <c:v>-31.3477107769304</c:v>
                </c:pt>
                <c:pt idx="340">
                  <c:v>-32.2146896252575</c:v>
                </c:pt>
                <c:pt idx="341">
                  <c:v>-33.2025232447361</c:v>
                </c:pt>
                <c:pt idx="342">
                  <c:v>-34.3345781372837</c:v>
                </c:pt>
                <c:pt idx="343">
                  <c:v>-35.6331837707122</c:v>
                </c:pt>
                <c:pt idx="344">
                  <c:v>-37.1026387633834</c:v>
                </c:pt>
                <c:pt idx="345">
                  <c:v>-38.6730936352238</c:v>
                </c:pt>
                <c:pt idx="346">
                  <c:v>-40.0567619229553</c:v>
                </c:pt>
                <c:pt idx="347">
                  <c:v>-40.6150326512981</c:v>
                </c:pt>
                <c:pt idx="348">
                  <c:v>-39.8580702947501</c:v>
                </c:pt>
                <c:pt idx="349">
                  <c:v>-38.184931362156</c:v>
                </c:pt>
                <c:pt idx="350">
                  <c:v>-36.2637100971784</c:v>
                </c:pt>
                <c:pt idx="351">
                  <c:v>-34.4238340272408</c:v>
                </c:pt>
                <c:pt idx="352">
                  <c:v>-32.7524862445371</c:v>
                </c:pt>
                <c:pt idx="353">
                  <c:v>-31.2504196440757</c:v>
                </c:pt>
                <c:pt idx="354">
                  <c:v>-29.8963156557643</c:v>
                </c:pt>
                <c:pt idx="355">
                  <c:v>-28.6666972196538</c:v>
                </c:pt>
                <c:pt idx="356">
                  <c:v>-27.5410778760926</c:v>
                </c:pt>
                <c:pt idx="357">
                  <c:v>-26.5027112651539</c:v>
                </c:pt>
                <c:pt idx="358">
                  <c:v>-25.5381662139335</c:v>
                </c:pt>
                <c:pt idx="359">
                  <c:v>-24.6366926905818</c:v>
                </c:pt>
                <c:pt idx="360">
                  <c:v>-23.7896458499487</c:v>
                </c:pt>
                <c:pt idx="361">
                  <c:v>-22.9900225023002</c:v>
                </c:pt>
                <c:pt idx="362">
                  <c:v>-22.2321032855302</c:v>
                </c:pt>
                <c:pt idx="363">
                  <c:v>-21.5111801497931</c:v>
                </c:pt>
                <c:pt idx="364">
                  <c:v>-20.8233491269394</c:v>
                </c:pt>
                <c:pt idx="365">
                  <c:v>-20.1653521092459</c:v>
                </c:pt>
                <c:pt idx="366">
                  <c:v>-19.5344552553759</c:v>
                </c:pt>
                <c:pt idx="367">
                  <c:v>-18.9283548431504</c:v>
                </c:pt>
                <c:pt idx="368">
                  <c:v>-18.3451038214198</c:v>
                </c:pt>
                <c:pt idx="369">
                  <c:v>-17.7830541040503</c:v>
                </c:pt>
                <c:pt idx="370">
                  <c:v>-17.2408109516777</c:v>
                </c:pt>
                <c:pt idx="371">
                  <c:v>-16.7171967326066</c:v>
                </c:pt>
                <c:pt idx="372">
                  <c:v>-16.2112220431046</c:v>
                </c:pt>
                <c:pt idx="373">
                  <c:v>-15.7220626724595</c:v>
                </c:pt>
                <c:pt idx="374">
                  <c:v>-15.249041271786</c:v>
                </c:pt>
                <c:pt idx="375">
                  <c:v>-14.7916128649307</c:v>
                </c:pt>
                <c:pt idx="376">
                  <c:v>-14.3493535513813</c:v>
                </c:pt>
                <c:pt idx="377">
                  <c:v>-13.9219519138187</c:v>
                </c:pt>
                <c:pt idx="378">
                  <c:v>-13.5092027705549</c:v>
                </c:pt>
                <c:pt idx="379">
                  <c:v>-13.1110030156157</c:v>
                </c:pt>
                <c:pt idx="380">
                  <c:v>-12.7273493741686</c:v>
                </c:pt>
                <c:pt idx="381">
                  <c:v>-12.358337974099</c:v>
                </c:pt>
                <c:pt idx="382">
                  <c:v>-12.0041657003749</c:v>
                </c:pt>
                <c:pt idx="383">
                  <c:v>-11.6651333611744</c:v>
                </c:pt>
                <c:pt idx="384">
                  <c:v>-11.3416507568546</c:v>
                </c:pt>
                <c:pt idx="385">
                  <c:v>-11.0342438076773</c:v>
                </c:pt>
                <c:pt idx="386">
                  <c:v>-10.7435639665015</c:v>
                </c:pt>
                <c:pt idx="387">
                  <c:v>-10.470400220896</c:v>
                </c:pt>
                <c:pt idx="388">
                  <c:v>-10.215694077248</c:v>
                </c:pt>
                <c:pt idx="389">
                  <c:v>-9.98055801822382</c:v>
                </c:pt>
                <c:pt idx="390">
                  <c:v>-9.76629803250132</c:v>
                </c:pt>
                <c:pt idx="391">
                  <c:v>-9.5744409246259</c:v>
                </c:pt>
                <c:pt idx="392">
                  <c:v>-9.40676720437082</c:v>
                </c:pt>
                <c:pt idx="393">
                  <c:v>-9.26535038735267</c:v>
                </c:pt>
                <c:pt idx="394">
                  <c:v>-9.15260342414244</c:v>
                </c:pt>
                <c:pt idx="395">
                  <c:v>-9.07133253376474</c:v>
                </c:pt>
                <c:pt idx="396">
                  <c:v>-9.02479758321894</c:v>
                </c:pt>
                <c:pt idx="397">
                  <c:v>-9.01677558235786</c:v>
                </c:pt>
                <c:pt idx="398">
                  <c:v>-9.05161832638719</c:v>
                </c:pt>
                <c:pt idx="399">
                  <c:v>-9.13428355859159</c:v>
                </c:pt>
                <c:pt idx="400">
                  <c:v>-9.27029464787359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"アンプ電流 i_n"</c:f>
              <c:strCache>
                <c:ptCount val="1"/>
                <c:pt idx="0">
                  <c:v>アンプ電流 i_n</c:v>
                </c:pt>
              </c:strCache>
            </c:strRef>
          </c:tx>
          <c:spPr>
            <a:solidFill>
              <a:srgbClr val="6250d6"/>
            </a:solidFill>
            <a:ln w="15120">
              <a:solidFill>
                <a:srgbClr val="6250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Spectrum!$AI$9:$AI$409</c:f>
              <c:numCache>
                <c:formatCode>0.00</c:formatCode>
                <c:ptCount val="401"/>
                <c:pt idx="0">
                  <c:v>20.259856277144</c:v>
                </c:pt>
                <c:pt idx="1">
                  <c:v>19.8833182613523</c:v>
                </c:pt>
                <c:pt idx="2">
                  <c:v>19.5077508766818</c:v>
                </c:pt>
                <c:pt idx="3">
                  <c:v>19.1331884917633</c:v>
                </c:pt>
                <c:pt idx="4">
                  <c:v>18.7596662105884</c:v>
                </c:pt>
                <c:pt idx="5">
                  <c:v>18.3872198477454</c:v>
                </c:pt>
                <c:pt idx="6">
                  <c:v>18.0158858996457</c:v>
                </c:pt>
                <c:pt idx="7">
                  <c:v>17.6457015115586</c:v>
                </c:pt>
                <c:pt idx="8">
                  <c:v>17.2767044402827</c:v>
                </c:pt>
                <c:pt idx="9">
                  <c:v>16.9089330122985</c:v>
                </c:pt>
                <c:pt idx="10">
                  <c:v>16.5424260772626</c:v>
                </c:pt>
                <c:pt idx="11">
                  <c:v>16.1772229567295</c:v>
                </c:pt>
                <c:pt idx="12">
                  <c:v>15.8133633880055</c:v>
                </c:pt>
                <c:pt idx="13">
                  <c:v>15.4508874630737</c:v>
                </c:pt>
                <c:pt idx="14">
                  <c:v>15.0898355625552</c:v>
                </c:pt>
                <c:pt idx="15">
                  <c:v>14.7302482847109</c:v>
                </c:pt>
                <c:pt idx="16">
                  <c:v>14.372166369523</c:v>
                </c:pt>
                <c:pt idx="17">
                  <c:v>14.0156306179378</c:v>
                </c:pt>
                <c:pt idx="18">
                  <c:v>13.6606818063977</c:v>
                </c:pt>
                <c:pt idx="19">
                  <c:v>13.307360596834</c:v>
                </c:pt>
                <c:pt idx="20">
                  <c:v>12.9557074423437</c:v>
                </c:pt>
                <c:pt idx="21">
                  <c:v>12.6057624888234</c:v>
                </c:pt>
                <c:pt idx="22">
                  <c:v>12.2575654728865</c:v>
                </c:pt>
                <c:pt idx="23">
                  <c:v>11.9111556164415</c:v>
                </c:pt>
                <c:pt idx="24">
                  <c:v>11.5665715183656</c:v>
                </c:pt>
                <c:pt idx="25">
                  <c:v>11.2238510437532</c:v>
                </c:pt>
                <c:pt idx="26">
                  <c:v>10.8830312112796</c:v>
                </c:pt>
                <c:pt idx="27">
                  <c:v>10.5441480792565</c:v>
                </c:pt>
                <c:pt idx="28">
                  <c:v>10.2072366310114</c:v>
                </c:pt>
                <c:pt idx="29">
                  <c:v>9.87233066025588</c:v>
                </c:pt>
                <c:pt idx="30">
                  <c:v>9.53946265714745</c:v>
                </c:pt>
                <c:pt idx="31">
                  <c:v>9.20866369577663</c:v>
                </c:pt>
                <c:pt idx="32">
                  <c:v>8.87996332383441</c:v>
                </c:pt>
                <c:pt idx="33">
                  <c:v>8.55338945522955</c:v>
                </c:pt>
                <c:pt idx="34">
                  <c:v>8.22896826643188</c:v>
                </c:pt>
                <c:pt idx="35">
                  <c:v>7.90672409731551</c:v>
                </c:pt>
                <c:pt idx="36">
                  <c:v>7.58667935726318</c:v>
                </c:pt>
                <c:pt idx="37">
                  <c:v>7.26885443727447</c:v>
                </c:pt>
                <c:pt idx="38">
                  <c:v>6.95326762878565</c:v>
                </c:pt>
                <c:pt idx="39">
                  <c:v>6.6399350498734</c:v>
                </c:pt>
                <c:pt idx="40">
                  <c:v>6.32887057946135</c:v>
                </c:pt>
                <c:pt idx="41">
                  <c:v>6.0200858000929</c:v>
                </c:pt>
                <c:pt idx="42">
                  <c:v>5.7135899497645</c:v>
                </c:pt>
                <c:pt idx="43">
                  <c:v>5.40938988324396</c:v>
                </c:pt>
                <c:pt idx="44">
                  <c:v>5.1074900432136</c:v>
                </c:pt>
                <c:pt idx="45">
                  <c:v>4.80789244149768</c:v>
                </c:pt>
                <c:pt idx="46">
                  <c:v>4.51059665054016</c:v>
                </c:pt>
                <c:pt idx="47">
                  <c:v>4.21559980521118</c:v>
                </c:pt>
                <c:pt idx="48">
                  <c:v>3.92289661492464</c:v>
                </c:pt>
                <c:pt idx="49">
                  <c:v>3.632479385959</c:v>
                </c:pt>
                <c:pt idx="50">
                  <c:v>3.34433805378089</c:v>
                </c:pt>
                <c:pt idx="51">
                  <c:v>3.05846022508476</c:v>
                </c:pt>
                <c:pt idx="52">
                  <c:v>2.77483122917698</c:v>
                </c:pt>
                <c:pt idx="53">
                  <c:v>2.49343417825651</c:v>
                </c:pt>
                <c:pt idx="54">
                  <c:v>2.21425003607108</c:v>
                </c:pt>
                <c:pt idx="55">
                  <c:v>1.93725769436606</c:v>
                </c:pt>
                <c:pt idx="56">
                  <c:v>1.66243405648731</c:v>
                </c:pt>
                <c:pt idx="57">
                  <c:v>1.3897541274519</c:v>
                </c:pt>
                <c:pt idx="58">
                  <c:v>1.11919110976586</c:v>
                </c:pt>
                <c:pt idx="59">
                  <c:v>0.850716504238722</c:v>
                </c:pt>
                <c:pt idx="60">
                  <c:v>0.584300215027949</c:v>
                </c:pt>
                <c:pt idx="61">
                  <c:v>0.319910658137413</c:v>
                </c:pt>
                <c:pt idx="62">
                  <c:v>0.0575148725955904</c:v>
                </c:pt>
                <c:pt idx="63">
                  <c:v>-0.202921366452482</c:v>
                </c:pt>
                <c:pt idx="64">
                  <c:v>-0.461433433486892</c:v>
                </c:pt>
                <c:pt idx="65">
                  <c:v>-0.718057737911281</c:v>
                </c:pt>
                <c:pt idx="66">
                  <c:v>-0.972831609599359</c:v>
                </c:pt>
                <c:pt idx="67">
                  <c:v>-1.22579318534413</c:v>
                </c:pt>
                <c:pt idx="68">
                  <c:v>-1.47698129682137</c:v>
                </c:pt>
                <c:pt idx="69">
                  <c:v>-1.72643536063397</c:v>
                </c:pt>
                <c:pt idx="70">
                  <c:v>-1.97419527095418</c:v>
                </c:pt>
                <c:pt idx="71">
                  <c:v>-2.22030129522927</c:v>
                </c:pt>
                <c:pt idx="72">
                  <c:v>-2.46479397336425</c:v>
                </c:pt>
                <c:pt idx="73">
                  <c:v>-2.7077140207416</c:v>
                </c:pt>
                <c:pt idx="74">
                  <c:v>-2.94910223538543</c:v>
                </c:pt>
                <c:pt idx="75">
                  <c:v>-3.18899940952631</c:v>
                </c:pt>
                <c:pt idx="76">
                  <c:v>-3.42744624577003</c:v>
                </c:pt>
                <c:pt idx="77">
                  <c:v>-3.6644832780287</c:v>
                </c:pt>
                <c:pt idx="78">
                  <c:v>-3.90015079732314</c:v>
                </c:pt>
                <c:pt idx="79">
                  <c:v>-4.1344887825245</c:v>
                </c:pt>
                <c:pt idx="80">
                  <c:v>-4.36753683606169</c:v>
                </c:pt>
                <c:pt idx="81">
                  <c:v>-4.5993341245839</c:v>
                </c:pt>
                <c:pt idx="82">
                  <c:v>-4.82991932453537</c:v>
                </c:pt>
                <c:pt idx="83">
                  <c:v>-5.05933057256664</c:v>
                </c:pt>
                <c:pt idx="84">
                  <c:v>-5.28760542068282</c:v>
                </c:pt>
                <c:pt idx="85">
                  <c:v>-5.51478079600324</c:v>
                </c:pt>
                <c:pt idx="86">
                  <c:v>-5.74089296498799</c:v>
                </c:pt>
                <c:pt idx="87">
                  <c:v>-5.96597750197003</c:v>
                </c:pt>
                <c:pt idx="88">
                  <c:v>-6.19006926181691</c:v>
                </c:pt>
                <c:pt idx="89">
                  <c:v>-6.41320235653533</c:v>
                </c:pt>
                <c:pt idx="90">
                  <c:v>-6.63541013562315</c:v>
                </c:pt>
                <c:pt idx="91">
                  <c:v>-6.85672516996836</c:v>
                </c:pt>
                <c:pt idx="92">
                  <c:v>-7.07717923908899</c:v>
                </c:pt>
                <c:pt idx="93">
                  <c:v>-7.29680332150806</c:v>
                </c:pt>
                <c:pt idx="94">
                  <c:v>-7.51562758805668</c:v>
                </c:pt>
                <c:pt idx="95">
                  <c:v>-7.73368139789999</c:v>
                </c:pt>
                <c:pt idx="96">
                  <c:v>-7.95099329708515</c:v>
                </c:pt>
                <c:pt idx="97">
                  <c:v>-8.16759101941243</c:v>
                </c:pt>
                <c:pt idx="98">
                  <c:v>-8.38350148943854</c:v>
                </c:pt>
                <c:pt idx="99">
                  <c:v>-8.59875082742559</c:v>
                </c:pt>
                <c:pt idx="100">
                  <c:v>-8.8133643560563</c:v>
                </c:pt>
                <c:pt idx="101">
                  <c:v>-9.02736660874473</c:v>
                </c:pt>
                <c:pt idx="102">
                  <c:v>-9.24078133937772</c:v>
                </c:pt>
                <c:pt idx="103">
                  <c:v>-9.45363153333211</c:v>
                </c:pt>
                <c:pt idx="104">
                  <c:v>-9.66593941962002</c:v>
                </c:pt>
                <c:pt idx="105">
                  <c:v>-9.87772648402375</c:v>
                </c:pt>
                <c:pt idx="106">
                  <c:v>-10.0890134830894</c:v>
                </c:pt>
                <c:pt idx="107">
                  <c:v>-10.2998204588571</c:v>
                </c:pt>
                <c:pt idx="108">
                  <c:v>-10.5101667542153</c:v>
                </c:pt>
                <c:pt idx="109">
                  <c:v>-10.7200710287715</c:v>
                </c:pt>
                <c:pt idx="110">
                  <c:v>-10.9295512751423</c:v>
                </c:pt>
                <c:pt idx="111">
                  <c:v>-11.1386248355744</c:v>
                </c:pt>
                <c:pt idx="112">
                  <c:v>-11.3473084188097</c:v>
                </c:pt>
                <c:pt idx="113">
                  <c:v>-11.5556181171227</c:v>
                </c:pt>
                <c:pt idx="114">
                  <c:v>-11.7635694234576</c:v>
                </c:pt>
                <c:pt idx="115">
                  <c:v>-11.9711772486046</c:v>
                </c:pt>
                <c:pt idx="116">
                  <c:v>-12.1784559383571</c:v>
                </c:pt>
                <c:pt idx="117">
                  <c:v>-12.3854192905991</c:v>
                </c:pt>
                <c:pt idx="118">
                  <c:v>-12.5920805722771</c:v>
                </c:pt>
                <c:pt idx="119">
                  <c:v>-12.7984525362148</c:v>
                </c:pt>
                <c:pt idx="120">
                  <c:v>-13.004547437736</c:v>
                </c:pt>
                <c:pt idx="121">
                  <c:v>-13.2103770510616</c:v>
                </c:pt>
                <c:pt idx="122">
                  <c:v>-13.4159526854549</c:v>
                </c:pt>
                <c:pt idx="123">
                  <c:v>-13.6212852010901</c:v>
                </c:pt>
                <c:pt idx="124">
                  <c:v>-13.826385024624</c:v>
                </c:pt>
                <c:pt idx="125">
                  <c:v>-14.0312621644515</c:v>
                </c:pt>
                <c:pt idx="126">
                  <c:v>-14.2359262256343</c:v>
                </c:pt>
                <c:pt idx="127">
                  <c:v>-14.4403864244865</c:v>
                </c:pt>
                <c:pt idx="128">
                  <c:v>-14.6446516028109</c:v>
                </c:pt>
                <c:pt idx="129">
                  <c:v>-14.848730241777</c:v>
                </c:pt>
                <c:pt idx="130">
                  <c:v>-15.0526304754364</c:v>
                </c:pt>
                <c:pt idx="131">
                  <c:v>-15.256360103872</c:v>
                </c:pt>
                <c:pt idx="132">
                  <c:v>-15.4599266059792</c:v>
                </c:pt>
                <c:pt idx="133">
                  <c:v>-15.6633371518786</c:v>
                </c:pt>
                <c:pt idx="134">
                  <c:v>-15.8665986149616</c:v>
                </c:pt>
                <c:pt idx="135">
                  <c:v>-16.0697175835713</c:v>
                </c:pt>
                <c:pt idx="136">
                  <c:v>-16.2727003723215</c:v>
                </c:pt>
                <c:pt idx="137">
                  <c:v>-16.4755530330579</c:v>
                </c:pt>
                <c:pt idx="138">
                  <c:v>-16.6782813654669</c:v>
                </c:pt>
                <c:pt idx="139">
                  <c:v>-16.8808909273373</c:v>
                </c:pt>
                <c:pt idx="140">
                  <c:v>-17.0833870444815</c:v>
                </c:pt>
                <c:pt idx="141">
                  <c:v>-17.2857748203229</c:v>
                </c:pt>
                <c:pt idx="142">
                  <c:v>-17.4880591451562</c:v>
                </c:pt>
                <c:pt idx="143">
                  <c:v>-17.6902447050885</c:v>
                </c:pt>
                <c:pt idx="144">
                  <c:v>-17.8923359906699</c:v>
                </c:pt>
                <c:pt idx="145">
                  <c:v>-18.0943373052205</c:v>
                </c:pt>
                <c:pt idx="146">
                  <c:v>-18.2962527728616</c:v>
                </c:pt>
                <c:pt idx="147">
                  <c:v>-18.4980863462627</c:v>
                </c:pt>
                <c:pt idx="148">
                  <c:v>-18.6998418141089</c:v>
                </c:pt>
                <c:pt idx="149">
                  <c:v>-18.9015228082991</c:v>
                </c:pt>
                <c:pt idx="150">
                  <c:v>-19.1031328108845</c:v>
                </c:pt>
                <c:pt idx="151">
                  <c:v>-19.3046751607545</c:v>
                </c:pt>
                <c:pt idx="152">
                  <c:v>-19.5061530600795</c:v>
                </c:pt>
                <c:pt idx="153">
                  <c:v>-19.7075695805184</c:v>
                </c:pt>
                <c:pt idx="154">
                  <c:v>-19.9089276692001</c:v>
                </c:pt>
                <c:pt idx="155">
                  <c:v>-20.1102301544871</c:v>
                </c:pt>
                <c:pt idx="156">
                  <c:v>-20.3114797515292</c:v>
                </c:pt>
                <c:pt idx="157">
                  <c:v>-20.5126790676154</c:v>
                </c:pt>
                <c:pt idx="158">
                  <c:v>-20.7138306073334</c:v>
                </c:pt>
                <c:pt idx="159">
                  <c:v>-20.914936777542</c:v>
                </c:pt>
                <c:pt idx="160">
                  <c:v>-21.1159998921675</c:v>
                </c:pt>
                <c:pt idx="161">
                  <c:v>-21.3170221768281</c:v>
                </c:pt>
                <c:pt idx="162">
                  <c:v>-21.5180057732979</c:v>
                </c:pt>
                <c:pt idx="163">
                  <c:v>-21.718952743813</c:v>
                </c:pt>
                <c:pt idx="164">
                  <c:v>-21.9198650752325</c:v>
                </c:pt>
                <c:pt idx="165">
                  <c:v>-22.1207446830557</c:v>
                </c:pt>
                <c:pt idx="166">
                  <c:v>-22.3215934153073</c:v>
                </c:pt>
                <c:pt idx="167">
                  <c:v>-22.522413056294</c:v>
                </c:pt>
                <c:pt idx="168">
                  <c:v>-22.7232053302413</c:v>
                </c:pt>
                <c:pt idx="169">
                  <c:v>-22.9239719048152</c:v>
                </c:pt>
                <c:pt idx="170">
                  <c:v>-23.1247143945367</c:v>
                </c:pt>
                <c:pt idx="171">
                  <c:v>-23.3254343640944</c:v>
                </c:pt>
                <c:pt idx="172">
                  <c:v>-23.5261333315613</c:v>
                </c:pt>
                <c:pt idx="173">
                  <c:v>-23.7268127715226</c:v>
                </c:pt>
                <c:pt idx="174">
                  <c:v>-23.9274741181191</c:v>
                </c:pt>
                <c:pt idx="175">
                  <c:v>-24.1281187680131</c:v>
                </c:pt>
                <c:pt idx="176">
                  <c:v>-24.3287480832814</c:v>
                </c:pt>
                <c:pt idx="177">
                  <c:v>-24.5293633942426</c:v>
                </c:pt>
                <c:pt idx="178">
                  <c:v>-24.7299660022216</c:v>
                </c:pt>
                <c:pt idx="179">
                  <c:v>-24.9305571822592</c:v>
                </c:pt>
                <c:pt idx="180">
                  <c:v>-25.1311381857711</c:v>
                </c:pt>
                <c:pt idx="181">
                  <c:v>-25.331710243161</c:v>
                </c:pt>
                <c:pt idx="182">
                  <c:v>-25.5322745663936</c:v>
                </c:pt>
                <c:pt idx="183">
                  <c:v>-25.7328323515331</c:v>
                </c:pt>
                <c:pt idx="184">
                  <c:v>-25.933384781251</c:v>
                </c:pt>
                <c:pt idx="185">
                  <c:v>-26.1339330273097</c:v>
                </c:pt>
                <c:pt idx="186">
                  <c:v>-26.334478253026</c:v>
                </c:pt>
                <c:pt idx="187">
                  <c:v>-26.5350216157199</c:v>
                </c:pt>
                <c:pt idx="188">
                  <c:v>-26.7355642691533</c:v>
                </c:pt>
                <c:pt idx="189">
                  <c:v>-26.9361073659644</c:v>
                </c:pt>
                <c:pt idx="190">
                  <c:v>-27.1366520601024</c:v>
                </c:pt>
                <c:pt idx="191">
                  <c:v>-27.3371995092674</c:v>
                </c:pt>
                <c:pt idx="192">
                  <c:v>-27.5377508773608</c:v>
                </c:pt>
                <c:pt idx="193">
                  <c:v>-27.7383073369514</c:v>
                </c:pt>
                <c:pt idx="194">
                  <c:v>-27.9388700717625</c:v>
                </c:pt>
                <c:pt idx="195">
                  <c:v>-28.1394402791847</c:v>
                </c:pt>
                <c:pt idx="196">
                  <c:v>-28.3400191728207</c:v>
                </c:pt>
                <c:pt idx="197">
                  <c:v>-28.5406079850661</c:v>
                </c:pt>
                <c:pt idx="198">
                  <c:v>-28.7412079697338</c:v>
                </c:pt>
                <c:pt idx="199">
                  <c:v>-28.9418204047254</c:v>
                </c:pt>
                <c:pt idx="200">
                  <c:v>-29.142446594757</c:v>
                </c:pt>
                <c:pt idx="201">
                  <c:v>-29.3430878741441</c:v>
                </c:pt>
                <c:pt idx="202">
                  <c:v>-29.543745609653</c:v>
                </c:pt>
                <c:pt idx="203">
                  <c:v>-29.7444212034238</c:v>
                </c:pt>
                <c:pt idx="204">
                  <c:v>-29.9451160959717</c:v>
                </c:pt>
                <c:pt idx="205">
                  <c:v>-30.1458317692728</c:v>
                </c:pt>
                <c:pt idx="206">
                  <c:v>-30.3465697499431</c:v>
                </c:pt>
                <c:pt idx="207">
                  <c:v>-30.5473316125145</c:v>
                </c:pt>
                <c:pt idx="208">
                  <c:v>-30.7481189828183</c:v>
                </c:pt>
                <c:pt idx="209">
                  <c:v>-30.9489335414811</c:v>
                </c:pt>
                <c:pt idx="210">
                  <c:v>-31.1497770275431</c:v>
                </c:pt>
                <c:pt idx="211">
                  <c:v>-31.3506512422053</c:v>
                </c:pt>
                <c:pt idx="212">
                  <c:v>-31.551558052715</c:v>
                </c:pt>
                <c:pt idx="213">
                  <c:v>-31.7524993963977</c:v>
                </c:pt>
                <c:pt idx="214">
                  <c:v>-31.9534772848454</c:v>
                </c:pt>
                <c:pt idx="215">
                  <c:v>-32.1544938082701</c:v>
                </c:pt>
                <c:pt idx="216">
                  <c:v>-32.3555511400324</c:v>
                </c:pt>
                <c:pt idx="217">
                  <c:v>-32.556651541357</c:v>
                </c:pt>
                <c:pt idx="218">
                  <c:v>-32.7577973662433</c:v>
                </c:pt>
                <c:pt idx="219">
                  <c:v>-32.9589910665865</c:v>
                </c:pt>
                <c:pt idx="220">
                  <c:v>-33.1602351975162</c:v>
                </c:pt>
                <c:pt idx="221">
                  <c:v>-33.3615324229698</c:v>
                </c:pt>
                <c:pt idx="222">
                  <c:v>-33.5628855215103</c:v>
                </c:pt>
                <c:pt idx="223">
                  <c:v>-33.7642973924045</c:v>
                </c:pt>
                <c:pt idx="224">
                  <c:v>-33.9657710619752</c:v>
                </c:pt>
                <c:pt idx="225">
                  <c:v>-34.1673096902417</c:v>
                </c:pt>
                <c:pt idx="226">
                  <c:v>-34.3689165778672</c:v>
                </c:pt>
                <c:pt idx="227">
                  <c:v>-34.5705951734269</c:v>
                </c:pt>
                <c:pt idx="228">
                  <c:v>-34.7723490810171</c:v>
                </c:pt>
                <c:pt idx="229">
                  <c:v>-34.9741820682222</c:v>
                </c:pt>
                <c:pt idx="230">
                  <c:v>-35.1760980744605</c:v>
                </c:pt>
                <c:pt idx="231">
                  <c:v>-35.378101219729</c:v>
                </c:pt>
                <c:pt idx="232">
                  <c:v>-35.5801958137688</c:v>
                </c:pt>
                <c:pt idx="233">
                  <c:v>-35.782386365676</c:v>
                </c:pt>
                <c:pt idx="234">
                  <c:v>-35.9846775939801</c:v>
                </c:pt>
                <c:pt idx="235">
                  <c:v>-36.1870744372181</c:v>
                </c:pt>
                <c:pt idx="236">
                  <c:v>-36.3895820650303</c:v>
                </c:pt>
                <c:pt idx="237">
                  <c:v>-36.5922058898069</c:v>
                </c:pt>
                <c:pt idx="238">
                  <c:v>-36.7949515789178</c:v>
                </c:pt>
                <c:pt idx="239">
                  <c:v>-36.9978250675553</c:v>
                </c:pt>
                <c:pt idx="240">
                  <c:v>-37.2008325722275</c:v>
                </c:pt>
                <c:pt idx="241">
                  <c:v>-37.4039806049362</c:v>
                </c:pt>
                <c:pt idx="242">
                  <c:v>-37.6072759880799</c:v>
                </c:pt>
                <c:pt idx="243">
                  <c:v>-37.8107258701237</c:v>
                </c:pt>
                <c:pt idx="244">
                  <c:v>-38.0143377420779</c:v>
                </c:pt>
                <c:pt idx="245">
                  <c:v>-38.2181194548349</c:v>
                </c:pt>
                <c:pt idx="246">
                  <c:v>-38.4220792374119</c:v>
                </c:pt>
                <c:pt idx="247">
                  <c:v>-38.6262257161541</c:v>
                </c:pt>
                <c:pt idx="248">
                  <c:v>-38.8305679349539</c:v>
                </c:pt>
                <c:pt idx="249">
                  <c:v>-39.0351153765473</c:v>
                </c:pt>
                <c:pt idx="250">
                  <c:v>-39.2398779849517</c:v>
                </c:pt>
                <c:pt idx="251">
                  <c:v>-39.4448661891132</c:v>
                </c:pt>
                <c:pt idx="252">
                  <c:v>-39.6500909278393</c:v>
                </c:pt>
                <c:pt idx="253">
                  <c:v>-39.8555636760923</c:v>
                </c:pt>
                <c:pt idx="254">
                  <c:v>-40.0612964727315</c:v>
                </c:pt>
                <c:pt idx="255">
                  <c:v>-40.2673019497921</c:v>
                </c:pt>
                <c:pt idx="256">
                  <c:v>-40.4735933633988</c:v>
                </c:pt>
                <c:pt idx="257">
                  <c:v>-40.6801846264184</c:v>
                </c:pt>
                <c:pt idx="258">
                  <c:v>-40.8870903429624</c:v>
                </c:pt>
                <c:pt idx="259">
                  <c:v>-41.0943258448617</c:v>
                </c:pt>
                <c:pt idx="260">
                  <c:v>-41.3019072302411</c:v>
                </c:pt>
                <c:pt idx="261">
                  <c:v>-41.5098514043338</c:v>
                </c:pt>
                <c:pt idx="262">
                  <c:v>-41.718176122688</c:v>
                </c:pt>
                <c:pt idx="263">
                  <c:v>-41.9269000369247</c:v>
                </c:pt>
                <c:pt idx="264">
                  <c:v>-42.1360427432261</c:v>
                </c:pt>
                <c:pt idx="265">
                  <c:v>-42.3456248337418</c:v>
                </c:pt>
                <c:pt idx="266">
                  <c:v>-42.5556679511197</c:v>
                </c:pt>
                <c:pt idx="267">
                  <c:v>-42.7661948463838</c:v>
                </c:pt>
                <c:pt idx="268">
                  <c:v>-42.9772294404016</c:v>
                </c:pt>
                <c:pt idx="269">
                  <c:v>-43.1887968892022</c:v>
                </c:pt>
                <c:pt idx="270">
                  <c:v>-43.4009236534331</c:v>
                </c:pt>
                <c:pt idx="271">
                  <c:v>-43.613637572264</c:v>
                </c:pt>
                <c:pt idx="272">
                  <c:v>-43.8269679420781</c:v>
                </c:pt>
                <c:pt idx="273">
                  <c:v>-44.0409456003212</c:v>
                </c:pt>
                <c:pt idx="274">
                  <c:v>-44.2556030149108</c:v>
                </c:pt>
                <c:pt idx="275">
                  <c:v>-44.4709743796486</c:v>
                </c:pt>
                <c:pt idx="276">
                  <c:v>-44.6870957161212</c:v>
                </c:pt>
                <c:pt idx="277">
                  <c:v>-44.9040049826176</c:v>
                </c:pt>
                <c:pt idx="278">
                  <c:v>-45.12174219065</c:v>
                </c:pt>
                <c:pt idx="279">
                  <c:v>-45.3403495297164</c:v>
                </c:pt>
                <c:pt idx="280">
                  <c:v>-45.5598715010129</c:v>
                </c:pt>
                <c:pt idx="281">
                  <c:v>-45.7803550608749</c:v>
                </c:pt>
                <c:pt idx="282">
                  <c:v>-46.0018497748066</c:v>
                </c:pt>
                <c:pt idx="283">
                  <c:v>-46.2244079830519</c:v>
                </c:pt>
                <c:pt idx="284">
                  <c:v>-46.4480849787597</c:v>
                </c:pt>
                <c:pt idx="285">
                  <c:v>-46.6729391999156</c:v>
                </c:pt>
                <c:pt idx="286">
                  <c:v>-46.8990324363394</c:v>
                </c:pt>
                <c:pt idx="287">
                  <c:v>-47.1264300531959</c:v>
                </c:pt>
                <c:pt idx="288">
                  <c:v>-47.3552012326356</c:v>
                </c:pt>
                <c:pt idx="289">
                  <c:v>-47.5854192353679</c:v>
                </c:pt>
                <c:pt idx="290">
                  <c:v>-47.8171616841866</c:v>
                </c:pt>
                <c:pt idx="291">
                  <c:v>-48.0505108717125</c:v>
                </c:pt>
                <c:pt idx="292">
                  <c:v>-48.2855540948965</c:v>
                </c:pt>
                <c:pt idx="293">
                  <c:v>-48.5223840191478</c:v>
                </c:pt>
                <c:pt idx="294">
                  <c:v>-48.7610990753186</c:v>
                </c:pt>
                <c:pt idx="295">
                  <c:v>-49.0018038931964</c:v>
                </c:pt>
                <c:pt idx="296">
                  <c:v>-49.244609775644</c:v>
                </c:pt>
                <c:pt idx="297">
                  <c:v>-49.4896352180855</c:v>
                </c:pt>
                <c:pt idx="298">
                  <c:v>-49.7370064786869</c:v>
                </c:pt>
                <c:pt idx="299">
                  <c:v>-49.986858205334</c:v>
                </c:pt>
                <c:pt idx="300">
                  <c:v>-50.2393341263891</c:v>
                </c:pt>
                <c:pt idx="301">
                  <c:v>-50.4945878132302</c:v>
                </c:pt>
                <c:pt idx="302">
                  <c:v>-50.7527835237798</c:v>
                </c:pt>
                <c:pt idx="303">
                  <c:v>-51.0140971376382</c:v>
                </c:pt>
                <c:pt idx="304">
                  <c:v>-51.2787171950991</c:v>
                </c:pt>
                <c:pt idx="305">
                  <c:v>-51.5468460542877</c:v>
                </c:pt>
                <c:pt idx="306">
                  <c:v>-51.8187011829968</c:v>
                </c:pt>
                <c:pt idx="307">
                  <c:v>-52.0945166045669</c:v>
                </c:pt>
                <c:pt idx="308">
                  <c:v>-52.3745445204808</c:v>
                </c:pt>
                <c:pt idx="309">
                  <c:v>-52.6590571363199</c:v>
                </c:pt>
                <c:pt idx="310">
                  <c:v>-52.9483487225314</c:v>
                </c:pt>
                <c:pt idx="311">
                  <c:v>-53.2427379472621</c:v>
                </c:pt>
                <c:pt idx="312">
                  <c:v>-53.5425705255701</c:v>
                </c:pt>
                <c:pt idx="313">
                  <c:v>-53.8482222379477</c:v>
                </c:pt>
                <c:pt idx="314">
                  <c:v>-54.1601023816648</c:v>
                </c:pt>
                <c:pt idx="315">
                  <c:v>-54.4786577314864</c:v>
                </c:pt>
                <c:pt idx="316">
                  <c:v>-54.8043771024955</c:v>
                </c:pt>
                <c:pt idx="317">
                  <c:v>-55.1377966279139</c:v>
                </c:pt>
                <c:pt idx="318">
                  <c:v>-55.4795058901121</c:v>
                </c:pt>
                <c:pt idx="319">
                  <c:v>-55.830155074901</c:v>
                </c:pt>
                <c:pt idx="320">
                  <c:v>-56.1904633597165</c:v>
                </c:pt>
                <c:pt idx="321">
                  <c:v>-56.5612287980906</c:v>
                </c:pt>
                <c:pt idx="322">
                  <c:v>-56.9433400294423</c:v>
                </c:pt>
                <c:pt idx="323">
                  <c:v>-57.3377902296104</c:v>
                </c:pt>
                <c:pt idx="324">
                  <c:v>-57.7456938303556</c:v>
                </c:pt>
                <c:pt idx="325">
                  <c:v>-58.1683066845233</c:v>
                </c:pt>
                <c:pt idx="326">
                  <c:v>-58.6070505504591</c:v>
                </c:pt>
                <c:pt idx="327">
                  <c:v>-59.0635430325368</c:v>
                </c:pt>
                <c:pt idx="328">
                  <c:v>-59.5396344694108</c:v>
                </c:pt>
                <c:pt idx="329">
                  <c:v>-60.037453743327</c:v>
                </c:pt>
                <c:pt idx="330">
                  <c:v>-60.5594656424542</c:v>
                </c:pt>
                <c:pt idx="331">
                  <c:v>-61.1085433137379</c:v>
                </c:pt>
                <c:pt idx="332">
                  <c:v>-61.6880605924976</c:v>
                </c:pt>
                <c:pt idx="333">
                  <c:v>-62.3020107141003</c:v>
                </c:pt>
                <c:pt idx="334">
                  <c:v>-62.9551602549356</c:v>
                </c:pt>
                <c:pt idx="335">
                  <c:v>-63.6532502505656</c:v>
                </c:pt>
                <c:pt idx="336">
                  <c:v>-64.4032602652972</c:v>
                </c:pt>
                <c:pt idx="337">
                  <c:v>-65.2137550573725</c:v>
                </c:pt>
                <c:pt idx="338">
                  <c:v>-66.0953346211101</c:v>
                </c:pt>
                <c:pt idx="339">
                  <c:v>-67.0611975826099</c:v>
                </c:pt>
                <c:pt idx="340">
                  <c:v>-68.1277762668169</c:v>
                </c:pt>
                <c:pt idx="341">
                  <c:v>-69.3152187953976</c:v>
                </c:pt>
                <c:pt idx="342">
                  <c:v>-70.6468914653347</c:v>
                </c:pt>
                <c:pt idx="343">
                  <c:v>-72.1451235440992</c:v>
                </c:pt>
                <c:pt idx="344">
                  <c:v>-73.8142134542039</c:v>
                </c:pt>
                <c:pt idx="345">
                  <c:v>-75.5843115241191</c:v>
                </c:pt>
                <c:pt idx="346">
                  <c:v>-77.167631103406</c:v>
                </c:pt>
                <c:pt idx="347">
                  <c:v>-77.9255610338254</c:v>
                </c:pt>
                <c:pt idx="348">
                  <c:v>-77.3682656110229</c:v>
                </c:pt>
                <c:pt idx="349">
                  <c:v>-75.8948011690084</c:v>
                </c:pt>
                <c:pt idx="350">
                  <c:v>-74.1732617805369</c:v>
                </c:pt>
                <c:pt idx="351">
                  <c:v>-72.5330748059656</c:v>
                </c:pt>
                <c:pt idx="352">
                  <c:v>-71.0614231741771</c:v>
                </c:pt>
                <c:pt idx="353">
                  <c:v>-69.759059620541</c:v>
                </c:pt>
                <c:pt idx="354">
                  <c:v>-68.6046654189167</c:v>
                </c:pt>
                <c:pt idx="355">
                  <c:v>-67.5747633568175</c:v>
                </c:pt>
                <c:pt idx="356">
                  <c:v>-66.6488668254869</c:v>
                </c:pt>
                <c:pt idx="357">
                  <c:v>-65.8102293192497</c:v>
                </c:pt>
                <c:pt idx="358">
                  <c:v>-65.045419522735</c:v>
                </c:pt>
                <c:pt idx="359">
                  <c:v>-64.3436872648346</c:v>
                </c:pt>
                <c:pt idx="360">
                  <c:v>-63.6963875642772</c:v>
                </c:pt>
                <c:pt idx="361">
                  <c:v>-63.096517098275</c:v>
                </c:pt>
                <c:pt idx="362">
                  <c:v>-62.5383563746661</c:v>
                </c:pt>
                <c:pt idx="363">
                  <c:v>-62.0171972164812</c:v>
                </c:pt>
                <c:pt idx="364">
                  <c:v>-61.5291355313138</c:v>
                </c:pt>
                <c:pt idx="365">
                  <c:v>-61.0709130899853</c:v>
                </c:pt>
                <c:pt idx="366">
                  <c:v>-60.639795932444</c:v>
                </c:pt>
                <c:pt idx="367">
                  <c:v>-60.2334802204736</c:v>
                </c:pt>
                <c:pt idx="368">
                  <c:v>-59.8500187895067</c:v>
                </c:pt>
                <c:pt idx="369">
                  <c:v>-59.4877634425505</c:v>
                </c:pt>
                <c:pt idx="370">
                  <c:v>-59.1453193318856</c:v>
                </c:pt>
                <c:pt idx="371">
                  <c:v>-58.8215087199072</c:v>
                </c:pt>
                <c:pt idx="372">
                  <c:v>-58.5153420993657</c:v>
                </c:pt>
                <c:pt idx="373">
                  <c:v>-58.2259951583699</c:v>
                </c:pt>
                <c:pt idx="374">
                  <c:v>-57.9527904491412</c:v>
                </c:pt>
                <c:pt idx="375">
                  <c:v>-57.6951828988676</c:v>
                </c:pt>
                <c:pt idx="376">
                  <c:v>-57.4527485125625</c:v>
                </c:pt>
                <c:pt idx="377">
                  <c:v>-57.2251757805679</c:v>
                </c:pt>
                <c:pt idx="378">
                  <c:v>-57.0122594309446</c:v>
                </c:pt>
                <c:pt idx="379">
                  <c:v>-56.8138962695078</c:v>
                </c:pt>
                <c:pt idx="380">
                  <c:v>-56.6300829352089</c:v>
                </c:pt>
                <c:pt idx="381">
                  <c:v>-56.4609154716672</c:v>
                </c:pt>
                <c:pt idx="382">
                  <c:v>-56.3065906814912</c:v>
                </c:pt>
                <c:pt idx="383">
                  <c:v>-56.1674092923623</c:v>
                </c:pt>
                <c:pt idx="384">
                  <c:v>-56.0437810259624</c:v>
                </c:pt>
                <c:pt idx="385">
                  <c:v>-55.9362317256587</c:v>
                </c:pt>
                <c:pt idx="386">
                  <c:v>-55.8454127691557</c:v>
                </c:pt>
                <c:pt idx="387">
                  <c:v>-55.7721130705692</c:v>
                </c:pt>
                <c:pt idx="388">
                  <c:v>-55.717274064496</c:v>
                </c:pt>
                <c:pt idx="389">
                  <c:v>-55.6820081634377</c:v>
                </c:pt>
                <c:pt idx="390">
                  <c:v>-55.667621287496</c:v>
                </c:pt>
                <c:pt idx="391">
                  <c:v>-55.6756401741936</c:v>
                </c:pt>
                <c:pt idx="392">
                  <c:v>-55.7078452677988</c:v>
                </c:pt>
                <c:pt idx="393">
                  <c:v>-55.7663100199071</c:v>
                </c:pt>
                <c:pt idx="394">
                  <c:v>-55.853447318519</c:v>
                </c:pt>
                <c:pt idx="395">
                  <c:v>-55.9720633215059</c:v>
                </c:pt>
                <c:pt idx="396">
                  <c:v>-56.1254178361002</c:v>
                </c:pt>
                <c:pt idx="397">
                  <c:v>-56.3172878137417</c:v>
                </c:pt>
                <c:pt idx="398">
                  <c:v>-56.5520249925474</c:v>
                </c:pt>
                <c:pt idx="399">
                  <c:v>-56.8345870600068</c:v>
                </c:pt>
                <c:pt idx="400">
                  <c:v>-57.1704973304925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"出力雑音 e_o"</c:f>
              <c:strCache>
                <c:ptCount val="1"/>
                <c:pt idx="0">
                  <c:v>出力雑音 e_o</c:v>
                </c:pt>
              </c:strCache>
            </c:strRef>
          </c:tx>
          <c:spPr>
            <a:solidFill>
              <a:srgbClr val="e34948"/>
            </a:solidFill>
            <a:ln w="1512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Spectrum!$AJ$9:$AJ$409</c:f>
              <c:numCache>
                <c:formatCode>0.00</c:formatCode>
                <c:ptCount val="401"/>
                <c:pt idx="0">
                  <c:v>-11.88529088454</c:v>
                </c:pt>
                <c:pt idx="1">
                  <c:v>-12.0618370230889</c:v>
                </c:pt>
                <c:pt idx="2">
                  <c:v>-12.2374121649466</c:v>
                </c:pt>
                <c:pt idx="3">
                  <c:v>-12.4119819579343</c:v>
                </c:pt>
                <c:pt idx="4">
                  <c:v>-12.5855113137721</c:v>
                </c:pt>
                <c:pt idx="5">
                  <c:v>-12.7579644328766</c:v>
                </c:pt>
                <c:pt idx="6">
                  <c:v>-12.9293048331656</c:v>
                </c:pt>
                <c:pt idx="7">
                  <c:v>-13.0994953830547</c:v>
                </c:pt>
                <c:pt idx="8">
                  <c:v>-13.2684983388139</c:v>
                </c:pt>
                <c:pt idx="9">
                  <c:v>-13.4362753864435</c:v>
                </c:pt>
                <c:pt idx="10">
                  <c:v>-13.6027876882059</c:v>
                </c:pt>
                <c:pt idx="11">
                  <c:v>-13.7679959339291</c:v>
                </c:pt>
                <c:pt idx="12">
                  <c:v>-13.9318603971774</c:v>
                </c:pt>
                <c:pt idx="13">
                  <c:v>-14.0943409963488</c:v>
                </c:pt>
                <c:pt idx="14">
                  <c:v>-14.2553973607362</c:v>
                </c:pt>
                <c:pt idx="15">
                  <c:v>-14.4149889015463</c:v>
                </c:pt>
                <c:pt idx="16">
                  <c:v>-14.573074887839</c:v>
                </c:pt>
                <c:pt idx="17">
                  <c:v>-14.7296145273026</c:v>
                </c:pt>
                <c:pt idx="18">
                  <c:v>-14.884567051741</c:v>
                </c:pt>
                <c:pt idx="19">
                  <c:v>-15.037891807098</c:v>
                </c:pt>
                <c:pt idx="20">
                  <c:v>-15.1895483477973</c:v>
                </c:pt>
                <c:pt idx="21">
                  <c:v>-15.3394965351246</c:v>
                </c:pt>
                <c:pt idx="22">
                  <c:v>-15.4876966393255</c:v>
                </c:pt>
                <c:pt idx="23">
                  <c:v>-15.6341094450416</c:v>
                </c:pt>
                <c:pt idx="24">
                  <c:v>-15.7786963596517</c:v>
                </c:pt>
                <c:pt idx="25">
                  <c:v>-15.9214195240348</c:v>
                </c:pt>
                <c:pt idx="26">
                  <c:v>-16.0622419252212</c:v>
                </c:pt>
                <c:pt idx="27">
                  <c:v>-16.2011275103473</c:v>
                </c:pt>
                <c:pt idx="28">
                  <c:v>-16.3380413012889</c:v>
                </c:pt>
                <c:pt idx="29">
                  <c:v>-16.4729495093034</c:v>
                </c:pt>
                <c:pt idx="30">
                  <c:v>-16.6058196489786</c:v>
                </c:pt>
                <c:pt idx="31">
                  <c:v>-16.7366206507559</c:v>
                </c:pt>
                <c:pt idx="32">
                  <c:v>-16.865322971272</c:v>
                </c:pt>
                <c:pt idx="33">
                  <c:v>-16.9918987007514</c:v>
                </c:pt>
                <c:pt idx="34">
                  <c:v>-17.1163216666711</c:v>
                </c:pt>
                <c:pt idx="35">
                  <c:v>-17.2385675329265</c:v>
                </c:pt>
                <c:pt idx="36">
                  <c:v>-17.3586138937347</c:v>
                </c:pt>
                <c:pt idx="37">
                  <c:v>-17.4764403615338</c:v>
                </c:pt>
                <c:pt idx="38">
                  <c:v>-17.5920286481706</c:v>
                </c:pt>
                <c:pt idx="39">
                  <c:v>-17.7053626387037</c:v>
                </c:pt>
                <c:pt idx="40">
                  <c:v>-17.8164284572036</c:v>
                </c:pt>
                <c:pt idx="41">
                  <c:v>-17.9252145239863</c:v>
                </c:pt>
                <c:pt idx="42">
                  <c:v>-18.0317116037861</c:v>
                </c:pt>
                <c:pt idx="43">
                  <c:v>-18.1359128444431</c:v>
                </c:pt>
                <c:pt idx="44">
                  <c:v>-18.2378138057654</c:v>
                </c:pt>
                <c:pt idx="45">
                  <c:v>-18.337412478307</c:v>
                </c:pt>
                <c:pt idx="46">
                  <c:v>-18.4347092918954</c:v>
                </c:pt>
                <c:pt idx="47">
                  <c:v>-18.5297071138295</c:v>
                </c:pt>
                <c:pt idx="48">
                  <c:v>-18.6224112367669</c:v>
                </c:pt>
                <c:pt idx="49">
                  <c:v>-18.7128293564074</c:v>
                </c:pt>
                <c:pt idx="50">
                  <c:v>-18.8009715391735</c:v>
                </c:pt>
                <c:pt idx="51">
                  <c:v>-18.8868501801751</c:v>
                </c:pt>
                <c:pt idx="52">
                  <c:v>-18.9704799518286</c:v>
                </c:pt>
                <c:pt idx="53">
                  <c:v>-19.0518777435807</c:v>
                </c:pt>
                <c:pt idx="54">
                  <c:v>-19.131062593255</c:v>
                </c:pt>
                <c:pt idx="55">
                  <c:v>-19.2080556106067</c:v>
                </c:pt>
                <c:pt idx="56">
                  <c:v>-19.2828798937231</c:v>
                </c:pt>
                <c:pt idx="57">
                  <c:v>-19.3555604389558</c:v>
                </c:pt>
                <c:pt idx="58">
                  <c:v>-19.4261240451058</c:v>
                </c:pt>
                <c:pt idx="59">
                  <c:v>-19.4945992126117</c:v>
                </c:pt>
                <c:pt idx="60">
                  <c:v>-19.561016038508</c:v>
                </c:pt>
                <c:pt idx="61">
                  <c:v>-19.6254061079294</c:v>
                </c:pt>
                <c:pt idx="62">
                  <c:v>-19.6878023829345</c:v>
                </c:pt>
                <c:pt idx="63">
                  <c:v>-19.7482390894163</c:v>
                </c:pt>
                <c:pt idx="64">
                  <c:v>-19.8067516028466</c:v>
                </c:pt>
                <c:pt idx="65">
                  <c:v>-19.8633763335757</c:v>
                </c:pt>
                <c:pt idx="66">
                  <c:v>-19.9181506123818</c:v>
                </c:pt>
                <c:pt idx="67">
                  <c:v>-19.9711125769212</c:v>
                </c:pt>
                <c:pt idx="68">
                  <c:v>-20.0223010596944</c:v>
                </c:pt>
                <c:pt idx="69">
                  <c:v>-20.071755478092</c:v>
                </c:pt>
                <c:pt idx="70">
                  <c:v>-20.1195157270383</c:v>
                </c:pt>
                <c:pt idx="71">
                  <c:v>-20.1656220746988</c:v>
                </c:pt>
                <c:pt idx="72">
                  <c:v>-20.2101150616645</c:v>
                </c:pt>
                <c:pt idx="73">
                  <c:v>-20.2530354039729</c:v>
                </c:pt>
                <c:pt idx="74">
                  <c:v>-20.2944239002737</c:v>
                </c:pt>
                <c:pt idx="75">
                  <c:v>-20.3343213433949</c:v>
                </c:pt>
                <c:pt idx="76">
                  <c:v>-20.3727684365128</c:v>
                </c:pt>
                <c:pt idx="77">
                  <c:v>-20.4098057140845</c:v>
                </c:pt>
                <c:pt idx="78">
                  <c:v>-20.4454734676511</c:v>
                </c:pt>
                <c:pt idx="79">
                  <c:v>-20.4798116765806</c:v>
                </c:pt>
                <c:pt idx="80">
                  <c:v>-20.5128599437765</c:v>
                </c:pt>
                <c:pt idx="81">
                  <c:v>-20.5446574363413</c:v>
                </c:pt>
                <c:pt idx="82">
                  <c:v>-20.5752428311518</c:v>
                </c:pt>
                <c:pt idx="83">
                  <c:v>-20.6046542652721</c:v>
                </c:pt>
                <c:pt idx="84">
                  <c:v>-20.6329292911019</c:v>
                </c:pt>
                <c:pt idx="85">
                  <c:v>-20.6601048361375</c:v>
                </c:pt>
                <c:pt idx="86">
                  <c:v>-20.686217167199</c:v>
                </c:pt>
                <c:pt idx="87">
                  <c:v>-20.7113018589632</c:v>
                </c:pt>
                <c:pt idx="88">
                  <c:v>-20.7353937666259</c:v>
                </c:pt>
                <c:pt idx="89">
                  <c:v>-20.7585270025073</c:v>
                </c:pt>
                <c:pt idx="90">
                  <c:v>-20.7807349164047</c:v>
                </c:pt>
                <c:pt idx="91">
                  <c:v>-20.8020500794921</c:v>
                </c:pt>
                <c:pt idx="92">
                  <c:v>-20.8225042715605</c:v>
                </c:pt>
                <c:pt idx="93">
                  <c:v>-20.8421284713939</c:v>
                </c:pt>
                <c:pt idx="94">
                  <c:v>-20.8609528500722</c:v>
                </c:pt>
                <c:pt idx="95">
                  <c:v>-20.8790067669986</c:v>
                </c:pt>
                <c:pt idx="96">
                  <c:v>-20.8963187684473</c:v>
                </c:pt>
                <c:pt idx="97">
                  <c:v>-20.9129165884356</c:v>
                </c:pt>
                <c:pt idx="98">
                  <c:v>-20.9288271517272</c:v>
                </c:pt>
                <c:pt idx="99">
                  <c:v>-20.944076578782</c:v>
                </c:pt>
                <c:pt idx="100">
                  <c:v>-20.9586901924719</c:v>
                </c:pt>
                <c:pt idx="101">
                  <c:v>-20.9726925263912</c:v>
                </c:pt>
                <c:pt idx="102">
                  <c:v>-20.986107334599</c:v>
                </c:pt>
                <c:pt idx="103">
                  <c:v>-20.9989576026368</c:v>
                </c:pt>
                <c:pt idx="104">
                  <c:v>-21.0112655596738</c:v>
                </c:pt>
                <c:pt idx="105">
                  <c:v>-21.0230526916424</c:v>
                </c:pt>
                <c:pt idx="106">
                  <c:v>-21.034339755232</c:v>
                </c:pt>
                <c:pt idx="107">
                  <c:v>-21.0451467926196</c:v>
                </c:pt>
                <c:pt idx="108">
                  <c:v>-21.0554931468244</c:v>
                </c:pt>
                <c:pt idx="109">
                  <c:v>-21.0653974775786</c:v>
                </c:pt>
                <c:pt idx="110">
                  <c:v>-21.074877777618</c:v>
                </c:pt>
                <c:pt idx="111">
                  <c:v>-21.0839513893033</c:v>
                </c:pt>
                <c:pt idx="112">
                  <c:v>-21.0926350214851</c:v>
                </c:pt>
                <c:pt idx="113">
                  <c:v>-21.1009447665416</c:v>
                </c:pt>
                <c:pt idx="114">
                  <c:v>-21.1088961175161</c:v>
                </c:pt>
                <c:pt idx="115">
                  <c:v>-21.1165039852937</c:v>
                </c:pt>
                <c:pt idx="116">
                  <c:v>-21.123782715758</c:v>
                </c:pt>
                <c:pt idx="117">
                  <c:v>-21.1307461068796</c:v>
                </c:pt>
                <c:pt idx="118">
                  <c:v>-21.1374074256873</c:v>
                </c:pt>
                <c:pt idx="119">
                  <c:v>-21.1437794250836</c:v>
                </c:pt>
                <c:pt idx="120">
                  <c:v>-21.1498743604673</c:v>
                </c:pt>
                <c:pt idx="121">
                  <c:v>-21.1557040061316</c:v>
                </c:pt>
                <c:pt idx="122">
                  <c:v>-21.161279671408</c:v>
                </c:pt>
                <c:pt idx="123">
                  <c:v>-21.1666122165364</c:v>
                </c:pt>
                <c:pt idx="124">
                  <c:v>-21.171712068236</c:v>
                </c:pt>
                <c:pt idx="125">
                  <c:v>-21.1765892349615</c:v>
                </c:pt>
                <c:pt idx="126">
                  <c:v>-21.1812533218318</c:v>
                </c:pt>
                <c:pt idx="127">
                  <c:v>-21.1857135452153</c:v>
                </c:pt>
                <c:pt idx="128">
                  <c:v>-21.189978746967</c:v>
                </c:pt>
                <c:pt idx="129">
                  <c:v>-21.1940574083059</c:v>
                </c:pt>
                <c:pt idx="130">
                  <c:v>-21.1979576633312</c:v>
                </c:pt>
                <c:pt idx="131">
                  <c:v>-21.2016873121711</c:v>
                </c:pt>
                <c:pt idx="132">
                  <c:v>-21.2052538337642</c:v>
                </c:pt>
                <c:pt idx="133">
                  <c:v>-21.2086643982725</c:v>
                </c:pt>
                <c:pt idx="134">
                  <c:v>-21.2119258791268</c:v>
                </c:pt>
                <c:pt idx="135">
                  <c:v>-21.2150448647081</c:v>
                </c:pt>
                <c:pt idx="136">
                  <c:v>-21.218027669666</c:v>
                </c:pt>
                <c:pt idx="137">
                  <c:v>-21.2208803458806</c:v>
                </c:pt>
                <c:pt idx="138">
                  <c:v>-21.2236086930712</c:v>
                </c:pt>
                <c:pt idx="139">
                  <c:v>-21.2262182690579</c:v>
                </c:pt>
                <c:pt idx="140">
                  <c:v>-21.2287143996831</c:v>
                </c:pt>
                <c:pt idx="141">
                  <c:v>-21.2311021883987</c:v>
                </c:pt>
                <c:pt idx="142">
                  <c:v>-21.2333865255268</c:v>
                </c:pt>
                <c:pt idx="143">
                  <c:v>-21.2355720972005</c:v>
                </c:pt>
                <c:pt idx="144">
                  <c:v>-21.237663393995</c:v>
                </c:pt>
                <c:pt idx="145">
                  <c:v>-21.2396647192538</c:v>
                </c:pt>
                <c:pt idx="146">
                  <c:v>-21.2415801971213</c:v>
                </c:pt>
                <c:pt idx="147">
                  <c:v>-21.2434137802885</c:v>
                </c:pt>
                <c:pt idx="148">
                  <c:v>-21.2451692574613</c:v>
                </c:pt>
                <c:pt idx="149">
                  <c:v>-21.2468502605582</c:v>
                </c:pt>
                <c:pt idx="150">
                  <c:v>-21.2484602716495</c:v>
                </c:pt>
                <c:pt idx="151">
                  <c:v>-21.2500026296426</c:v>
                </c:pt>
                <c:pt idx="152">
                  <c:v>-21.2514805367251</c:v>
                </c:pt>
                <c:pt idx="153">
                  <c:v>-21.2528970645723</c:v>
                </c:pt>
                <c:pt idx="154">
                  <c:v>-21.2542551603289</c:v>
                </c:pt>
                <c:pt idx="155">
                  <c:v>-21.2555576523725</c:v>
                </c:pt>
                <c:pt idx="156">
                  <c:v>-21.2568072558669</c:v>
                </c:pt>
                <c:pt idx="157">
                  <c:v>-21.2580065781151</c:v>
                </c:pt>
                <c:pt idx="158">
                  <c:v>-21.2591581237178</c:v>
                </c:pt>
                <c:pt idx="159">
                  <c:v>-21.2602642995462</c:v>
                </c:pt>
                <c:pt idx="160">
                  <c:v>-21.2613274195386</c:v>
                </c:pt>
                <c:pt idx="161">
                  <c:v>-21.2623497093245</c:v>
                </c:pt>
                <c:pt idx="162">
                  <c:v>-21.2633333106889</c:v>
                </c:pt>
                <c:pt idx="163">
                  <c:v>-21.2642802858784</c:v>
                </c:pt>
                <c:pt idx="164">
                  <c:v>-21.2651926217618</c:v>
                </c:pt>
                <c:pt idx="165">
                  <c:v>-21.2660722338481</c:v>
                </c:pt>
                <c:pt idx="166">
                  <c:v>-21.2669209701709</c:v>
                </c:pt>
                <c:pt idx="167">
                  <c:v>-21.2677406150455</c:v>
                </c:pt>
                <c:pt idx="168">
                  <c:v>-21.2685328927058</c:v>
                </c:pt>
                <c:pt idx="169">
                  <c:v>-21.2692994708256</c:v>
                </c:pt>
                <c:pt idx="170">
                  <c:v>-21.2700419639334</c:v>
                </c:pt>
                <c:pt idx="171">
                  <c:v>-21.2707619367249</c:v>
                </c:pt>
                <c:pt idx="172">
                  <c:v>-21.2714609072801</c:v>
                </c:pt>
                <c:pt idx="173">
                  <c:v>-21.2721403501908</c:v>
                </c:pt>
                <c:pt idx="174">
                  <c:v>-21.2728016996038</c:v>
                </c:pt>
                <c:pt idx="175">
                  <c:v>-21.2734463521876</c:v>
                </c:pt>
                <c:pt idx="176">
                  <c:v>-21.2740756700247</c:v>
                </c:pt>
                <c:pt idx="177">
                  <c:v>-21.274690983439</c:v>
                </c:pt>
                <c:pt idx="178">
                  <c:v>-21.2752935937607</c:v>
                </c:pt>
                <c:pt idx="179">
                  <c:v>-21.2758847760356</c:v>
                </c:pt>
                <c:pt idx="180">
                  <c:v>-21.2764657816841</c:v>
                </c:pt>
                <c:pt idx="181">
                  <c:v>-21.2770378411144</c:v>
                </c:pt>
                <c:pt idx="182">
                  <c:v>-21.2776021662956</c:v>
                </c:pt>
                <c:pt idx="183">
                  <c:v>-21.278159953296</c:v>
                </c:pt>
                <c:pt idx="184">
                  <c:v>-21.278712384791</c:v>
                </c:pt>
                <c:pt idx="185">
                  <c:v>-21.2792606325469</c:v>
                </c:pt>
                <c:pt idx="186">
                  <c:v>-21.279805859884</c:v>
                </c:pt>
                <c:pt idx="187">
                  <c:v>-21.2803492241257</c:v>
                </c:pt>
                <c:pt idx="188">
                  <c:v>-21.2808918790373</c:v>
                </c:pt>
                <c:pt idx="189">
                  <c:v>-21.28143497726</c:v>
                </c:pt>
                <c:pt idx="190">
                  <c:v>-21.2819796727461</c:v>
                </c:pt>
                <c:pt idx="191">
                  <c:v>-21.2825271231985</c:v>
                </c:pt>
                <c:pt idx="192">
                  <c:v>-21.2830784925214</c:v>
                </c:pt>
                <c:pt idx="193">
                  <c:v>-21.2836349532861</c:v>
                </c:pt>
                <c:pt idx="194">
                  <c:v>-21.2841976892185</c:v>
                </c:pt>
                <c:pt idx="195">
                  <c:v>-21.2847678977116</c:v>
                </c:pt>
                <c:pt idx="196">
                  <c:v>-21.2853467923701</c:v>
                </c:pt>
                <c:pt idx="197">
                  <c:v>-21.2859356055922</c:v>
                </c:pt>
                <c:pt idx="198">
                  <c:v>-21.2865355911925</c:v>
                </c:pt>
                <c:pt idx="199">
                  <c:v>-21.2871480270748</c:v>
                </c:pt>
                <c:pt idx="200">
                  <c:v>-21.287774217957</c:v>
                </c:pt>
                <c:pt idx="201">
                  <c:v>-21.2884154981564</c:v>
                </c:pt>
                <c:pt idx="202">
                  <c:v>-21.2890732344411</c:v>
                </c:pt>
                <c:pt idx="203">
                  <c:v>-21.2897488289528</c:v>
                </c:pt>
                <c:pt idx="204">
                  <c:v>-21.2904437222081</c:v>
                </c:pt>
                <c:pt idx="205">
                  <c:v>-21.2911593961848</c:v>
                </c:pt>
                <c:pt idx="206">
                  <c:v>-21.2918973775004</c:v>
                </c:pt>
                <c:pt idx="207">
                  <c:v>-21.292659240688</c:v>
                </c:pt>
                <c:pt idx="208">
                  <c:v>-21.2934466115803</c:v>
                </c:pt>
                <c:pt idx="209">
                  <c:v>-21.294261170805</c:v>
                </c:pt>
                <c:pt idx="210">
                  <c:v>-21.2951046574037</c:v>
                </c:pt>
                <c:pt idx="211">
                  <c:v>-21.2959788725784</c:v>
                </c:pt>
                <c:pt idx="212">
                  <c:v>-21.2968856835776</c:v>
                </c:pt>
                <c:pt idx="213">
                  <c:v>-21.2978270277277</c:v>
                </c:pt>
                <c:pt idx="214">
                  <c:v>-21.2988049166219</c:v>
                </c:pt>
                <c:pt idx="215">
                  <c:v>-21.2998214404728</c:v>
                </c:pt>
                <c:pt idx="216">
                  <c:v>-21.3008787726423</c:v>
                </c:pt>
                <c:pt idx="217">
                  <c:v>-21.3019791743556</c:v>
                </c:pt>
                <c:pt idx="218">
                  <c:v>-21.3031249996133</c:v>
                </c:pt>
                <c:pt idx="219">
                  <c:v>-21.3043187003111</c:v>
                </c:pt>
                <c:pt idx="220">
                  <c:v>-21.3055628315794</c:v>
                </c:pt>
                <c:pt idx="221">
                  <c:v>-21.3068600573563</c:v>
                </c:pt>
                <c:pt idx="222">
                  <c:v>-21.3082131562057</c:v>
                </c:pt>
                <c:pt idx="223">
                  <c:v>-21.3096250273949</c:v>
                </c:pt>
                <c:pt idx="224">
                  <c:v>-21.3110986972471</c:v>
                </c:pt>
                <c:pt idx="225">
                  <c:v>-21.3126373257827</c:v>
                </c:pt>
                <c:pt idx="226">
                  <c:v>-21.314244213665</c:v>
                </c:pt>
                <c:pt idx="227">
                  <c:v>-21.31592280947</c:v>
                </c:pt>
                <c:pt idx="228">
                  <c:v>-21.3176767172945</c:v>
                </c:pt>
                <c:pt idx="229">
                  <c:v>-21.3195097047233</c:v>
                </c:pt>
                <c:pt idx="230">
                  <c:v>-21.3214257111753</c:v>
                </c:pt>
                <c:pt idx="231">
                  <c:v>-21.3234288566478</c:v>
                </c:pt>
                <c:pt idx="232">
                  <c:v>-21.3255234508825</c:v>
                </c:pt>
                <c:pt idx="233">
                  <c:v>-21.3277140029758</c:v>
                </c:pt>
                <c:pt idx="234">
                  <c:v>-21.3300052314576</c:v>
                </c:pt>
                <c:pt idx="235">
                  <c:v>-21.3324020748654</c:v>
                </c:pt>
                <c:pt idx="236">
                  <c:v>-21.3349097028396</c:v>
                </c:pt>
                <c:pt idx="237">
                  <c:v>-21.337533527771</c:v>
                </c:pt>
                <c:pt idx="238">
                  <c:v>-21.3402792170297</c:v>
                </c:pt>
                <c:pt idx="239">
                  <c:v>-21.3431527058084</c:v>
                </c:pt>
                <c:pt idx="240">
                  <c:v>-21.3461602106154</c:v>
                </c:pt>
                <c:pt idx="241">
                  <c:v>-21.3493082434528</c:v>
                </c:pt>
                <c:pt idx="242">
                  <c:v>-21.3526036267194</c:v>
                </c:pt>
                <c:pt idx="243">
                  <c:v>-21.3560535088807</c:v>
                </c:pt>
                <c:pt idx="244">
                  <c:v>-21.359665380947</c:v>
                </c:pt>
                <c:pt idx="245">
                  <c:v>-21.3634470938111</c:v>
                </c:pt>
                <c:pt idx="246">
                  <c:v>-21.3674068764904</c:v>
                </c:pt>
                <c:pt idx="247">
                  <c:v>-21.3715533553302</c:v>
                </c:pt>
                <c:pt idx="248">
                  <c:v>-21.3758955742233</c:v>
                </c:pt>
                <c:pt idx="249">
                  <c:v>-21.3804430159058</c:v>
                </c:pt>
                <c:pt idx="250">
                  <c:v>-21.3852056243952</c:v>
                </c:pt>
                <c:pt idx="251">
                  <c:v>-21.3901938286379</c:v>
                </c:pt>
                <c:pt idx="252">
                  <c:v>-21.3954185674416</c:v>
                </c:pt>
                <c:pt idx="253">
                  <c:v>-21.4008913157687</c:v>
                </c:pt>
                <c:pt idx="254">
                  <c:v>-21.4066241124787</c:v>
                </c:pt>
                <c:pt idx="255">
                  <c:v>-21.4126295896068</c:v>
                </c:pt>
                <c:pt idx="256">
                  <c:v>-21.4189210032781</c:v>
                </c:pt>
                <c:pt idx="257">
                  <c:v>-21.4255122663593</c:v>
                </c:pt>
                <c:pt idx="258">
                  <c:v>-21.4324179829621</c:v>
                </c:pt>
                <c:pt idx="259">
                  <c:v>-21.4396534849176</c:v>
                </c:pt>
                <c:pt idx="260">
                  <c:v>-21.4472348703506</c:v>
                </c:pt>
                <c:pt idx="261">
                  <c:v>-21.4551790444947</c:v>
                </c:pt>
                <c:pt idx="262">
                  <c:v>-21.4635037628977</c:v>
                </c:pt>
                <c:pt idx="263">
                  <c:v>-21.4722276771812</c:v>
                </c:pt>
                <c:pt idx="264">
                  <c:v>-21.4813703835272</c:v>
                </c:pt>
                <c:pt idx="265">
                  <c:v>-21.4909524740856</c:v>
                </c:pt>
                <c:pt idx="266">
                  <c:v>-21.5009955915042</c:v>
                </c:pt>
                <c:pt idx="267">
                  <c:v>-21.5115224868072</c:v>
                </c:pt>
                <c:pt idx="268">
                  <c:v>-21.5225570808621</c:v>
                </c:pt>
                <c:pt idx="269">
                  <c:v>-21.5341245296981</c:v>
                </c:pt>
                <c:pt idx="270">
                  <c:v>-21.5462512939629</c:v>
                </c:pt>
                <c:pt idx="271">
                  <c:v>-21.5589652128261</c:v>
                </c:pt>
                <c:pt idx="272">
                  <c:v>-21.5722955826712</c:v>
                </c:pt>
                <c:pt idx="273">
                  <c:v>-21.5862732409438</c:v>
                </c:pt>
                <c:pt idx="274">
                  <c:v>-21.6009306555615</c:v>
                </c:pt>
                <c:pt idx="275">
                  <c:v>-21.6163020203262</c:v>
                </c:pt>
                <c:pt idx="276">
                  <c:v>-21.6324233568245</c:v>
                </c:pt>
                <c:pt idx="277">
                  <c:v>-21.6493326233454</c:v>
                </c:pt>
                <c:pt idx="278">
                  <c:v>-21.6670698314012</c:v>
                </c:pt>
                <c:pt idx="279">
                  <c:v>-21.68567717049</c:v>
                </c:pt>
                <c:pt idx="280">
                  <c:v>-21.7051991418079</c:v>
                </c:pt>
                <c:pt idx="281">
                  <c:v>-21.7256827016903</c:v>
                </c:pt>
                <c:pt idx="282">
                  <c:v>-21.7471774156415</c:v>
                </c:pt>
                <c:pt idx="283">
                  <c:v>-21.7697356239054</c:v>
                </c:pt>
                <c:pt idx="284">
                  <c:v>-21.7934126196309</c:v>
                </c:pt>
                <c:pt idx="285">
                  <c:v>-21.8182668408038</c:v>
                </c:pt>
                <c:pt idx="286">
                  <c:v>-21.8443600772438</c:v>
                </c:pt>
                <c:pt idx="287">
                  <c:v>-21.8717576941158</c:v>
                </c:pt>
                <c:pt idx="288">
                  <c:v>-21.9005288735703</c:v>
                </c:pt>
                <c:pt idx="289">
                  <c:v>-21.9307468763167</c:v>
                </c:pt>
                <c:pt idx="290">
                  <c:v>-21.9624893251489</c:v>
                </c:pt>
                <c:pt idx="291">
                  <c:v>-21.9958385126877</c:v>
                </c:pt>
                <c:pt idx="292">
                  <c:v>-22.0308817358839</c:v>
                </c:pt>
                <c:pt idx="293">
                  <c:v>-22.0677116601471</c:v>
                </c:pt>
                <c:pt idx="294">
                  <c:v>-22.106426716329</c:v>
                </c:pt>
                <c:pt idx="295">
                  <c:v>-22.1471315342175</c:v>
                </c:pt>
                <c:pt idx="296">
                  <c:v>-22.1899374166754</c:v>
                </c:pt>
                <c:pt idx="297">
                  <c:v>-22.2349628591267</c:v>
                </c:pt>
                <c:pt idx="298">
                  <c:v>-22.2823341197373</c:v>
                </c:pt>
                <c:pt idx="299">
                  <c:v>-22.3321858463934</c:v>
                </c:pt>
                <c:pt idx="300">
                  <c:v>-22.384661767457</c:v>
                </c:pt>
                <c:pt idx="301">
                  <c:v>-22.4399154543062</c:v>
                </c:pt>
                <c:pt idx="302">
                  <c:v>-22.4981111648635</c:v>
                </c:pt>
                <c:pt idx="303">
                  <c:v>-22.5594247787294</c:v>
                </c:pt>
                <c:pt idx="304">
                  <c:v>-22.6240448361973</c:v>
                </c:pt>
                <c:pt idx="305">
                  <c:v>-22.6921736953927</c:v>
                </c:pt>
                <c:pt idx="306">
                  <c:v>-22.7640288241082</c:v>
                </c:pt>
                <c:pt idx="307">
                  <c:v>-22.8398442456845</c:v>
                </c:pt>
                <c:pt idx="308">
                  <c:v>-22.9198721616043</c:v>
                </c:pt>
                <c:pt idx="309">
                  <c:v>-23.004384777449</c:v>
                </c:pt>
                <c:pt idx="310">
                  <c:v>-23.0936763636658</c:v>
                </c:pt>
                <c:pt idx="311">
                  <c:v>-23.1880655884017</c:v>
                </c:pt>
                <c:pt idx="312">
                  <c:v>-23.2878981667146</c:v>
                </c:pt>
                <c:pt idx="313">
                  <c:v>-23.3935498790969</c:v>
                </c:pt>
                <c:pt idx="314">
                  <c:v>-23.5054300228184</c:v>
                </c:pt>
                <c:pt idx="315">
                  <c:v>-23.6239853726443</c:v>
                </c:pt>
                <c:pt idx="316">
                  <c:v>-23.7497047436574</c:v>
                </c:pt>
                <c:pt idx="317">
                  <c:v>-23.8831242690797</c:v>
                </c:pt>
                <c:pt idx="318">
                  <c:v>-24.0248335312817</c:v>
                </c:pt>
                <c:pt idx="319">
                  <c:v>-24.1754827160741</c:v>
                </c:pt>
                <c:pt idx="320">
                  <c:v>-24.335791000893</c:v>
                </c:pt>
                <c:pt idx="321">
                  <c:v>-24.5065564392703</c:v>
                </c:pt>
                <c:pt idx="322">
                  <c:v>-24.6886676706251</c:v>
                </c:pt>
                <c:pt idx="323">
                  <c:v>-24.8831178707962</c:v>
                </c:pt>
                <c:pt idx="324">
                  <c:v>-25.0910214715442</c:v>
                </c:pt>
                <c:pt idx="325">
                  <c:v>-25.3136343257145</c:v>
                </c:pt>
                <c:pt idx="326">
                  <c:v>-25.5523781916529</c:v>
                </c:pt>
                <c:pt idx="327">
                  <c:v>-25.808870673733</c:v>
                </c:pt>
                <c:pt idx="328">
                  <c:v>-26.0849621106094</c:v>
                </c:pt>
                <c:pt idx="329">
                  <c:v>-26.3827813845279</c:v>
                </c:pt>
                <c:pt idx="330">
                  <c:v>-26.7047932836573</c:v>
                </c:pt>
                <c:pt idx="331">
                  <c:v>-27.053870954943</c:v>
                </c:pt>
                <c:pt idx="332">
                  <c:v>-27.4333882337046</c:v>
                </c:pt>
                <c:pt idx="333">
                  <c:v>-27.8473383553092</c:v>
                </c:pt>
                <c:pt idx="334">
                  <c:v>-28.3004878961462</c:v>
                </c:pt>
                <c:pt idx="335">
                  <c:v>-28.798577891778</c:v>
                </c:pt>
                <c:pt idx="336">
                  <c:v>-29.3485879065112</c:v>
                </c:pt>
                <c:pt idx="337">
                  <c:v>-29.959082698588</c:v>
                </c:pt>
                <c:pt idx="338">
                  <c:v>-30.6406622623271</c:v>
                </c:pt>
                <c:pt idx="339">
                  <c:v>-31.4065252238283</c:v>
                </c:pt>
                <c:pt idx="340">
                  <c:v>-32.2731039080367</c:v>
                </c:pt>
                <c:pt idx="341">
                  <c:v>-33.2605464366186</c:v>
                </c:pt>
                <c:pt idx="342">
                  <c:v>-34.392219106557</c:v>
                </c:pt>
                <c:pt idx="343">
                  <c:v>-35.6904511853227</c:v>
                </c:pt>
                <c:pt idx="344">
                  <c:v>-37.1595410954285</c:v>
                </c:pt>
                <c:pt idx="345">
                  <c:v>-38.7296391653447</c:v>
                </c:pt>
                <c:pt idx="346">
                  <c:v>-40.1129587446327</c:v>
                </c:pt>
                <c:pt idx="347">
                  <c:v>-40.670888675053</c:v>
                </c:pt>
                <c:pt idx="348">
                  <c:v>-39.9135932522515</c:v>
                </c:pt>
                <c:pt idx="349">
                  <c:v>-38.2401288102378</c:v>
                </c:pt>
                <c:pt idx="350">
                  <c:v>-36.3185894217672</c:v>
                </c:pt>
                <c:pt idx="351">
                  <c:v>-34.4784024471967</c:v>
                </c:pt>
                <c:pt idx="352">
                  <c:v>-32.806750815409</c:v>
                </c:pt>
                <c:pt idx="353">
                  <c:v>-31.3043872617736</c:v>
                </c:pt>
                <c:pt idx="354">
                  <c:v>-29.94999306015</c:v>
                </c:pt>
                <c:pt idx="355">
                  <c:v>-28.7200909980515</c:v>
                </c:pt>
                <c:pt idx="356">
                  <c:v>-27.5941944667215</c:v>
                </c:pt>
                <c:pt idx="357">
                  <c:v>-26.555556960485</c:v>
                </c:pt>
                <c:pt idx="358">
                  <c:v>-25.5907471639708</c:v>
                </c:pt>
                <c:pt idx="359">
                  <c:v>-24.689014906071</c:v>
                </c:pt>
                <c:pt idx="360">
                  <c:v>-23.8417152055142</c:v>
                </c:pt>
                <c:pt idx="361">
                  <c:v>-23.0418447395125</c:v>
                </c:pt>
                <c:pt idx="362">
                  <c:v>-22.283684015904</c:v>
                </c:pt>
                <c:pt idx="363">
                  <c:v>-21.5625248577197</c:v>
                </c:pt>
                <c:pt idx="364">
                  <c:v>-20.8744631725527</c:v>
                </c:pt>
                <c:pt idx="365">
                  <c:v>-20.2162407312246</c:v>
                </c:pt>
                <c:pt idx="366">
                  <c:v>-19.5851235736837</c:v>
                </c:pt>
                <c:pt idx="367">
                  <c:v>-18.9788078617137</c:v>
                </c:pt>
                <c:pt idx="368">
                  <c:v>-18.3953464307471</c:v>
                </c:pt>
                <c:pt idx="369">
                  <c:v>-17.8330910837914</c:v>
                </c:pt>
                <c:pt idx="370">
                  <c:v>-17.2906469731268</c:v>
                </c:pt>
                <c:pt idx="371">
                  <c:v>-16.7668363611487</c:v>
                </c:pt>
                <c:pt idx="372">
                  <c:v>-16.2606697406075</c:v>
                </c:pt>
                <c:pt idx="373">
                  <c:v>-15.771322799612</c:v>
                </c:pt>
                <c:pt idx="374">
                  <c:v>-15.2981180903836</c:v>
                </c:pt>
                <c:pt idx="375">
                  <c:v>-14.8405105401102</c:v>
                </c:pt>
                <c:pt idx="376">
                  <c:v>-14.3980761538054</c:v>
                </c:pt>
                <c:pt idx="377">
                  <c:v>-13.9705034218111</c:v>
                </c:pt>
                <c:pt idx="378">
                  <c:v>-13.557587072188</c:v>
                </c:pt>
                <c:pt idx="379">
                  <c:v>-13.1592239107514</c:v>
                </c:pt>
                <c:pt idx="380">
                  <c:v>-12.7754105764527</c:v>
                </c:pt>
                <c:pt idx="381">
                  <c:v>-12.4062431129112</c:v>
                </c:pt>
                <c:pt idx="382">
                  <c:v>-12.0519183227354</c:v>
                </c:pt>
                <c:pt idx="383">
                  <c:v>-11.7127369336067</c:v>
                </c:pt>
                <c:pt idx="384">
                  <c:v>-11.389108667207</c:v>
                </c:pt>
                <c:pt idx="385">
                  <c:v>-11.0815593669034</c:v>
                </c:pt>
                <c:pt idx="386">
                  <c:v>-10.7907404104006</c:v>
                </c:pt>
                <c:pt idx="387">
                  <c:v>-10.5174407118143</c:v>
                </c:pt>
                <c:pt idx="388">
                  <c:v>-10.2626017057412</c:v>
                </c:pt>
                <c:pt idx="389">
                  <c:v>-10.027335804683</c:v>
                </c:pt>
                <c:pt idx="390">
                  <c:v>-9.81294892874152</c:v>
                </c:pt>
                <c:pt idx="391">
                  <c:v>-9.62096781543923</c:v>
                </c:pt>
                <c:pt idx="392">
                  <c:v>-9.45317290904454</c:v>
                </c:pt>
                <c:pt idx="393">
                  <c:v>-9.31163766115299</c:v>
                </c:pt>
                <c:pt idx="394">
                  <c:v>-9.19877495976493</c:v>
                </c:pt>
                <c:pt idx="395">
                  <c:v>-9.11739096275202</c:v>
                </c:pt>
                <c:pt idx="396">
                  <c:v>-9.07074547734638</c:v>
                </c:pt>
                <c:pt idx="397">
                  <c:v>-9.06261545498803</c:v>
                </c:pt>
                <c:pt idx="398">
                  <c:v>-9.09735263379373</c:v>
                </c:pt>
                <c:pt idx="399">
                  <c:v>-9.17991470125325</c:v>
                </c:pt>
                <c:pt idx="400">
                  <c:v>-9.31582497173901</c:v>
                </c:pt>
              </c:numCache>
            </c:numRef>
          </c:yVal>
          <c:smooth val="0"/>
        </c:ser>
        <c:axId val="94063778"/>
        <c:axId val="44672635"/>
      </c:scatterChart>
      <c:valAx>
        <c:axId val="94063778"/>
        <c:scaling>
          <c:logBase val="10"/>
          <c:orientation val="minMax"/>
          <c:max val="100000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72635"/>
        <c:crosses val="min"/>
        <c:crossBetween val="midCat"/>
      </c:valAx>
      <c:valAx>
        <c:axId val="44672635"/>
        <c:scaling>
          <c:orientation val="minMax"/>
          <c:max val="30"/>
          <c:min val="-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dB SPL/√Hz（0 dB = 20 µPa/√Hz）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63778"/>
        <c:crosses val="min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周波数特性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"感度"</c:f>
              <c:strCache>
                <c:ptCount val="1"/>
                <c:pt idx="0">
                  <c:v>感度</c:v>
                </c:pt>
              </c:strCache>
            </c:strRef>
          </c:tx>
          <c:spPr>
            <a:solidFill>
              <a:srgbClr val="0e6a76"/>
            </a:solidFill>
            <a:ln w="21960">
              <a:solidFill>
                <a:srgbClr val="0e6a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Spectrum!$B$9:$B$409</c:f>
              <c:numCache>
                <c:formatCode>0.00</c:formatCode>
                <c:ptCount val="401"/>
                <c:pt idx="0">
                  <c:v>10.0237446725454</c:v>
                </c:pt>
                <c:pt idx="1">
                  <c:v>10.2572276798273</c:v>
                </c:pt>
                <c:pt idx="2">
                  <c:v>10.4961492049955</c:v>
                </c:pt>
                <c:pt idx="3">
                  <c:v>10.7406359274051</c:v>
                </c:pt>
                <c:pt idx="4">
                  <c:v>10.9908174771525</c:v>
                </c:pt>
                <c:pt idx="5">
                  <c:v>11.246826503807</c:v>
                </c:pt>
                <c:pt idx="6">
                  <c:v>11.5087987467431</c:v>
                </c:pt>
                <c:pt idx="7">
                  <c:v>11.7768731071118</c:v>
                </c:pt>
                <c:pt idx="8">
                  <c:v>12.0511917214872</c:v>
                </c:pt>
                <c:pt idx="9">
                  <c:v>12.3319000372296</c:v>
                </c:pt>
                <c:pt idx="10">
                  <c:v>12.6191468896039</c:v>
                </c:pt>
                <c:pt idx="11">
                  <c:v>12.9130845806931</c:v>
                </c:pt>
                <c:pt idx="12">
                  <c:v>13.2138689601519</c:v>
                </c:pt>
                <c:pt idx="13">
                  <c:v>13.5216595078396</c:v>
                </c:pt>
                <c:pt idx="14">
                  <c:v>13.8366194183787</c:v>
                </c:pt>
                <c:pt idx="15">
                  <c:v>14.1589156876828</c:v>
                </c:pt>
                <c:pt idx="16">
                  <c:v>14.4887192014998</c:v>
                </c:pt>
                <c:pt idx="17">
                  <c:v>14.8262048260184</c:v>
                </c:pt>
                <c:pt idx="18">
                  <c:v>15.1715515005837</c:v>
                </c:pt>
                <c:pt idx="19">
                  <c:v>15.5249423325738</c:v>
                </c:pt>
                <c:pt idx="20">
                  <c:v>15.8865646944856</c:v>
                </c:pt>
                <c:pt idx="21">
                  <c:v>16.256610323282</c:v>
                </c:pt>
                <c:pt idx="22">
                  <c:v>16.6352754220534</c:v>
                </c:pt>
                <c:pt idx="23">
                  <c:v>17.0227607640475</c:v>
                </c:pt>
                <c:pt idx="24">
                  <c:v>17.4192717991216</c:v>
                </c:pt>
                <c:pt idx="25">
                  <c:v>17.8250187626749</c:v>
                </c:pt>
                <c:pt idx="26">
                  <c:v>18.2402167871182</c:v>
                </c:pt>
                <c:pt idx="27">
                  <c:v>18.6650860159398</c:v>
                </c:pt>
                <c:pt idx="28">
                  <c:v>19.0998517204287</c:v>
                </c:pt>
                <c:pt idx="29">
                  <c:v>19.5447444191162</c:v>
                </c:pt>
                <c:pt idx="30">
                  <c:v>20</c:v>
                </c:pt>
                <c:pt idx="31">
                  <c:v>20.4658598456151</c:v>
                </c:pt>
                <c:pt idx="32">
                  <c:v>20.942570961018</c:v>
                </c:pt>
                <c:pt idx="33">
                  <c:v>21.4303861047521</c:v>
                </c:pt>
                <c:pt idx="34">
                  <c:v>21.9295639228637</c:v>
                </c:pt>
                <c:pt idx="35">
                  <c:v>22.4403690860393</c:v>
                </c:pt>
                <c:pt idx="36">
                  <c:v>22.9630724299377</c:v>
                </c:pt>
                <c:pt idx="37">
                  <c:v>23.4979510987906</c:v>
                </c:pt>
                <c:pt idx="38">
                  <c:v>24.0452886923483</c:v>
                </c:pt>
                <c:pt idx="39">
                  <c:v>24.6053754162476</c:v>
                </c:pt>
                <c:pt idx="40">
                  <c:v>25.1785082358833</c:v>
                </c:pt>
                <c:pt idx="41">
                  <c:v>25.7649910338627</c:v>
                </c:pt>
                <c:pt idx="42">
                  <c:v>26.3651347711281</c:v>
                </c:pt>
                <c:pt idx="43">
                  <c:v>26.9792576518331</c:v>
                </c:pt>
                <c:pt idx="44">
                  <c:v>27.6076852920577</c:v>
                </c:pt>
                <c:pt idx="45">
                  <c:v>28.2507508924551</c:v>
                </c:pt>
                <c:pt idx="46">
                  <c:v>28.9087954149186</c:v>
                </c:pt>
                <c:pt idx="47">
                  <c:v>29.5821677633641</c:v>
                </c:pt>
                <c:pt idx="48">
                  <c:v>30.2712249687242</c:v>
                </c:pt>
                <c:pt idx="49">
                  <c:v>30.9763323782496</c:v>
                </c:pt>
                <c:pt idx="50">
                  <c:v>31.6978638492223</c:v>
                </c:pt>
                <c:pt idx="51">
                  <c:v>32.4362019471786</c:v>
                </c:pt>
                <c:pt idx="52">
                  <c:v>33.1917381487512</c:v>
                </c:pt>
                <c:pt idx="53">
                  <c:v>33.9648730492349</c:v>
                </c:pt>
                <c:pt idx="54">
                  <c:v>34.7560165749875</c:v>
                </c:pt>
                <c:pt idx="55">
                  <c:v>35.5655882007785</c:v>
                </c:pt>
                <c:pt idx="56">
                  <c:v>36.3940171721997</c:v>
                </c:pt>
                <c:pt idx="57">
                  <c:v>37.2417427332574</c:v>
                </c:pt>
                <c:pt idx="58">
                  <c:v>38.1092143592649</c:v>
                </c:pt>
                <c:pt idx="59">
                  <c:v>38.9968919951609</c:v>
                </c:pt>
                <c:pt idx="60">
                  <c:v>39.9052462993776</c:v>
                </c:pt>
                <c:pt idx="61">
                  <c:v>40.8347588933906</c:v>
                </c:pt>
                <c:pt idx="62">
                  <c:v>41.7859226170808</c:v>
                </c:pt>
                <c:pt idx="63">
                  <c:v>42.7592417900446</c:v>
                </c:pt>
                <c:pt idx="64">
                  <c:v>43.7552324789911</c:v>
                </c:pt>
                <c:pt idx="65">
                  <c:v>44.7744227713668</c:v>
                </c:pt>
                <c:pt idx="66">
                  <c:v>45.8173530553555</c:v>
                </c:pt>
                <c:pt idx="67">
                  <c:v>46.8845763063984</c:v>
                </c:pt>
                <c:pt idx="68">
                  <c:v>47.9766583803898</c:v>
                </c:pt>
                <c:pt idx="69">
                  <c:v>49.0941783137006</c:v>
                </c:pt>
                <c:pt idx="70">
                  <c:v>50.2377286301916</c:v>
                </c:pt>
                <c:pt idx="71">
                  <c:v>51.4079156553773</c:v>
                </c:pt>
                <c:pt idx="72">
                  <c:v>52.6053598379076</c:v>
                </c:pt>
                <c:pt idx="73">
                  <c:v>53.8306960785383</c:v>
                </c:pt>
                <c:pt idx="74">
                  <c:v>55.0845740667633</c:v>
                </c:pt>
                <c:pt idx="75">
                  <c:v>56.3676586252891</c:v>
                </c:pt>
                <c:pt idx="76">
                  <c:v>57.6806300625321</c:v>
                </c:pt>
                <c:pt idx="77">
                  <c:v>59.0241845333277</c:v>
                </c:pt>
                <c:pt idx="78">
                  <c:v>60.3990344080403</c:v>
                </c:pt>
                <c:pt idx="79">
                  <c:v>61.8059086502718</c:v>
                </c:pt>
                <c:pt idx="80">
                  <c:v>63.2455532033676</c:v>
                </c:pt>
                <c:pt idx="81">
                  <c:v>64.7187313859257</c:v>
                </c:pt>
                <c:pt idx="82">
                  <c:v>66.2262242965182</c:v>
                </c:pt>
                <c:pt idx="83">
                  <c:v>67.7688312278405</c:v>
                </c:pt>
                <c:pt idx="84">
                  <c:v>69.3473700905063</c:v>
                </c:pt>
                <c:pt idx="85">
                  <c:v>70.9626778467151</c:v>
                </c:pt>
                <c:pt idx="86">
                  <c:v>72.6156109540203</c:v>
                </c:pt>
                <c:pt idx="87">
                  <c:v>74.3070458194345</c:v>
                </c:pt>
                <c:pt idx="88">
                  <c:v>76.0378792641122</c:v>
                </c:pt>
                <c:pt idx="89">
                  <c:v>77.8090289988561</c:v>
                </c:pt>
                <c:pt idx="90">
                  <c:v>79.6214341106994</c:v>
                </c:pt>
                <c:pt idx="91">
                  <c:v>81.4760555608225</c:v>
                </c:pt>
                <c:pt idx="92">
                  <c:v>83.3738766940671</c:v>
                </c:pt>
                <c:pt idx="93">
                  <c:v>85.3159037603186</c:v>
                </c:pt>
                <c:pt idx="94">
                  <c:v>87.3031664480332</c:v>
                </c:pt>
                <c:pt idx="95">
                  <c:v>89.3367184301926</c:v>
                </c:pt>
                <c:pt idx="96">
                  <c:v>91.417637922975</c:v>
                </c:pt>
                <c:pt idx="97">
                  <c:v>93.5470282574397</c:v>
                </c:pt>
                <c:pt idx="98">
                  <c:v>95.7260184645277</c:v>
                </c:pt>
                <c:pt idx="99">
                  <c:v>97.9557638736892</c:v>
                </c:pt>
                <c:pt idx="100">
                  <c:v>100.237446725454</c:v>
                </c:pt>
                <c:pt idx="101">
                  <c:v>102.572276798273</c:v>
                </c:pt>
                <c:pt idx="102">
                  <c:v>104.961492049955</c:v>
                </c:pt>
                <c:pt idx="103">
                  <c:v>107.406359274051</c:v>
                </c:pt>
                <c:pt idx="104">
                  <c:v>109.908174771525</c:v>
                </c:pt>
                <c:pt idx="105">
                  <c:v>112.46826503807</c:v>
                </c:pt>
                <c:pt idx="106">
                  <c:v>115.087987467431</c:v>
                </c:pt>
                <c:pt idx="107">
                  <c:v>117.768731071118</c:v>
                </c:pt>
                <c:pt idx="108">
                  <c:v>120.511917214872</c:v>
                </c:pt>
                <c:pt idx="109">
                  <c:v>123.319000372296</c:v>
                </c:pt>
                <c:pt idx="110">
                  <c:v>126.191468896039</c:v>
                </c:pt>
                <c:pt idx="111">
                  <c:v>129.130845806931</c:v>
                </c:pt>
                <c:pt idx="112">
                  <c:v>132.138689601519</c:v>
                </c:pt>
                <c:pt idx="113">
                  <c:v>135.216595078396</c:v>
                </c:pt>
                <c:pt idx="114">
                  <c:v>138.366194183787</c:v>
                </c:pt>
                <c:pt idx="115">
                  <c:v>141.589156876828</c:v>
                </c:pt>
                <c:pt idx="116">
                  <c:v>144.887192014998</c:v>
                </c:pt>
                <c:pt idx="117">
                  <c:v>148.262048260184</c:v>
                </c:pt>
                <c:pt idx="118">
                  <c:v>151.715515005837</c:v>
                </c:pt>
                <c:pt idx="119">
                  <c:v>155.249423325738</c:v>
                </c:pt>
                <c:pt idx="120">
                  <c:v>158.865646944856</c:v>
                </c:pt>
                <c:pt idx="121">
                  <c:v>162.56610323282</c:v>
                </c:pt>
                <c:pt idx="122">
                  <c:v>166.352754220534</c:v>
                </c:pt>
                <c:pt idx="123">
                  <c:v>170.227607640475</c:v>
                </c:pt>
                <c:pt idx="124">
                  <c:v>174.192717991216</c:v>
                </c:pt>
                <c:pt idx="125">
                  <c:v>178.250187626749</c:v>
                </c:pt>
                <c:pt idx="126">
                  <c:v>182.402167871182</c:v>
                </c:pt>
                <c:pt idx="127">
                  <c:v>186.650860159398</c:v>
                </c:pt>
                <c:pt idx="128">
                  <c:v>190.998517204287</c:v>
                </c:pt>
                <c:pt idx="129">
                  <c:v>195.447444191162</c:v>
                </c:pt>
                <c:pt idx="130">
                  <c:v>200</c:v>
                </c:pt>
                <c:pt idx="131">
                  <c:v>204.658598456151</c:v>
                </c:pt>
                <c:pt idx="132">
                  <c:v>209.42570961018</c:v>
                </c:pt>
                <c:pt idx="133">
                  <c:v>214.303861047521</c:v>
                </c:pt>
                <c:pt idx="134">
                  <c:v>219.295639228637</c:v>
                </c:pt>
                <c:pt idx="135">
                  <c:v>224.403690860393</c:v>
                </c:pt>
                <c:pt idx="136">
                  <c:v>229.630724299377</c:v>
                </c:pt>
                <c:pt idx="137">
                  <c:v>234.979510987906</c:v>
                </c:pt>
                <c:pt idx="138">
                  <c:v>240.452886923483</c:v>
                </c:pt>
                <c:pt idx="139">
                  <c:v>246.053754162476</c:v>
                </c:pt>
                <c:pt idx="140">
                  <c:v>251.785082358834</c:v>
                </c:pt>
                <c:pt idx="141">
                  <c:v>257.649910338627</c:v>
                </c:pt>
                <c:pt idx="142">
                  <c:v>263.651347711281</c:v>
                </c:pt>
                <c:pt idx="143">
                  <c:v>269.792576518331</c:v>
                </c:pt>
                <c:pt idx="144">
                  <c:v>276.076852920577</c:v>
                </c:pt>
                <c:pt idx="145">
                  <c:v>282.507508924551</c:v>
                </c:pt>
                <c:pt idx="146">
                  <c:v>289.087954149185</c:v>
                </c:pt>
                <c:pt idx="147">
                  <c:v>295.821677633641</c:v>
                </c:pt>
                <c:pt idx="148">
                  <c:v>302.712249687242</c:v>
                </c:pt>
                <c:pt idx="149">
                  <c:v>309.763323782496</c:v>
                </c:pt>
                <c:pt idx="150">
                  <c:v>316.978638492223</c:v>
                </c:pt>
                <c:pt idx="151">
                  <c:v>324.362019471786</c:v>
                </c:pt>
                <c:pt idx="152">
                  <c:v>331.917381487512</c:v>
                </c:pt>
                <c:pt idx="153">
                  <c:v>339.648730492349</c:v>
                </c:pt>
                <c:pt idx="154">
                  <c:v>347.560165749875</c:v>
                </c:pt>
                <c:pt idx="155">
                  <c:v>355.655882007785</c:v>
                </c:pt>
                <c:pt idx="156">
                  <c:v>363.940171721997</c:v>
                </c:pt>
                <c:pt idx="157">
                  <c:v>372.417427332574</c:v>
                </c:pt>
                <c:pt idx="158">
                  <c:v>381.092143592649</c:v>
                </c:pt>
                <c:pt idx="159">
                  <c:v>389.968919951609</c:v>
                </c:pt>
                <c:pt idx="160">
                  <c:v>399.052462993776</c:v>
                </c:pt>
                <c:pt idx="161">
                  <c:v>408.347588933906</c:v>
                </c:pt>
                <c:pt idx="162">
                  <c:v>417.859226170808</c:v>
                </c:pt>
                <c:pt idx="163">
                  <c:v>427.592417900447</c:v>
                </c:pt>
                <c:pt idx="164">
                  <c:v>437.552324789911</c:v>
                </c:pt>
                <c:pt idx="165">
                  <c:v>447.744227713668</c:v>
                </c:pt>
                <c:pt idx="166">
                  <c:v>458.173530553555</c:v>
                </c:pt>
                <c:pt idx="167">
                  <c:v>468.845763063985</c:v>
                </c:pt>
                <c:pt idx="168">
                  <c:v>479.766583803898</c:v>
                </c:pt>
                <c:pt idx="169">
                  <c:v>490.941783137006</c:v>
                </c:pt>
                <c:pt idx="170">
                  <c:v>502.377286301916</c:v>
                </c:pt>
                <c:pt idx="171">
                  <c:v>514.079156553773</c:v>
                </c:pt>
                <c:pt idx="172">
                  <c:v>526.053598379076</c:v>
                </c:pt>
                <c:pt idx="173">
                  <c:v>538.306960785383</c:v>
                </c:pt>
                <c:pt idx="174">
                  <c:v>550.845740667633</c:v>
                </c:pt>
                <c:pt idx="175">
                  <c:v>563.676586252891</c:v>
                </c:pt>
                <c:pt idx="176">
                  <c:v>576.806300625321</c:v>
                </c:pt>
                <c:pt idx="177">
                  <c:v>590.241845333277</c:v>
                </c:pt>
                <c:pt idx="178">
                  <c:v>603.990344080403</c:v>
                </c:pt>
                <c:pt idx="179">
                  <c:v>618.059086502718</c:v>
                </c:pt>
                <c:pt idx="180">
                  <c:v>632.455532033676</c:v>
                </c:pt>
                <c:pt idx="181">
                  <c:v>647.187313859257</c:v>
                </c:pt>
                <c:pt idx="182">
                  <c:v>662.262242965182</c:v>
                </c:pt>
                <c:pt idx="183">
                  <c:v>677.688312278405</c:v>
                </c:pt>
                <c:pt idx="184">
                  <c:v>693.473700905063</c:v>
                </c:pt>
                <c:pt idx="185">
                  <c:v>709.626778467151</c:v>
                </c:pt>
                <c:pt idx="186">
                  <c:v>726.156109540203</c:v>
                </c:pt>
                <c:pt idx="187">
                  <c:v>743.070458194345</c:v>
                </c:pt>
                <c:pt idx="188">
                  <c:v>760.378792641123</c:v>
                </c:pt>
                <c:pt idx="189">
                  <c:v>778.090289988561</c:v>
                </c:pt>
                <c:pt idx="190">
                  <c:v>796.214341106995</c:v>
                </c:pt>
                <c:pt idx="191">
                  <c:v>814.760555608226</c:v>
                </c:pt>
                <c:pt idx="192">
                  <c:v>833.738766940671</c:v>
                </c:pt>
                <c:pt idx="193">
                  <c:v>853.159037603185</c:v>
                </c:pt>
                <c:pt idx="194">
                  <c:v>873.031664480332</c:v>
                </c:pt>
                <c:pt idx="195">
                  <c:v>893.367184301926</c:v>
                </c:pt>
                <c:pt idx="196">
                  <c:v>914.17637922975</c:v>
                </c:pt>
                <c:pt idx="197">
                  <c:v>935.470282574396</c:v>
                </c:pt>
                <c:pt idx="198">
                  <c:v>957.260184645277</c:v>
                </c:pt>
                <c:pt idx="199">
                  <c:v>979.557638736892</c:v>
                </c:pt>
                <c:pt idx="200">
                  <c:v>1002.37446725454</c:v>
                </c:pt>
                <c:pt idx="201">
                  <c:v>1025.72276798273</c:v>
                </c:pt>
                <c:pt idx="202">
                  <c:v>1049.61492049955</c:v>
                </c:pt>
                <c:pt idx="203">
                  <c:v>1074.06359274051</c:v>
                </c:pt>
                <c:pt idx="204">
                  <c:v>1099.08174771525</c:v>
                </c:pt>
                <c:pt idx="205">
                  <c:v>1124.6826503807</c:v>
                </c:pt>
                <c:pt idx="206">
                  <c:v>1150.87987467431</c:v>
                </c:pt>
                <c:pt idx="207">
                  <c:v>1177.68731071118</c:v>
                </c:pt>
                <c:pt idx="208">
                  <c:v>1205.11917214872</c:v>
                </c:pt>
                <c:pt idx="209">
                  <c:v>1233.19000372296</c:v>
                </c:pt>
                <c:pt idx="210">
                  <c:v>1261.91468896039</c:v>
                </c:pt>
                <c:pt idx="211">
                  <c:v>1291.30845806931</c:v>
                </c:pt>
                <c:pt idx="212">
                  <c:v>1321.38689601519</c:v>
                </c:pt>
                <c:pt idx="213">
                  <c:v>1352.16595078396</c:v>
                </c:pt>
                <c:pt idx="214">
                  <c:v>1383.66194183787</c:v>
                </c:pt>
                <c:pt idx="215">
                  <c:v>1415.89156876828</c:v>
                </c:pt>
                <c:pt idx="216">
                  <c:v>1448.87192014998</c:v>
                </c:pt>
                <c:pt idx="217">
                  <c:v>1482.62048260184</c:v>
                </c:pt>
                <c:pt idx="218">
                  <c:v>1517.15515005837</c:v>
                </c:pt>
                <c:pt idx="219">
                  <c:v>1552.49423325738</c:v>
                </c:pt>
                <c:pt idx="220">
                  <c:v>1588.65646944856</c:v>
                </c:pt>
                <c:pt idx="221">
                  <c:v>1625.6610323282</c:v>
                </c:pt>
                <c:pt idx="222">
                  <c:v>1663.52754220534</c:v>
                </c:pt>
                <c:pt idx="223">
                  <c:v>1702.27607640475</c:v>
                </c:pt>
                <c:pt idx="224">
                  <c:v>1741.92717991216</c:v>
                </c:pt>
                <c:pt idx="225">
                  <c:v>1782.50187626749</c:v>
                </c:pt>
                <c:pt idx="226">
                  <c:v>1824.02167871182</c:v>
                </c:pt>
                <c:pt idx="227">
                  <c:v>1866.50860159398</c:v>
                </c:pt>
                <c:pt idx="228">
                  <c:v>1909.98517204287</c:v>
                </c:pt>
                <c:pt idx="229">
                  <c:v>1954.47444191162</c:v>
                </c:pt>
                <c:pt idx="230">
                  <c:v>2000</c:v>
                </c:pt>
                <c:pt idx="231">
                  <c:v>2046.58598456151</c:v>
                </c:pt>
                <c:pt idx="232">
                  <c:v>2094.2570961018</c:v>
                </c:pt>
                <c:pt idx="233">
                  <c:v>2143.03861047521</c:v>
                </c:pt>
                <c:pt idx="234">
                  <c:v>2192.95639228637</c:v>
                </c:pt>
                <c:pt idx="235">
                  <c:v>2244.03690860393</c:v>
                </c:pt>
                <c:pt idx="236">
                  <c:v>2296.30724299377</c:v>
                </c:pt>
                <c:pt idx="237">
                  <c:v>2349.79510987906</c:v>
                </c:pt>
                <c:pt idx="238">
                  <c:v>2404.52886923483</c:v>
                </c:pt>
                <c:pt idx="239">
                  <c:v>2460.53754162476</c:v>
                </c:pt>
                <c:pt idx="240">
                  <c:v>2517.85082358834</c:v>
                </c:pt>
                <c:pt idx="241">
                  <c:v>2576.49910338627</c:v>
                </c:pt>
                <c:pt idx="242">
                  <c:v>2636.51347711281</c:v>
                </c:pt>
                <c:pt idx="243">
                  <c:v>2697.92576518331</c:v>
                </c:pt>
                <c:pt idx="244">
                  <c:v>2760.76852920577</c:v>
                </c:pt>
                <c:pt idx="245">
                  <c:v>2825.07508924551</c:v>
                </c:pt>
                <c:pt idx="246">
                  <c:v>2890.87954149186</c:v>
                </c:pt>
                <c:pt idx="247">
                  <c:v>2958.21677633641</c:v>
                </c:pt>
                <c:pt idx="248">
                  <c:v>3027.12249687242</c:v>
                </c:pt>
                <c:pt idx="249">
                  <c:v>3097.63323782496</c:v>
                </c:pt>
                <c:pt idx="250">
                  <c:v>3169.78638492223</c:v>
                </c:pt>
                <c:pt idx="251">
                  <c:v>3243.62019471786</c:v>
                </c:pt>
                <c:pt idx="252">
                  <c:v>3319.17381487512</c:v>
                </c:pt>
                <c:pt idx="253">
                  <c:v>3396.48730492349</c:v>
                </c:pt>
                <c:pt idx="254">
                  <c:v>3475.60165749875</c:v>
                </c:pt>
                <c:pt idx="255">
                  <c:v>3556.55882007785</c:v>
                </c:pt>
                <c:pt idx="256">
                  <c:v>3639.40171721997</c:v>
                </c:pt>
                <c:pt idx="257">
                  <c:v>3724.17427332573</c:v>
                </c:pt>
                <c:pt idx="258">
                  <c:v>3810.92143592649</c:v>
                </c:pt>
                <c:pt idx="259">
                  <c:v>3899.68919951609</c:v>
                </c:pt>
                <c:pt idx="260">
                  <c:v>3990.52462993776</c:v>
                </c:pt>
                <c:pt idx="261">
                  <c:v>4083.47588933906</c:v>
                </c:pt>
                <c:pt idx="262">
                  <c:v>4178.59226170808</c:v>
                </c:pt>
                <c:pt idx="263">
                  <c:v>4275.92417900447</c:v>
                </c:pt>
                <c:pt idx="264">
                  <c:v>4375.5232478991</c:v>
                </c:pt>
                <c:pt idx="265">
                  <c:v>4477.44227713668</c:v>
                </c:pt>
                <c:pt idx="266">
                  <c:v>4581.73530553555</c:v>
                </c:pt>
                <c:pt idx="267">
                  <c:v>4688.45763063985</c:v>
                </c:pt>
                <c:pt idx="268">
                  <c:v>4797.66583803898</c:v>
                </c:pt>
                <c:pt idx="269">
                  <c:v>4909.41783137006</c:v>
                </c:pt>
                <c:pt idx="270">
                  <c:v>5023.77286301916</c:v>
                </c:pt>
                <c:pt idx="271">
                  <c:v>5140.79156553773</c:v>
                </c:pt>
                <c:pt idx="272">
                  <c:v>5260.53598379076</c:v>
                </c:pt>
                <c:pt idx="273">
                  <c:v>5383.06960785383</c:v>
                </c:pt>
                <c:pt idx="274">
                  <c:v>5508.45740667633</c:v>
                </c:pt>
                <c:pt idx="275">
                  <c:v>5636.76586252891</c:v>
                </c:pt>
                <c:pt idx="276">
                  <c:v>5768.06300625321</c:v>
                </c:pt>
                <c:pt idx="277">
                  <c:v>5902.41845333277</c:v>
                </c:pt>
                <c:pt idx="278">
                  <c:v>6039.90344080403</c:v>
                </c:pt>
                <c:pt idx="279">
                  <c:v>6180.59086502718</c:v>
                </c:pt>
                <c:pt idx="280">
                  <c:v>6324.55532033676</c:v>
                </c:pt>
                <c:pt idx="281">
                  <c:v>6471.87313859256</c:v>
                </c:pt>
                <c:pt idx="282">
                  <c:v>6622.62242965182</c:v>
                </c:pt>
                <c:pt idx="283">
                  <c:v>6776.88312278405</c:v>
                </c:pt>
                <c:pt idx="284">
                  <c:v>6934.73700905063</c:v>
                </c:pt>
                <c:pt idx="285">
                  <c:v>7096.26778467151</c:v>
                </c:pt>
                <c:pt idx="286">
                  <c:v>7261.56109540203</c:v>
                </c:pt>
                <c:pt idx="287">
                  <c:v>7430.70458194345</c:v>
                </c:pt>
                <c:pt idx="288">
                  <c:v>7603.78792641123</c:v>
                </c:pt>
                <c:pt idx="289">
                  <c:v>7780.90289988561</c:v>
                </c:pt>
                <c:pt idx="290">
                  <c:v>7962.14341106995</c:v>
                </c:pt>
                <c:pt idx="291">
                  <c:v>8147.60555608225</c:v>
                </c:pt>
                <c:pt idx="292">
                  <c:v>8337.38766940671</c:v>
                </c:pt>
                <c:pt idx="293">
                  <c:v>8531.59037603185</c:v>
                </c:pt>
                <c:pt idx="294">
                  <c:v>8730.31664480332</c:v>
                </c:pt>
                <c:pt idx="295">
                  <c:v>8933.67184301926</c:v>
                </c:pt>
                <c:pt idx="296">
                  <c:v>9141.76379229751</c:v>
                </c:pt>
                <c:pt idx="297">
                  <c:v>9354.70282574396</c:v>
                </c:pt>
                <c:pt idx="298">
                  <c:v>9572.60184645277</c:v>
                </c:pt>
                <c:pt idx="299">
                  <c:v>9795.57638736892</c:v>
                </c:pt>
                <c:pt idx="300">
                  <c:v>10023.7446725455</c:v>
                </c:pt>
                <c:pt idx="301">
                  <c:v>10257.2276798273</c:v>
                </c:pt>
                <c:pt idx="302">
                  <c:v>10496.1492049955</c:v>
                </c:pt>
                <c:pt idx="303">
                  <c:v>10740.6359274051</c:v>
                </c:pt>
                <c:pt idx="304">
                  <c:v>10990.8174771525</c:v>
                </c:pt>
                <c:pt idx="305">
                  <c:v>11246.826503807</c:v>
                </c:pt>
                <c:pt idx="306">
                  <c:v>11508.7987467431</c:v>
                </c:pt>
                <c:pt idx="307">
                  <c:v>11776.8731071118</c:v>
                </c:pt>
                <c:pt idx="308">
                  <c:v>12051.1917214872</c:v>
                </c:pt>
                <c:pt idx="309">
                  <c:v>12331.9000372296</c:v>
                </c:pt>
                <c:pt idx="310">
                  <c:v>12619.1468896039</c:v>
                </c:pt>
                <c:pt idx="311">
                  <c:v>12913.0845806931</c:v>
                </c:pt>
                <c:pt idx="312">
                  <c:v>13213.8689601519</c:v>
                </c:pt>
                <c:pt idx="313">
                  <c:v>13521.6595078396</c:v>
                </c:pt>
                <c:pt idx="314">
                  <c:v>13836.6194183787</c:v>
                </c:pt>
                <c:pt idx="315">
                  <c:v>14158.9156876828</c:v>
                </c:pt>
                <c:pt idx="316">
                  <c:v>14488.7192014998</c:v>
                </c:pt>
                <c:pt idx="317">
                  <c:v>14826.2048260184</c:v>
                </c:pt>
                <c:pt idx="318">
                  <c:v>15171.5515005837</c:v>
                </c:pt>
                <c:pt idx="319">
                  <c:v>15524.9423325738</c:v>
                </c:pt>
                <c:pt idx="320">
                  <c:v>15886.5646944856</c:v>
                </c:pt>
                <c:pt idx="321">
                  <c:v>16256.610323282</c:v>
                </c:pt>
                <c:pt idx="322">
                  <c:v>16635.2754220534</c:v>
                </c:pt>
                <c:pt idx="323">
                  <c:v>17022.7607640475</c:v>
                </c:pt>
                <c:pt idx="324">
                  <c:v>17419.2717991216</c:v>
                </c:pt>
                <c:pt idx="325">
                  <c:v>17825.0187626749</c:v>
                </c:pt>
                <c:pt idx="326">
                  <c:v>18240.2167871182</c:v>
                </c:pt>
                <c:pt idx="327">
                  <c:v>18665.0860159398</c:v>
                </c:pt>
                <c:pt idx="328">
                  <c:v>19099.8517204287</c:v>
                </c:pt>
                <c:pt idx="329">
                  <c:v>19544.7444191162</c:v>
                </c:pt>
                <c:pt idx="330">
                  <c:v>20000</c:v>
                </c:pt>
                <c:pt idx="331">
                  <c:v>20465.8598456151</c:v>
                </c:pt>
                <c:pt idx="332">
                  <c:v>20942.570961018</c:v>
                </c:pt>
                <c:pt idx="333">
                  <c:v>21430.3861047521</c:v>
                </c:pt>
                <c:pt idx="334">
                  <c:v>21929.5639228637</c:v>
                </c:pt>
                <c:pt idx="335">
                  <c:v>22440.3690860393</c:v>
                </c:pt>
                <c:pt idx="336">
                  <c:v>22963.0724299377</c:v>
                </c:pt>
                <c:pt idx="337">
                  <c:v>23497.9510987906</c:v>
                </c:pt>
                <c:pt idx="338">
                  <c:v>24045.2886923483</c:v>
                </c:pt>
                <c:pt idx="339">
                  <c:v>24605.3754162476</c:v>
                </c:pt>
                <c:pt idx="340">
                  <c:v>25178.5082358834</c:v>
                </c:pt>
                <c:pt idx="341">
                  <c:v>25764.9910338627</c:v>
                </c:pt>
                <c:pt idx="342">
                  <c:v>26365.1347711282</c:v>
                </c:pt>
                <c:pt idx="343">
                  <c:v>26979.2576518331</c:v>
                </c:pt>
                <c:pt idx="344">
                  <c:v>27607.6852920577</c:v>
                </c:pt>
                <c:pt idx="345">
                  <c:v>28250.7508924551</c:v>
                </c:pt>
                <c:pt idx="346">
                  <c:v>28908.7954149186</c:v>
                </c:pt>
                <c:pt idx="347">
                  <c:v>29582.1677633641</c:v>
                </c:pt>
                <c:pt idx="348">
                  <c:v>30271.2249687242</c:v>
                </c:pt>
                <c:pt idx="349">
                  <c:v>30976.3323782496</c:v>
                </c:pt>
                <c:pt idx="350">
                  <c:v>31697.8638492223</c:v>
                </c:pt>
                <c:pt idx="351">
                  <c:v>32436.2019471786</c:v>
                </c:pt>
                <c:pt idx="352">
                  <c:v>33191.7381487512</c:v>
                </c:pt>
                <c:pt idx="353">
                  <c:v>33964.8730492349</c:v>
                </c:pt>
                <c:pt idx="354">
                  <c:v>34756.0165749875</c:v>
                </c:pt>
                <c:pt idx="355">
                  <c:v>35565.5882007785</c:v>
                </c:pt>
                <c:pt idx="356">
                  <c:v>36394.0171721997</c:v>
                </c:pt>
                <c:pt idx="357">
                  <c:v>37241.7427332574</c:v>
                </c:pt>
                <c:pt idx="358">
                  <c:v>38109.2143592649</c:v>
                </c:pt>
                <c:pt idx="359">
                  <c:v>38996.8919951609</c:v>
                </c:pt>
                <c:pt idx="360">
                  <c:v>39905.2462993776</c:v>
                </c:pt>
                <c:pt idx="361">
                  <c:v>40834.7588933906</c:v>
                </c:pt>
                <c:pt idx="362">
                  <c:v>41785.9226170808</c:v>
                </c:pt>
                <c:pt idx="363">
                  <c:v>42759.2417900447</c:v>
                </c:pt>
                <c:pt idx="364">
                  <c:v>43755.232478991</c:v>
                </c:pt>
                <c:pt idx="365">
                  <c:v>44774.4227713668</c:v>
                </c:pt>
                <c:pt idx="366">
                  <c:v>45817.3530553555</c:v>
                </c:pt>
                <c:pt idx="367">
                  <c:v>46884.5763063985</c:v>
                </c:pt>
                <c:pt idx="368">
                  <c:v>47976.6583803898</c:v>
                </c:pt>
                <c:pt idx="369">
                  <c:v>49094.1783137006</c:v>
                </c:pt>
                <c:pt idx="370">
                  <c:v>50237.7286301916</c:v>
                </c:pt>
                <c:pt idx="371">
                  <c:v>51407.9156553773</c:v>
                </c:pt>
                <c:pt idx="372">
                  <c:v>52605.3598379076</c:v>
                </c:pt>
                <c:pt idx="373">
                  <c:v>53830.6960785383</c:v>
                </c:pt>
                <c:pt idx="374">
                  <c:v>55084.5740667633</c:v>
                </c:pt>
                <c:pt idx="375">
                  <c:v>56367.6586252891</c:v>
                </c:pt>
                <c:pt idx="376">
                  <c:v>57680.6300625321</c:v>
                </c:pt>
                <c:pt idx="377">
                  <c:v>59024.1845333277</c:v>
                </c:pt>
                <c:pt idx="378">
                  <c:v>60399.0344080403</c:v>
                </c:pt>
                <c:pt idx="379">
                  <c:v>61805.9086502718</c:v>
                </c:pt>
                <c:pt idx="380">
                  <c:v>63245.5532033676</c:v>
                </c:pt>
                <c:pt idx="381">
                  <c:v>64718.7313859256</c:v>
                </c:pt>
                <c:pt idx="382">
                  <c:v>66226.2242965182</c:v>
                </c:pt>
                <c:pt idx="383">
                  <c:v>67768.8312278405</c:v>
                </c:pt>
                <c:pt idx="384">
                  <c:v>69347.3700905063</c:v>
                </c:pt>
                <c:pt idx="385">
                  <c:v>70962.6778467151</c:v>
                </c:pt>
                <c:pt idx="386">
                  <c:v>72615.6109540203</c:v>
                </c:pt>
                <c:pt idx="387">
                  <c:v>74307.0458194345</c:v>
                </c:pt>
                <c:pt idx="388">
                  <c:v>76037.8792641123</c:v>
                </c:pt>
                <c:pt idx="389">
                  <c:v>77809.0289988561</c:v>
                </c:pt>
                <c:pt idx="390">
                  <c:v>79621.4341106995</c:v>
                </c:pt>
                <c:pt idx="391">
                  <c:v>81476.0555608225</c:v>
                </c:pt>
                <c:pt idx="392">
                  <c:v>83373.8766940671</c:v>
                </c:pt>
                <c:pt idx="393">
                  <c:v>85315.9037603185</c:v>
                </c:pt>
                <c:pt idx="394">
                  <c:v>87303.1664480332</c:v>
                </c:pt>
                <c:pt idx="395">
                  <c:v>89336.7184301926</c:v>
                </c:pt>
                <c:pt idx="396">
                  <c:v>91417.637922975</c:v>
                </c:pt>
                <c:pt idx="397">
                  <c:v>93547.0282574396</c:v>
                </c:pt>
                <c:pt idx="398">
                  <c:v>95726.0184645277</c:v>
                </c:pt>
                <c:pt idx="399">
                  <c:v>97955.7638736892</c:v>
                </c:pt>
                <c:pt idx="400">
                  <c:v>100237.446725455</c:v>
                </c:pt>
              </c:numCache>
            </c:numRef>
          </c:xVal>
          <c:yVal>
            <c:numRef>
              <c:f>Spectrum!$AK$9:$AK$409</c:f>
              <c:numCache>
                <c:formatCode>0.00</c:formatCode>
                <c:ptCount val="401"/>
                <c:pt idx="0">
                  <c:v>-9.40241816188603</c:v>
                </c:pt>
                <c:pt idx="1">
                  <c:v>-9.2258720233371</c:v>
                </c:pt>
                <c:pt idx="2">
                  <c:v>-9.05029688147942</c:v>
                </c:pt>
                <c:pt idx="3">
                  <c:v>-8.8757270884917</c:v>
                </c:pt>
                <c:pt idx="4">
                  <c:v>-8.70219773265393</c:v>
                </c:pt>
                <c:pt idx="5">
                  <c:v>-8.52974461354945</c:v>
                </c:pt>
                <c:pt idx="6">
                  <c:v>-8.35840421326046</c:v>
                </c:pt>
                <c:pt idx="7">
                  <c:v>-8.18821366337135</c:v>
                </c:pt>
                <c:pt idx="8">
                  <c:v>-8.01921070761215</c:v>
                </c:pt>
                <c:pt idx="9">
                  <c:v>-7.85143365998251</c:v>
                </c:pt>
                <c:pt idx="10">
                  <c:v>-7.68492135822015</c:v>
                </c:pt>
                <c:pt idx="11">
                  <c:v>-7.51971311249689</c:v>
                </c:pt>
                <c:pt idx="12">
                  <c:v>-7.3558486492486</c:v>
                </c:pt>
                <c:pt idx="13">
                  <c:v>-7.19336805007717</c:v>
                </c:pt>
                <c:pt idx="14">
                  <c:v>-7.03231168568983</c:v>
                </c:pt>
                <c:pt idx="15">
                  <c:v>-6.87272014487971</c:v>
                </c:pt>
                <c:pt idx="16">
                  <c:v>-6.71463415858701</c:v>
                </c:pt>
                <c:pt idx="17">
                  <c:v>-6.55809451912339</c:v>
                </c:pt>
                <c:pt idx="18">
                  <c:v>-6.40314199468502</c:v>
                </c:pt>
                <c:pt idx="19">
                  <c:v>-6.24981723932796</c:v>
                </c:pt>
                <c:pt idx="20">
                  <c:v>-6.09816069862866</c:v>
                </c:pt>
                <c:pt idx="21">
                  <c:v>-5.94821251130142</c:v>
                </c:pt>
                <c:pt idx="22">
                  <c:v>-5.80001240710049</c:v>
                </c:pt>
                <c:pt idx="23">
                  <c:v>-5.65359960138436</c:v>
                </c:pt>
                <c:pt idx="24">
                  <c:v>-5.50901268677435</c:v>
                </c:pt>
                <c:pt idx="25">
                  <c:v>-5.36628952239117</c:v>
                </c:pt>
                <c:pt idx="26">
                  <c:v>-5.22546712120484</c:v>
                </c:pt>
                <c:pt idx="27">
                  <c:v>-5.0865815360787</c:v>
                </c:pt>
                <c:pt idx="28">
                  <c:v>-4.94966774513715</c:v>
                </c:pt>
                <c:pt idx="29">
                  <c:v>-4.81475953712261</c:v>
                </c:pt>
                <c:pt idx="30">
                  <c:v>-4.68188939744737</c:v>
                </c:pt>
                <c:pt idx="31">
                  <c:v>-4.55108839567011</c:v>
                </c:pt>
                <c:pt idx="32">
                  <c:v>-4.42238607515396</c:v>
                </c:pt>
                <c:pt idx="33">
                  <c:v>-4.29581034567463</c:v>
                </c:pt>
                <c:pt idx="34">
                  <c:v>-4.17138737975491</c:v>
                </c:pt>
                <c:pt idx="35">
                  <c:v>-4.04914151349946</c:v>
                </c:pt>
                <c:pt idx="36">
                  <c:v>-3.92909515269129</c:v>
                </c:pt>
                <c:pt idx="37">
                  <c:v>-3.81126868489218</c:v>
                </c:pt>
                <c:pt idx="38">
                  <c:v>-3.69568039825541</c:v>
                </c:pt>
                <c:pt idx="39">
                  <c:v>-3.58234640772235</c:v>
                </c:pt>
                <c:pt idx="40">
                  <c:v>-3.47128058922246</c:v>
                </c:pt>
                <c:pt idx="41">
                  <c:v>-3.36249452243973</c:v>
                </c:pt>
                <c:pt idx="42">
                  <c:v>-3.25599744263987</c:v>
                </c:pt>
                <c:pt idx="43">
                  <c:v>-3.15179620198289</c:v>
                </c:pt>
                <c:pt idx="44">
                  <c:v>-3.04989524066064</c:v>
                </c:pt>
                <c:pt idx="45">
                  <c:v>-2.95029656811901</c:v>
                </c:pt>
                <c:pt idx="46">
                  <c:v>-2.85299975453061</c:v>
                </c:pt>
                <c:pt idx="47">
                  <c:v>-2.75800193259652</c:v>
                </c:pt>
                <c:pt idx="48">
                  <c:v>-2.66529780965912</c:v>
                </c:pt>
                <c:pt idx="49">
                  <c:v>-2.57487969001864</c:v>
                </c:pt>
                <c:pt idx="50">
                  <c:v>-2.48673750725249</c:v>
                </c:pt>
                <c:pt idx="51">
                  <c:v>-2.40085886625094</c:v>
                </c:pt>
                <c:pt idx="52">
                  <c:v>-2.31722909459736</c:v>
                </c:pt>
                <c:pt idx="53">
                  <c:v>-2.23583130284528</c:v>
                </c:pt>
                <c:pt idx="54">
                  <c:v>-2.15664645317102</c:v>
                </c:pt>
                <c:pt idx="55">
                  <c:v>-2.07965343581932</c:v>
                </c:pt>
                <c:pt idx="56">
                  <c:v>-2.00482915270289</c:v>
                </c:pt>
                <c:pt idx="57">
                  <c:v>-1.9321486074702</c:v>
                </c:pt>
                <c:pt idx="58">
                  <c:v>-1.86158500132024</c:v>
                </c:pt>
                <c:pt idx="59">
                  <c:v>-1.79310983381434</c:v>
                </c:pt>
                <c:pt idx="60">
                  <c:v>-1.72669300791796</c:v>
                </c:pt>
                <c:pt idx="61">
                  <c:v>-1.66230293849658</c:v>
                </c:pt>
                <c:pt idx="62">
                  <c:v>-1.59990666349155</c:v>
                </c:pt>
                <c:pt idx="63">
                  <c:v>-1.53946995700969</c:v>
                </c:pt>
                <c:pt idx="64">
                  <c:v>-1.48095744357942</c:v>
                </c:pt>
                <c:pt idx="65">
                  <c:v>-1.42433271285027</c:v>
                </c:pt>
                <c:pt idx="66">
                  <c:v>-1.36955843404425</c:v>
                </c:pt>
                <c:pt idx="67">
                  <c:v>-1.31659646950484</c:v>
                </c:pt>
                <c:pt idx="68">
                  <c:v>-1.26540798673156</c:v>
                </c:pt>
                <c:pt idx="69">
                  <c:v>-1.21595356833397</c:v>
                </c:pt>
                <c:pt idx="70">
                  <c:v>-1.1681933193877</c:v>
                </c:pt>
                <c:pt idx="71">
                  <c:v>-1.1220869717272</c:v>
                </c:pt>
                <c:pt idx="72">
                  <c:v>-1.07759398476154</c:v>
                </c:pt>
                <c:pt idx="73">
                  <c:v>-1.03467364245315</c:v>
                </c:pt>
                <c:pt idx="74">
                  <c:v>-0.993285146152347</c:v>
                </c:pt>
                <c:pt idx="75">
                  <c:v>-0.953387703031136</c:v>
                </c:pt>
                <c:pt idx="76">
                  <c:v>-0.914940609913164</c:v>
                </c:pt>
                <c:pt idx="77">
                  <c:v>-0.877903332341488</c:v>
                </c:pt>
                <c:pt idx="78">
                  <c:v>-0.84223557877492</c:v>
                </c:pt>
                <c:pt idx="79">
                  <c:v>-0.807897369845411</c:v>
                </c:pt>
                <c:pt idx="80">
                  <c:v>-0.77484910264949</c:v>
                </c:pt>
                <c:pt idx="81">
                  <c:v>-0.743051610084757</c:v>
                </c:pt>
                <c:pt idx="82">
                  <c:v>-0.712466215274186</c:v>
                </c:pt>
                <c:pt idx="83">
                  <c:v>-0.683054781153915</c:v>
                </c:pt>
                <c:pt idx="84">
                  <c:v>-0.654779755324109</c:v>
                </c:pt>
                <c:pt idx="85">
                  <c:v>-0.627604210288487</c:v>
                </c:pt>
                <c:pt idx="86">
                  <c:v>-0.601491879226963</c:v>
                </c:pt>
                <c:pt idx="87">
                  <c:v>-0.576407187462807</c:v>
                </c:pt>
                <c:pt idx="88">
                  <c:v>-0.552315279800141</c:v>
                </c:pt>
                <c:pt idx="89">
                  <c:v>-0.529182043918753</c:v>
                </c:pt>
                <c:pt idx="90">
                  <c:v>-0.506974130021329</c:v>
                </c:pt>
                <c:pt idx="91">
                  <c:v>-0.485658966933948</c:v>
                </c:pt>
                <c:pt idx="92">
                  <c:v>-0.465204774865484</c:v>
                </c:pt>
                <c:pt idx="93">
                  <c:v>-0.445580575032157</c:v>
                </c:pt>
                <c:pt idx="94">
                  <c:v>-0.426756196353777</c:v>
                </c:pt>
                <c:pt idx="95">
                  <c:v>-0.408702279427379</c:v>
                </c:pt>
                <c:pt idx="96">
                  <c:v>-0.391390277978664</c:v>
                </c:pt>
                <c:pt idx="97">
                  <c:v>-0.374792457990439</c:v>
                </c:pt>
                <c:pt idx="98">
                  <c:v>-0.358881894698857</c:v>
                </c:pt>
                <c:pt idx="99">
                  <c:v>-0.343632467643968</c:v>
                </c:pt>
                <c:pt idx="100">
                  <c:v>-0.329018853954123</c:v>
                </c:pt>
                <c:pt idx="101">
                  <c:v>-0.315016520034855</c:v>
                </c:pt>
                <c:pt idx="102">
                  <c:v>-0.301601711827007</c:v>
                </c:pt>
                <c:pt idx="103">
                  <c:v>-0.288751443789219</c:v>
                </c:pt>
                <c:pt idx="104">
                  <c:v>-0.276443486752196</c:v>
                </c:pt>
                <c:pt idx="105">
                  <c:v>-0.264656354783602</c:v>
                </c:pt>
                <c:pt idx="106">
                  <c:v>-0.253369291194012</c:v>
                </c:pt>
                <c:pt idx="107">
                  <c:v>-0.242562253806379</c:v>
                </c:pt>
                <c:pt idx="108">
                  <c:v>-0.232215899601598</c:v>
                </c:pt>
                <c:pt idx="109">
                  <c:v>-0.222311568847457</c:v>
                </c:pt>
                <c:pt idx="110">
                  <c:v>-0.212831268807971</c:v>
                </c:pt>
                <c:pt idx="111">
                  <c:v>-0.20375765712268</c:v>
                </c:pt>
                <c:pt idx="112">
                  <c:v>-0.195074024940907</c:v>
                </c:pt>
                <c:pt idx="113">
                  <c:v>-0.186764279884402</c:v>
                </c:pt>
                <c:pt idx="114">
                  <c:v>-0.178812928909858</c:v>
                </c:pt>
                <c:pt idx="115">
                  <c:v>-0.171205061132308</c:v>
                </c:pt>
                <c:pt idx="116">
                  <c:v>-0.163926330667971</c:v>
                </c:pt>
                <c:pt idx="117">
                  <c:v>-0.156962939546368</c:v>
                </c:pt>
                <c:pt idx="118">
                  <c:v>-0.150301620738734</c:v>
                </c:pt>
                <c:pt idx="119">
                  <c:v>-0.143929621342424</c:v>
                </c:pt>
                <c:pt idx="120">
                  <c:v>-0.137834685958661</c:v>
                </c:pt>
                <c:pt idx="121">
                  <c:v>-0.132005040294415</c:v>
                </c:pt>
                <c:pt idx="122">
                  <c:v>-0.126429375017974</c:v>
                </c:pt>
                <c:pt idx="123">
                  <c:v>-0.12109682988963</c:v>
                </c:pt>
                <c:pt idx="124">
                  <c:v>-0.115996978190043</c:v>
                </c:pt>
                <c:pt idx="125">
                  <c:v>-0.111119811464507</c:v>
                </c:pt>
                <c:pt idx="126">
                  <c:v>-0.106455724594176</c:v>
                </c:pt>
                <c:pt idx="127">
                  <c:v>-0.10199550121069</c:v>
                </c:pt>
                <c:pt idx="128">
                  <c:v>-0.0977302994590081</c:v>
                </c:pt>
                <c:pt idx="129">
                  <c:v>-0.0936516381201246</c:v>
                </c:pt>
                <c:pt idx="130">
                  <c:v>-0.0897513830947976</c:v>
                </c:pt>
                <c:pt idx="131">
                  <c:v>-0.0860217342549272</c:v>
                </c:pt>
                <c:pt idx="132">
                  <c:v>-0.0824552126617926</c:v>
                </c:pt>
                <c:pt idx="133">
                  <c:v>-0.0790446481535154</c:v>
                </c:pt>
                <c:pt idx="134">
                  <c:v>-0.0757831672991752</c:v>
                </c:pt>
                <c:pt idx="135">
                  <c:v>-0.0726641817179228</c:v>
                </c:pt>
                <c:pt idx="136">
                  <c:v>-0.0696813767600093</c:v>
                </c:pt>
                <c:pt idx="137">
                  <c:v>-0.0668287005453916</c:v>
                </c:pt>
                <c:pt idx="138">
                  <c:v>-0.0641003533548065</c:v>
                </c:pt>
                <c:pt idx="139">
                  <c:v>-0.0614907773681108</c:v>
                </c:pt>
                <c:pt idx="140">
                  <c:v>-0.0589946467429176</c:v>
                </c:pt>
                <c:pt idx="141">
                  <c:v>-0.0566068580272714</c:v>
                </c:pt>
                <c:pt idx="142">
                  <c:v>-0.0543225208991887</c:v>
                </c:pt>
                <c:pt idx="143">
                  <c:v>-0.0521369492254694</c:v>
                </c:pt>
                <c:pt idx="144">
                  <c:v>-0.0500456524310496</c:v>
                </c:pt>
                <c:pt idx="145">
                  <c:v>-0.0480443271722268</c:v>
                </c:pt>
                <c:pt idx="146">
                  <c:v>-0.0461288493047075</c:v>
                </c:pt>
                <c:pt idx="147">
                  <c:v>-0.0442952661374769</c:v>
                </c:pt>
                <c:pt idx="148">
                  <c:v>-0.0425397889647543</c:v>
                </c:pt>
                <c:pt idx="149">
                  <c:v>-0.0408587858678147</c:v>
                </c:pt>
                <c:pt idx="150">
                  <c:v>-0.0392487747765043</c:v>
                </c:pt>
                <c:pt idx="151">
                  <c:v>-0.0377064167834227</c:v>
                </c:pt>
                <c:pt idx="152">
                  <c:v>-0.0362285097008859</c:v>
                </c:pt>
                <c:pt idx="153">
                  <c:v>-0.0348119818536958</c:v>
                </c:pt>
                <c:pt idx="154">
                  <c:v>-0.0334538860970676</c:v>
                </c:pt>
                <c:pt idx="155">
                  <c:v>-0.0321513940535267</c:v>
                </c:pt>
                <c:pt idx="156">
                  <c:v>-0.0309017905590863</c:v>
                </c:pt>
                <c:pt idx="157">
                  <c:v>-0.029702468310884</c:v>
                </c:pt>
                <c:pt idx="158">
                  <c:v>-0.0285509227082014</c:v>
                </c:pt>
                <c:pt idx="159">
                  <c:v>-0.0274447468797789</c:v>
                </c:pt>
                <c:pt idx="160">
                  <c:v>-0.0263816268874556</c:v>
                </c:pt>
                <c:pt idx="161">
                  <c:v>-0.0253593371014697</c:v>
                </c:pt>
                <c:pt idx="162">
                  <c:v>-0.0243757357370967</c:v>
                </c:pt>
                <c:pt idx="163">
                  <c:v>-0.0234287605475933</c:v>
                </c:pt>
                <c:pt idx="164">
                  <c:v>-0.0225164246641861</c:v>
                </c:pt>
                <c:pt idx="165">
                  <c:v>-0.0216368125778896</c:v>
                </c:pt>
                <c:pt idx="166">
                  <c:v>-0.0207880762551414</c:v>
                </c:pt>
                <c:pt idx="167">
                  <c:v>-0.01996843138046</c:v>
                </c:pt>
                <c:pt idx="168">
                  <c:v>-0.0191761537201693</c:v>
                </c:pt>
                <c:pt idx="169">
                  <c:v>-0.0184095756003965</c:v>
                </c:pt>
                <c:pt idx="170">
                  <c:v>-0.0176670824926309</c:v>
                </c:pt>
                <c:pt idx="171">
                  <c:v>-0.0169471097010905</c:v>
                </c:pt>
                <c:pt idx="172">
                  <c:v>-0.016248139145883</c:v>
                </c:pt>
                <c:pt idx="173">
                  <c:v>-0.0155686962352318</c:v>
                </c:pt>
                <c:pt idx="174">
                  <c:v>-0.0149073468221596</c:v>
                </c:pt>
                <c:pt idx="175">
                  <c:v>-0.0142626942384195</c:v>
                </c:pt>
                <c:pt idx="176">
                  <c:v>-0.0136333764013131</c:v>
                </c:pt>
                <c:pt idx="177">
                  <c:v>-0.0130180629869928</c:v>
                </c:pt>
                <c:pt idx="178">
                  <c:v>-0.012415452665338</c:v>
                </c:pt>
                <c:pt idx="179">
                  <c:v>-0.0118242703904351</c:v>
                </c:pt>
                <c:pt idx="180">
                  <c:v>-0.0112432647418851</c:v>
                </c:pt>
                <c:pt idx="181">
                  <c:v>-0.010671205311579</c:v>
                </c:pt>
                <c:pt idx="182">
                  <c:v>-0.0101068801303966</c:v>
                </c:pt>
                <c:pt idx="183">
                  <c:v>-0.00954909312999682</c:v>
                </c:pt>
                <c:pt idx="184">
                  <c:v>-0.00899666163499149</c:v>
                </c:pt>
                <c:pt idx="185">
                  <c:v>-0.00844841387907829</c:v>
                </c:pt>
                <c:pt idx="186">
                  <c:v>-0.00790318654199907</c:v>
                </c:pt>
                <c:pt idx="187">
                  <c:v>-0.00735982230027944</c:v>
                </c:pt>
                <c:pt idx="188">
                  <c:v>-0.00681716738875939</c:v>
                </c:pt>
                <c:pt idx="189">
                  <c:v>-0.00627406916602016</c:v>
                </c:pt>
                <c:pt idx="190">
                  <c:v>-0.00572937367990406</c:v>
                </c:pt>
                <c:pt idx="191">
                  <c:v>-0.0051819232274917</c:v>
                </c:pt>
                <c:pt idx="192">
                  <c:v>-0.00463055390464116</c:v>
                </c:pt>
                <c:pt idx="193">
                  <c:v>-0.00407409313987341</c:v>
                </c:pt>
                <c:pt idx="194">
                  <c:v>-0.0035113572074628</c:v>
                </c:pt>
                <c:pt idx="195">
                  <c:v>-0.00294114871441061</c:v>
                </c:pt>
                <c:pt idx="196">
                  <c:v>-0.00236225405586239</c:v>
                </c:pt>
                <c:pt idx="197">
                  <c:v>-0.00177344083379594</c:v>
                </c:pt>
                <c:pt idx="198">
                  <c:v>-0.00117345523347266</c:v>
                </c:pt>
                <c:pt idx="199">
                  <c:v>-0.00056101935118833</c:v>
                </c:pt>
                <c:pt idx="200">
                  <c:v>6.51715309657459E-005</c:v>
                </c:pt>
                <c:pt idx="201">
                  <c:v>0.000706451730382096</c:v>
                </c:pt>
                <c:pt idx="202">
                  <c:v>0.00136418801506675</c:v>
                </c:pt>
                <c:pt idx="203">
                  <c:v>0.00203978252675052</c:v>
                </c:pt>
                <c:pt idx="204">
                  <c:v>0.00273467578206131</c:v>
                </c:pt>
                <c:pt idx="205">
                  <c:v>0.00345034975883405</c:v>
                </c:pt>
                <c:pt idx="206">
                  <c:v>0.0041883310743467</c:v>
                </c:pt>
                <c:pt idx="207">
                  <c:v>0.00495019426202756</c:v>
                </c:pt>
                <c:pt idx="208">
                  <c:v>0.00573756515428412</c:v>
                </c:pt>
                <c:pt idx="209">
                  <c:v>0.00655212437902649</c:v>
                </c:pt>
                <c:pt idx="210">
                  <c:v>0.00739561097768321</c:v>
                </c:pt>
                <c:pt idx="211">
                  <c:v>0.00826982615241402</c:v>
                </c:pt>
                <c:pt idx="212">
                  <c:v>0.0091766371515654</c:v>
                </c:pt>
                <c:pt idx="213">
                  <c:v>0.0101179813017375</c:v>
                </c:pt>
                <c:pt idx="214">
                  <c:v>0.0110958701958535</c:v>
                </c:pt>
                <c:pt idx="215">
                  <c:v>0.0121123940467961</c:v>
                </c:pt>
                <c:pt idx="216">
                  <c:v>0.013169726216298</c:v>
                </c:pt>
                <c:pt idx="217">
                  <c:v>0.0142701279296234</c:v>
                </c:pt>
                <c:pt idx="218">
                  <c:v>0.0154159531872989</c:v>
                </c:pt>
                <c:pt idx="219">
                  <c:v>0.0166096538850573</c:v>
                </c:pt>
                <c:pt idx="220">
                  <c:v>0.0178537851533773</c:v>
                </c:pt>
                <c:pt idx="221">
                  <c:v>0.0191510109303235</c:v>
                </c:pt>
                <c:pt idx="222">
                  <c:v>0.020504109779661</c:v>
                </c:pt>
                <c:pt idx="223">
                  <c:v>0.0219159809688637</c:v>
                </c:pt>
                <c:pt idx="224">
                  <c:v>0.0233896508211271</c:v>
                </c:pt>
                <c:pt idx="225">
                  <c:v>0.0249282793566762</c:v>
                </c:pt>
                <c:pt idx="226">
                  <c:v>0.0265351672389841</c:v>
                </c:pt>
                <c:pt idx="227">
                  <c:v>0.0282137630440382</c:v>
                </c:pt>
                <c:pt idx="228">
                  <c:v>0.0299676708685095</c:v>
                </c:pt>
                <c:pt idx="229">
                  <c:v>0.0318006582973081</c:v>
                </c:pt>
                <c:pt idx="230">
                  <c:v>0.0337166647493277</c:v>
                </c:pt>
                <c:pt idx="231">
                  <c:v>0.0357198102218187</c:v>
                </c:pt>
                <c:pt idx="232">
                  <c:v>0.0378144044565285</c:v>
                </c:pt>
                <c:pt idx="233">
                  <c:v>0.0400049565497552</c:v>
                </c:pt>
                <c:pt idx="234">
                  <c:v>0.0422961850316197</c:v>
                </c:pt>
                <c:pt idx="235">
                  <c:v>0.0446930284393623</c:v>
                </c:pt>
                <c:pt idx="236">
                  <c:v>0.0472006564136346</c:v>
                </c:pt>
                <c:pt idx="237">
                  <c:v>0.049824481345035</c:v>
                </c:pt>
                <c:pt idx="238">
                  <c:v>0.0525701706036747</c:v>
                </c:pt>
                <c:pt idx="239">
                  <c:v>0.0554436593823729</c:v>
                </c:pt>
                <c:pt idx="240">
                  <c:v>0.0584511641893722</c:v>
                </c:pt>
                <c:pt idx="241">
                  <c:v>0.0615991970267913</c:v>
                </c:pt>
                <c:pt idx="242">
                  <c:v>0.0648945802934296</c:v>
                </c:pt>
                <c:pt idx="243">
                  <c:v>0.0683444624546521</c:v>
                </c:pt>
                <c:pt idx="244">
                  <c:v>0.0719563345210016</c:v>
                </c:pt>
                <c:pt idx="245">
                  <c:v>0.0757380473850631</c:v>
                </c:pt>
                <c:pt idx="246">
                  <c:v>0.0796978300643987</c:v>
                </c:pt>
                <c:pt idx="247">
                  <c:v>0.0838443089041968</c:v>
                </c:pt>
                <c:pt idx="248">
                  <c:v>0.0881865277973105</c:v>
                </c:pt>
                <c:pt idx="249">
                  <c:v>0.0927339694797658</c:v>
                </c:pt>
                <c:pt idx="250">
                  <c:v>0.0974965779691596</c:v>
                </c:pt>
                <c:pt idx="251">
                  <c:v>0.102484782211926</c:v>
                </c:pt>
                <c:pt idx="252">
                  <c:v>0.107709521015589</c:v>
                </c:pt>
                <c:pt idx="253">
                  <c:v>0.113182269342715</c:v>
                </c:pt>
                <c:pt idx="254">
                  <c:v>0.118915066052678</c:v>
                </c:pt>
                <c:pt idx="255">
                  <c:v>0.124920543180837</c:v>
                </c:pt>
                <c:pt idx="256">
                  <c:v>0.131211956852077</c:v>
                </c:pt>
                <c:pt idx="257">
                  <c:v>0.137803219933259</c:v>
                </c:pt>
                <c:pt idx="258">
                  <c:v>0.144708936536101</c:v>
                </c:pt>
                <c:pt idx="259">
                  <c:v>0.151944438491624</c:v>
                </c:pt>
                <c:pt idx="260">
                  <c:v>0.159525823924629</c:v>
                </c:pt>
                <c:pt idx="261">
                  <c:v>0.167469998068644</c:v>
                </c:pt>
                <c:pt idx="262">
                  <c:v>0.175794716471741</c:v>
                </c:pt>
                <c:pt idx="263">
                  <c:v>0.184518630755205</c:v>
                </c:pt>
                <c:pt idx="264">
                  <c:v>0.193661337101217</c:v>
                </c:pt>
                <c:pt idx="265">
                  <c:v>0.203243427659584</c:v>
                </c:pt>
                <c:pt idx="266">
                  <c:v>0.213286545078213</c:v>
                </c:pt>
                <c:pt idx="267">
                  <c:v>0.223813440381192</c:v>
                </c:pt>
                <c:pt idx="268">
                  <c:v>0.234848034436079</c:v>
                </c:pt>
                <c:pt idx="269">
                  <c:v>0.246415483272143</c:v>
                </c:pt>
                <c:pt idx="270">
                  <c:v>0.258542247536939</c:v>
                </c:pt>
                <c:pt idx="271">
                  <c:v>0.271256166400134</c:v>
                </c:pt>
                <c:pt idx="272">
                  <c:v>0.284586536245168</c:v>
                </c:pt>
                <c:pt idx="273">
                  <c:v>0.298564194517768</c:v>
                </c:pt>
                <c:pt idx="274">
                  <c:v>0.313221609135458</c:v>
                </c:pt>
                <c:pt idx="275">
                  <c:v>0.328592973900221</c:v>
                </c:pt>
                <c:pt idx="276">
                  <c:v>0.344714310398452</c:v>
                </c:pt>
                <c:pt idx="277">
                  <c:v>0.361623576919389</c:v>
                </c:pt>
                <c:pt idx="278">
                  <c:v>0.379360784975212</c:v>
                </c:pt>
                <c:pt idx="279">
                  <c:v>0.397968124063975</c:v>
                </c:pt>
                <c:pt idx="280">
                  <c:v>0.417490095381848</c:v>
                </c:pt>
                <c:pt idx="281">
                  <c:v>0.437973655264279</c:v>
                </c:pt>
                <c:pt idx="282">
                  <c:v>0.459468369215498</c:v>
                </c:pt>
                <c:pt idx="283">
                  <c:v>0.482026577479365</c:v>
                </c:pt>
                <c:pt idx="284">
                  <c:v>0.505703573204935</c:v>
                </c:pt>
                <c:pt idx="285">
                  <c:v>0.530557794377834</c:v>
                </c:pt>
                <c:pt idx="286">
                  <c:v>0.556651030817808</c:v>
                </c:pt>
                <c:pt idx="287">
                  <c:v>0.584048647689777</c:v>
                </c:pt>
                <c:pt idx="288">
                  <c:v>0.6128198271443</c:v>
                </c:pt>
                <c:pt idx="289">
                  <c:v>0.643037829890684</c:v>
                </c:pt>
                <c:pt idx="290">
                  <c:v>0.674780278722908</c:v>
                </c:pt>
                <c:pt idx="291">
                  <c:v>0.708129466261687</c:v>
                </c:pt>
                <c:pt idx="292">
                  <c:v>0.743172689457942</c:v>
                </c:pt>
                <c:pt idx="293">
                  <c:v>0.780002613721053</c:v>
                </c:pt>
                <c:pt idx="294">
                  <c:v>0.818717669903033</c:v>
                </c:pt>
                <c:pt idx="295">
                  <c:v>0.859422487791498</c:v>
                </c:pt>
                <c:pt idx="296">
                  <c:v>0.902228370249359</c:v>
                </c:pt>
                <c:pt idx="297">
                  <c:v>0.947253812700657</c:v>
                </c:pt>
                <c:pt idx="298">
                  <c:v>0.9946250733113</c:v>
                </c:pt>
                <c:pt idx="299">
                  <c:v>1.0444767999674</c:v>
                </c:pt>
                <c:pt idx="300">
                  <c:v>1.09695272103099</c:v>
                </c:pt>
                <c:pt idx="301">
                  <c:v>1.15220640788021</c:v>
                </c:pt>
                <c:pt idx="302">
                  <c:v>1.21040211843752</c:v>
                </c:pt>
                <c:pt idx="303">
                  <c:v>1.27171573230338</c:v>
                </c:pt>
                <c:pt idx="304">
                  <c:v>1.33633578977128</c:v>
                </c:pt>
                <c:pt idx="305">
                  <c:v>1.40446464896669</c:v>
                </c:pt>
                <c:pt idx="306">
                  <c:v>1.47631977768222</c:v>
                </c:pt>
                <c:pt idx="307">
                  <c:v>1.55213519925851</c:v>
                </c:pt>
                <c:pt idx="308">
                  <c:v>1.63216311517832</c:v>
                </c:pt>
                <c:pt idx="309">
                  <c:v>1.71667573102298</c:v>
                </c:pt>
                <c:pt idx="310">
                  <c:v>1.80596731723984</c:v>
                </c:pt>
                <c:pt idx="311">
                  <c:v>1.90035654197573</c:v>
                </c:pt>
                <c:pt idx="312">
                  <c:v>2.00018912028863</c:v>
                </c:pt>
                <c:pt idx="313">
                  <c:v>2.10584083267086</c:v>
                </c:pt>
                <c:pt idx="314">
                  <c:v>2.21772097639238</c:v>
                </c:pt>
                <c:pt idx="315">
                  <c:v>2.33627632621827</c:v>
                </c:pt>
                <c:pt idx="316">
                  <c:v>2.46199569723143</c:v>
                </c:pt>
                <c:pt idx="317">
                  <c:v>2.59541522265372</c:v>
                </c:pt>
                <c:pt idx="318">
                  <c:v>2.73712448485567</c:v>
                </c:pt>
                <c:pt idx="319">
                  <c:v>2.88777366964811</c:v>
                </c:pt>
                <c:pt idx="320">
                  <c:v>3.04808195446695</c:v>
                </c:pt>
                <c:pt idx="321">
                  <c:v>3.21884739284433</c:v>
                </c:pt>
                <c:pt idx="322">
                  <c:v>3.40095862419914</c:v>
                </c:pt>
                <c:pt idx="323">
                  <c:v>3.5954088243702</c:v>
                </c:pt>
                <c:pt idx="324">
                  <c:v>3.80331242511821</c:v>
                </c:pt>
                <c:pt idx="325">
                  <c:v>4.02592527928852</c:v>
                </c:pt>
                <c:pt idx="326">
                  <c:v>4.26466914522694</c:v>
                </c:pt>
                <c:pt idx="327">
                  <c:v>4.52116162730704</c:v>
                </c:pt>
                <c:pt idx="328">
                  <c:v>4.7972530641834</c:v>
                </c:pt>
                <c:pt idx="329">
                  <c:v>5.09507233810184</c:v>
                </c:pt>
                <c:pt idx="330">
                  <c:v>5.41708423723125</c:v>
                </c:pt>
                <c:pt idx="331">
                  <c:v>5.766161908517</c:v>
                </c:pt>
                <c:pt idx="332">
                  <c:v>6.14567918727856</c:v>
                </c:pt>
                <c:pt idx="333">
                  <c:v>6.55962930888319</c:v>
                </c:pt>
                <c:pt idx="334">
                  <c:v>7.01277884972018</c:v>
                </c:pt>
                <c:pt idx="335">
                  <c:v>7.51086884535197</c:v>
                </c:pt>
                <c:pt idx="336">
                  <c:v>8.06087886008515</c:v>
                </c:pt>
                <c:pt idx="337">
                  <c:v>8.671373652162</c:v>
                </c:pt>
                <c:pt idx="338">
                  <c:v>9.35295321590109</c:v>
                </c:pt>
                <c:pt idx="339">
                  <c:v>10.1188161774023</c:v>
                </c:pt>
                <c:pt idx="340">
                  <c:v>10.9853948616107</c:v>
                </c:pt>
                <c:pt idx="341">
                  <c:v>11.9728373901926</c:v>
                </c:pt>
                <c:pt idx="342">
                  <c:v>13.1045100601309</c:v>
                </c:pt>
                <c:pt idx="343">
                  <c:v>14.4027421388967</c:v>
                </c:pt>
                <c:pt idx="344">
                  <c:v>15.8718320490025</c:v>
                </c:pt>
                <c:pt idx="345">
                  <c:v>17.4419301189187</c:v>
                </c:pt>
                <c:pt idx="346">
                  <c:v>18.8252496982067</c:v>
                </c:pt>
                <c:pt idx="347">
                  <c:v>19.383179628627</c:v>
                </c:pt>
                <c:pt idx="348">
                  <c:v>18.6258842058255</c:v>
                </c:pt>
                <c:pt idx="349">
                  <c:v>16.9524197638118</c:v>
                </c:pt>
                <c:pt idx="350">
                  <c:v>15.0308803753412</c:v>
                </c:pt>
                <c:pt idx="351">
                  <c:v>13.1906934007707</c:v>
                </c:pt>
                <c:pt idx="352">
                  <c:v>11.519041768983</c:v>
                </c:pt>
                <c:pt idx="353">
                  <c:v>10.0166782153476</c:v>
                </c:pt>
                <c:pt idx="354">
                  <c:v>8.66228401372401</c:v>
                </c:pt>
                <c:pt idx="355">
                  <c:v>7.4323819516255</c:v>
                </c:pt>
                <c:pt idx="356">
                  <c:v>6.30648542029552</c:v>
                </c:pt>
                <c:pt idx="357">
                  <c:v>5.26784791405901</c:v>
                </c:pt>
                <c:pt idx="358">
                  <c:v>4.30303811754482</c:v>
                </c:pt>
                <c:pt idx="359">
                  <c:v>3.40130585964502</c:v>
                </c:pt>
                <c:pt idx="360">
                  <c:v>2.55400615908821</c:v>
                </c:pt>
                <c:pt idx="361">
                  <c:v>1.75413569308648</c:v>
                </c:pt>
                <c:pt idx="362">
                  <c:v>0.995974969478039</c:v>
                </c:pt>
                <c:pt idx="363">
                  <c:v>0.274815811293663</c:v>
                </c:pt>
                <c:pt idx="364">
                  <c:v>-0.413245873873335</c:v>
                </c:pt>
                <c:pt idx="365">
                  <c:v>-1.07146831520139</c:v>
                </c:pt>
                <c:pt idx="366">
                  <c:v>-1.70258547274233</c:v>
                </c:pt>
                <c:pt idx="367">
                  <c:v>-2.30890118471227</c:v>
                </c:pt>
                <c:pt idx="368">
                  <c:v>-2.89236261567889</c:v>
                </c:pt>
                <c:pt idx="369">
                  <c:v>-3.45461796263466</c:v>
                </c:pt>
                <c:pt idx="370">
                  <c:v>-3.99706207329924</c:v>
                </c:pt>
                <c:pt idx="371">
                  <c:v>-4.52087268527734</c:v>
                </c:pt>
                <c:pt idx="372">
                  <c:v>-5.02703930581847</c:v>
                </c:pt>
                <c:pt idx="373">
                  <c:v>-5.51638624681398</c:v>
                </c:pt>
                <c:pt idx="374">
                  <c:v>-5.9895909560424</c:v>
                </c:pt>
                <c:pt idx="375">
                  <c:v>-6.44719850631577</c:v>
                </c:pt>
                <c:pt idx="376">
                  <c:v>-6.88963289262064</c:v>
                </c:pt>
                <c:pt idx="377">
                  <c:v>-7.31720562461495</c:v>
                </c:pt>
                <c:pt idx="378">
                  <c:v>-7.73012197423798</c:v>
                </c:pt>
                <c:pt idx="379">
                  <c:v>-8.12848513567461</c:v>
                </c:pt>
                <c:pt idx="380">
                  <c:v>-8.51229846997332</c:v>
                </c:pt>
                <c:pt idx="381">
                  <c:v>-8.88146593351477</c:v>
                </c:pt>
                <c:pt idx="382">
                  <c:v>-9.2357907236906</c:v>
                </c:pt>
                <c:pt idx="383">
                  <c:v>-9.57497211281933</c:v>
                </c:pt>
                <c:pt idx="384">
                  <c:v>-9.898600379219</c:v>
                </c:pt>
                <c:pt idx="385">
                  <c:v>-10.2061496795226</c:v>
                </c:pt>
                <c:pt idx="386">
                  <c:v>-10.4969686360254</c:v>
                </c:pt>
                <c:pt idx="387">
                  <c:v>-10.7702683346117</c:v>
                </c:pt>
                <c:pt idx="388">
                  <c:v>-11.0251073406848</c:v>
                </c:pt>
                <c:pt idx="389">
                  <c:v>-11.260373241743</c:v>
                </c:pt>
                <c:pt idx="390">
                  <c:v>-11.4747601176845</c:v>
                </c:pt>
                <c:pt idx="391">
                  <c:v>-11.6667412309868</c:v>
                </c:pt>
                <c:pt idx="392">
                  <c:v>-11.8345361373815</c:v>
                </c:pt>
                <c:pt idx="393">
                  <c:v>-11.976071385273</c:v>
                </c:pt>
                <c:pt idx="394">
                  <c:v>-12.0889340866611</c:v>
                </c:pt>
                <c:pt idx="395">
                  <c:v>-12.170318083674</c:v>
                </c:pt>
                <c:pt idx="396">
                  <c:v>-12.2169635690796</c:v>
                </c:pt>
                <c:pt idx="397">
                  <c:v>-12.225093591438</c:v>
                </c:pt>
                <c:pt idx="398">
                  <c:v>-12.1903564126323</c:v>
                </c:pt>
                <c:pt idx="399">
                  <c:v>-12.1077943451728</c:v>
                </c:pt>
                <c:pt idx="400">
                  <c:v>-11.971884074687</c:v>
                </c:pt>
              </c:numCache>
            </c:numRef>
          </c:yVal>
          <c:smooth val="0"/>
        </c:ser>
        <c:axId val="25970933"/>
        <c:axId val="69958101"/>
      </c:scatterChart>
      <c:valAx>
        <c:axId val="25970933"/>
        <c:scaling>
          <c:logBase val="10"/>
          <c:orientation val="minMax"/>
          <c:max val="100000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周波数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58101"/>
        <c:crosses val="min"/>
        <c:crossBetween val="midCat"/>
      </c:valAx>
      <c:valAx>
        <c:axId val="69958101"/>
        <c:scaling>
          <c:orientation val="minMax"/>
          <c:max val="25"/>
          <c:min val="-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感度 dB re 1 kHz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70933"/>
        <c:crosses val="min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134640</xdr:rowOff>
    </xdr:from>
    <xdr:to>
      <xdr:col>21</xdr:col>
      <xdr:colOff>78480</xdr:colOff>
      <xdr:row>24</xdr:row>
      <xdr:rowOff>121320</xdr:rowOff>
    </xdr:to>
    <xdr:graphicFrame>
      <xdr:nvGraphicFramePr>
        <xdr:cNvPr id="0" name="Chart 1"/>
        <xdr:cNvGraphicFramePr/>
      </xdr:nvGraphicFramePr>
      <xdr:xfrm>
        <a:off x="7518960" y="5716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182880</xdr:rowOff>
    </xdr:from>
    <xdr:to>
      <xdr:col>21</xdr:col>
      <xdr:colOff>78480</xdr:colOff>
      <xdr:row>50</xdr:row>
      <xdr:rowOff>120960</xdr:rowOff>
    </xdr:to>
    <xdr:graphicFrame>
      <xdr:nvGraphicFramePr>
        <xdr:cNvPr id="1" name="Chart 2"/>
        <xdr:cNvGraphicFramePr/>
      </xdr:nvGraphicFramePr>
      <xdr:xfrm>
        <a:off x="7518960" y="55245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"使用プリセット: "&amp;preset</f>
        <v>使用プリセット: 標準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7.35" hidden="false" customHeight="false" outlineLevel="0" collapsed="false">
      <c r="A5" s="5" t="s">
        <v>5</v>
      </c>
      <c r="B5" s="6" t="n">
        <f aca="false">94-B6</f>
        <v>66.5584337016127</v>
      </c>
      <c r="C5" s="5" t="s">
        <v>6</v>
      </c>
    </row>
    <row r="6" customFormat="false" ht="15" hidden="false" customHeight="false" outlineLevel="0" collapsed="false">
      <c r="A6" s="7" t="s">
        <v>7</v>
      </c>
      <c r="B6" s="8" t="n">
        <f aca="false">10*LOG10(SUM(Spectrum!$AU$9:$AU$409)/L_PREF^2)</f>
        <v>27.4415662983873</v>
      </c>
      <c r="C6" s="5" t="s">
        <v>8</v>
      </c>
    </row>
    <row r="7" customFormat="false" ht="15" hidden="false" customHeight="false" outlineLevel="0" collapsed="false">
      <c r="A7" s="7" t="s">
        <v>9</v>
      </c>
      <c r="B7" s="8" t="n">
        <f aca="false">10*LOG10(SUM(Spectrum!$BD$9:$BD$409)/L_PREF^2)</f>
        <v>33.8220081401893</v>
      </c>
      <c r="C7" s="5" t="s">
        <v>10</v>
      </c>
    </row>
    <row r="8" customFormat="false" ht="15" hidden="false" customHeight="false" outlineLevel="0" collapsed="false">
      <c r="A8" s="7" t="s">
        <v>11</v>
      </c>
      <c r="B8" s="8" t="n">
        <f aca="false">20*LOG10(SQRT(Spectrum!$R$6)*L_G)</f>
        <v>-38.712290953574</v>
      </c>
      <c r="C8" s="5" t="s">
        <v>12</v>
      </c>
    </row>
    <row r="9" customFormat="false" ht="15" hidden="false" customHeight="false" outlineLevel="0" collapsed="false">
      <c r="A9" s="7" t="s">
        <v>13</v>
      </c>
      <c r="B9" s="8" t="n">
        <f aca="false">20*LOG10(SQRT(Spectrum!$R$6))</f>
        <v>-46.712290953574</v>
      </c>
      <c r="C9" s="5" t="s">
        <v>12</v>
      </c>
    </row>
    <row r="10" customFormat="false" ht="15" hidden="false" customHeight="false" outlineLevel="0" collapsed="false">
      <c r="A10" s="7" t="s">
        <v>14</v>
      </c>
      <c r="B10" s="9" t="n">
        <f aca="false">IF(MAX(Spectrum!$BE$9:$BE$409)&gt;0.5,INDEX(Spectrum!$B$9:$B$409,MATCH(MAX(Spectrum!$BE$9:$BE$409),Spectrum!$BE$9:$BE$409,0)),"なし")</f>
        <v>29582.1677633641</v>
      </c>
      <c r="C10" s="5" t="s">
        <v>15</v>
      </c>
    </row>
    <row r="11" customFormat="false" ht="15" hidden="false" customHeight="false" outlineLevel="0" collapsed="false">
      <c r="A11" s="7" t="s">
        <v>16</v>
      </c>
      <c r="B11" s="8" t="n">
        <f aca="false">MAX(Spectrum!$BE$9:$BE$409)</f>
        <v>19.383179628627</v>
      </c>
      <c r="C11" s="5" t="s">
        <v>17</v>
      </c>
    </row>
    <row r="12" customFormat="false" ht="15" hidden="false" customHeight="false" outlineLevel="0" collapsed="false">
      <c r="A12" s="7" t="s">
        <v>18</v>
      </c>
      <c r="B12" s="8" t="n">
        <f aca="false">IF(MIN(Spectrum!$BF$9:$BF$409)&gt;100000000,"&lt;10",MIN(Spectrum!$BF$9:$BF$409))</f>
        <v>28.2507508924551</v>
      </c>
      <c r="C12" s="5" t="s">
        <v>15</v>
      </c>
    </row>
    <row r="13" customFormat="false" ht="15" hidden="false" customHeight="false" outlineLevel="0" collapsed="false">
      <c r="A13" s="7" t="s">
        <v>19</v>
      </c>
      <c r="B13" s="10" t="n">
        <f aca="false">p_Vbias/L_VPI</f>
        <v>0.618466582373664</v>
      </c>
      <c r="C13" s="5"/>
    </row>
    <row r="14" customFormat="false" ht="15" hidden="false" customHeight="false" outlineLevel="0" collapsed="false">
      <c r="A14" s="7" t="s">
        <v>20</v>
      </c>
      <c r="B14" s="11" t="str">
        <f aca="false">IF(OR(L_ke&gt;=L_km,p_Vbias&gt;=L_VPI),"崩壊（線形モデル外・値は無効）",IF(B13&gt;0.8,"余裕小","安全"))</f>
        <v>安全</v>
      </c>
      <c r="C14" s="5"/>
    </row>
    <row r="16" customFormat="false" ht="15" hidden="false" customHeight="false" outlineLevel="0" collapsed="false">
      <c r="A16" s="12" t="s">
        <v>21</v>
      </c>
    </row>
    <row r="17" customFormat="false" ht="23.85" hidden="false" customHeight="false" outlineLevel="0" collapsed="false">
      <c r="A17" s="13" t="s">
        <v>22</v>
      </c>
      <c r="B17" s="13" t="s">
        <v>23</v>
      </c>
      <c r="C17" s="14" t="s">
        <v>24</v>
      </c>
      <c r="D17" s="14" t="s">
        <v>25</v>
      </c>
      <c r="E17" s="14" t="s">
        <v>26</v>
      </c>
      <c r="F17" s="14" t="s">
        <v>27</v>
      </c>
    </row>
    <row r="18" customFormat="false" ht="15" hidden="false" customHeight="false" outlineLevel="0" collapsed="false">
      <c r="A18" s="15" t="s">
        <v>28</v>
      </c>
      <c r="B18" s="7" t="s">
        <v>29</v>
      </c>
      <c r="C18" s="16" t="n">
        <f aca="false">10*LOG10(Spectrum!S$6/L_PREF^2)</f>
        <v>-24.6180145587179</v>
      </c>
      <c r="D18" s="16" t="n">
        <f aca="false">10*LOG10(SUM(Spectrum!$AV$9:$AV$409)/L_PREF^2)</f>
        <v>20.278179965012</v>
      </c>
      <c r="E18" s="16" t="n">
        <f aca="false">10*LOG10(SUM(Spectrum!$AM$9:$AM$409)/L_PREF^2)</f>
        <v>17.7075869824184</v>
      </c>
      <c r="F18" s="17" t="n">
        <f aca="false">SUM(Spectrum!$AM$9:$AM$409)/SUM(Spectrum!$AU$9:$AU$409)</f>
        <v>0.106316842101649</v>
      </c>
    </row>
    <row r="19" customFormat="false" ht="15" hidden="false" customHeight="false" outlineLevel="0" collapsed="false">
      <c r="A19" s="18" t="s">
        <v>30</v>
      </c>
      <c r="B19" s="7" t="s">
        <v>29</v>
      </c>
      <c r="C19" s="16" t="n">
        <f aca="false">10*LOG10(Spectrum!T$6/L_PREF^2)</f>
        <v>-18.8894974205036</v>
      </c>
      <c r="D19" s="16" t="n">
        <f aca="false">10*LOG10(SUM(Spectrum!$AW$9:$AW$409)/L_PREF^2)</f>
        <v>23.4130809321138</v>
      </c>
      <c r="E19" s="16" t="n">
        <f aca="false">10*LOG10(SUM(Spectrum!$AN$9:$AN$409)/L_PREF^2)</f>
        <v>21.7224547892837</v>
      </c>
      <c r="F19" s="17" t="n">
        <f aca="false">SUM(Spectrum!$AN$9:$AN$409)/SUM(Spectrum!$AU$9:$AU$409)</f>
        <v>0.267971649208299</v>
      </c>
    </row>
    <row r="20" customFormat="false" ht="15" hidden="false" customHeight="false" outlineLevel="0" collapsed="false">
      <c r="A20" s="19" t="s">
        <v>31</v>
      </c>
      <c r="B20" s="7" t="s">
        <v>29</v>
      </c>
      <c r="C20" s="16" t="n">
        <f aca="false">10*LOG10(Spectrum!U$6/L_PREF^2)</f>
        <v>-20.0765478386783</v>
      </c>
      <c r="D20" s="16" t="n">
        <f aca="false">10*LOG10(SUM(Spectrum!$AX$9:$AX$409)/L_PREF^2)</f>
        <v>22.2260305139391</v>
      </c>
      <c r="E20" s="16" t="n">
        <f aca="false">10*LOG10(SUM(Spectrum!$AO$9:$AO$409)/L_PREF^2)</f>
        <v>20.535404371109</v>
      </c>
      <c r="F20" s="17" t="n">
        <f aca="false">SUM(Spectrum!$AO$9:$AO$409)/SUM(Spectrum!$AU$9:$AU$409)</f>
        <v>0.203884310711988</v>
      </c>
    </row>
    <row r="21" customFormat="false" ht="15" hidden="false" customHeight="false" outlineLevel="0" collapsed="false">
      <c r="A21" s="20" t="s">
        <v>32</v>
      </c>
      <c r="B21" s="7" t="s">
        <v>29</v>
      </c>
      <c r="C21" s="16" t="n">
        <f aca="false">10*LOG10(Spectrum!V$6/L_PREF^2)</f>
        <v>-17.3520054645856</v>
      </c>
      <c r="D21" s="16" t="n">
        <f aca="false">10*LOG10(SUM(Spectrum!$AY$9:$AY$409)/L_PREF^2)</f>
        <v>29.6807061776009</v>
      </c>
      <c r="E21" s="16" t="n">
        <f aca="false">10*LOG10(SUM(Spectrum!$AP$9:$AP$409)/L_PREF^2)</f>
        <v>16.6955158398753</v>
      </c>
      <c r="F21" s="17" t="n">
        <f aca="false">SUM(Spectrum!$AP$9:$AP$409)/SUM(Spectrum!$AU$9:$AU$409)</f>
        <v>0.0842160667496246</v>
      </c>
    </row>
    <row r="22" customFormat="false" ht="15" hidden="false" customHeight="false" outlineLevel="0" collapsed="false">
      <c r="A22" s="21" t="s">
        <v>33</v>
      </c>
      <c r="B22" s="7" t="s">
        <v>34</v>
      </c>
      <c r="C22" s="16" t="n">
        <f aca="false">10*LOG10(Spectrum!W$6/L_PREF^2)</f>
        <v>-20.935400719873</v>
      </c>
      <c r="D22" s="16" t="n">
        <f aca="false">10*LOG10(SUM(Spectrum!$AZ$9:$AZ$409)/L_PREF^2)</f>
        <v>28.2194610398434</v>
      </c>
      <c r="E22" s="16" t="n">
        <f aca="false">10*LOG10(SUM(Spectrum!$AQ$9:$AQ$409)/L_PREF^2)</f>
        <v>13.2678313067304</v>
      </c>
      <c r="F22" s="17" t="n">
        <f aca="false">SUM(Spectrum!$AQ$9:$AQ$409)/SUM(Spectrum!$AU$9:$AU$409)</f>
        <v>0.0382495650359371</v>
      </c>
    </row>
    <row r="23" customFormat="false" ht="15" hidden="false" customHeight="false" outlineLevel="0" collapsed="false">
      <c r="A23" s="22" t="s">
        <v>35</v>
      </c>
      <c r="B23" s="7" t="s">
        <v>34</v>
      </c>
      <c r="C23" s="16" t="n">
        <f aca="false">10*LOG10(Spectrum!X$6/L_PREF^2)</f>
        <v>-20.8325823682845</v>
      </c>
      <c r="D23" s="16" t="n">
        <f aca="false">10*LOG10(SUM(Spectrum!$BA$9:$BA$409)/L_PREF^2)</f>
        <v>20.6279855181808</v>
      </c>
      <c r="E23" s="16" t="n">
        <f aca="false">10*LOG10(SUM(Spectrum!$AR$9:$AR$409)/L_PREF^2)</f>
        <v>19.1956128492702</v>
      </c>
      <c r="F23" s="17" t="n">
        <f aca="false">SUM(Spectrum!$AR$9:$AR$409)/SUM(Spectrum!$AU$9:$AU$409)</f>
        <v>0.149763042750786</v>
      </c>
    </row>
    <row r="24" customFormat="false" ht="15" hidden="false" customHeight="false" outlineLevel="0" collapsed="false">
      <c r="A24" s="23" t="s">
        <v>36</v>
      </c>
      <c r="B24" s="7" t="s">
        <v>34</v>
      </c>
      <c r="C24" s="16" t="n">
        <f aca="false">10*LOG10(Spectrum!Y$6/L_PREF^2)</f>
        <v>-29.1217815100322</v>
      </c>
      <c r="D24" s="16" t="n">
        <f aca="false">10*LOG10(SUM(Spectrum!$BB$9:$BB$409)/L_PREF^2)</f>
        <v>20.0330802496843</v>
      </c>
      <c r="E24" s="16" t="n">
        <f aca="false">10*LOG10(SUM(Spectrum!$AS$9:$AS$409)/L_PREF^2)</f>
        <v>5.08145051657122</v>
      </c>
      <c r="F24" s="17" t="n">
        <f aca="false">SUM(Spectrum!$AS$9:$AS$409)/SUM(Spectrum!$AU$9:$AU$409)</f>
        <v>0.00580748934694458</v>
      </c>
    </row>
    <row r="25" customFormat="false" ht="15" hidden="false" customHeight="false" outlineLevel="0" collapsed="false">
      <c r="A25" s="24" t="s">
        <v>37</v>
      </c>
      <c r="B25" s="7" t="s">
        <v>34</v>
      </c>
      <c r="C25" s="16" t="n">
        <f aca="false">10*LOG10(Spectrum!Z$6/L_PREF^2)</f>
        <v>-21.287709046426</v>
      </c>
      <c r="D25" s="16" t="n">
        <f aca="false">10*LOG10(SUM(Spectrum!$BC$9:$BC$409)/L_PREF^2)</f>
        <v>20.3707655360728</v>
      </c>
      <c r="E25" s="16" t="n">
        <f aca="false">10*LOG10(SUM(Spectrum!$AT$9:$AT$409)/L_PREF^2)</f>
        <v>19.0188843685527</v>
      </c>
      <c r="F25" s="17" t="n">
        <f aca="false">SUM(Spectrum!$AT$9:$AT$409)/SUM(Spectrum!$AU$9:$AU$409)</f>
        <v>0.143791034094771</v>
      </c>
    </row>
    <row r="26" customFormat="false" ht="15" hidden="false" customHeight="false" outlineLevel="0" collapsed="false">
      <c r="A26" s="25" t="s">
        <v>38</v>
      </c>
      <c r="B26" s="25"/>
      <c r="C26" s="26" t="n">
        <f aca="false">10*LOG10(Spectrum!AA$6/L_PREF^2)</f>
        <v>-11.5759532649292</v>
      </c>
      <c r="D26" s="26" t="n">
        <f aca="false">B7</f>
        <v>33.8220081401893</v>
      </c>
      <c r="E26" s="26" t="n">
        <f aca="false">B6</f>
        <v>27.4415662983873</v>
      </c>
      <c r="F26" s="27" t="n">
        <f aca="false">SUM(F18:F25)</f>
        <v>1</v>
      </c>
    </row>
    <row r="27" customFormat="false" ht="15" hidden="false" customHeight="false" outlineLevel="0" collapsed="false">
      <c r="A27" s="7" t="s">
        <v>39</v>
      </c>
      <c r="F27" s="28" t="n">
        <f aca="false">SUM(F18:F21)</f>
        <v>0.662388868771561</v>
      </c>
    </row>
    <row r="28" customFormat="false" ht="15" hidden="false" customHeight="false" outlineLevel="0" collapsed="false">
      <c r="A28" s="7" t="s">
        <v>40</v>
      </c>
      <c r="F28" s="28" t="n">
        <f aca="false">SUM(F22:F25)</f>
        <v>0.337611131228439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6" min="3" style="0" width="10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48"/>
  </cols>
  <sheetData>
    <row r="1" customFormat="false" ht="17.35" hidden="false" customHeight="false" outlineLevel="0" collapsed="false">
      <c r="A1" s="29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0" t="s">
        <v>43</v>
      </c>
      <c r="C4" s="31" t="s">
        <v>44</v>
      </c>
      <c r="D4" s="2" t="s">
        <v>45</v>
      </c>
    </row>
    <row r="6" customFormat="false" ht="15" hidden="false" customHeight="false" outlineLevel="0" collapsed="false">
      <c r="A6" s="4" t="s">
        <v>46</v>
      </c>
      <c r="B6" s="4" t="s">
        <v>47</v>
      </c>
      <c r="C6" s="4" t="s">
        <v>4</v>
      </c>
      <c r="D6" s="4" t="s">
        <v>44</v>
      </c>
      <c r="E6" s="4" t="s">
        <v>48</v>
      </c>
      <c r="F6" s="4" t="s">
        <v>49</v>
      </c>
      <c r="G6" s="4" t="s">
        <v>50</v>
      </c>
      <c r="H6" s="4" t="s">
        <v>51</v>
      </c>
      <c r="I6" s="32" t="s">
        <v>52</v>
      </c>
      <c r="J6" s="32" t="s">
        <v>53</v>
      </c>
      <c r="K6" s="4" t="s">
        <v>54</v>
      </c>
    </row>
    <row r="7" customFormat="false" ht="15" hidden="false" customHeight="false" outlineLevel="0" collapsed="false">
      <c r="A7" s="7" t="s">
        <v>55</v>
      </c>
      <c r="B7" s="7" t="s">
        <v>56</v>
      </c>
      <c r="C7" s="5" t="s">
        <v>57</v>
      </c>
      <c r="D7" s="33" t="n">
        <v>25</v>
      </c>
      <c r="E7" s="33" t="n">
        <v>25</v>
      </c>
      <c r="F7" s="33" t="n">
        <v>25</v>
      </c>
      <c r="G7" s="34"/>
      <c r="H7" s="35" t="n">
        <f aca="false">IF(G7&lt;&gt;"",G7,INDEX(D7:F7,MATCH(preset,$D$6:$F$6,0)))</f>
        <v>25</v>
      </c>
      <c r="I7" s="36" t="n">
        <v>1</v>
      </c>
      <c r="J7" s="37" t="n">
        <f aca="false">H7*I7</f>
        <v>25</v>
      </c>
      <c r="K7" s="2" t="s">
        <v>58</v>
      </c>
    </row>
    <row r="8" customFormat="false" ht="15" hidden="false" customHeight="false" outlineLevel="0" collapsed="false">
      <c r="A8" s="7" t="s">
        <v>59</v>
      </c>
      <c r="B8" s="7" t="s">
        <v>60</v>
      </c>
      <c r="C8" s="5" t="s">
        <v>61</v>
      </c>
      <c r="D8" s="33" t="n">
        <v>125</v>
      </c>
      <c r="E8" s="33" t="n">
        <v>200</v>
      </c>
      <c r="F8" s="33" t="n">
        <v>100</v>
      </c>
      <c r="G8" s="34"/>
      <c r="H8" s="35" t="n">
        <f aca="false">IF(G8&lt;&gt;"",G8,INDEX(D8:F8,MATCH(preset,$D$6:$F$6,0)))</f>
        <v>125</v>
      </c>
      <c r="I8" s="36" t="n">
        <v>1E-006</v>
      </c>
      <c r="J8" s="37" t="n">
        <f aca="false">H8*I8</f>
        <v>0.000125</v>
      </c>
      <c r="K8" s="2"/>
    </row>
    <row r="9" customFormat="false" ht="15" hidden="false" customHeight="false" outlineLevel="0" collapsed="false">
      <c r="A9" s="7" t="s">
        <v>59</v>
      </c>
      <c r="B9" s="7" t="s">
        <v>62</v>
      </c>
      <c r="C9" s="5" t="s">
        <v>61</v>
      </c>
      <c r="D9" s="33" t="n">
        <v>400</v>
      </c>
      <c r="E9" s="33" t="n">
        <v>350</v>
      </c>
      <c r="F9" s="33" t="n">
        <v>300</v>
      </c>
      <c r="G9" s="34"/>
      <c r="H9" s="35" t="n">
        <f aca="false">IF(G9&lt;&gt;"",G9,INDEX(D9:F9,MATCH(preset,$D$6:$F$6,0)))</f>
        <v>400</v>
      </c>
      <c r="I9" s="36" t="n">
        <v>1E-006</v>
      </c>
      <c r="J9" s="37" t="n">
        <f aca="false">H9*I9</f>
        <v>0.0004</v>
      </c>
      <c r="K9" s="2" t="s">
        <v>63</v>
      </c>
    </row>
    <row r="10" customFormat="false" ht="15" hidden="false" customHeight="false" outlineLevel="0" collapsed="false">
      <c r="A10" s="7" t="s">
        <v>59</v>
      </c>
      <c r="B10" s="7" t="s">
        <v>64</v>
      </c>
      <c r="C10" s="5" t="s">
        <v>65</v>
      </c>
      <c r="D10" s="33" t="n">
        <v>0.15</v>
      </c>
      <c r="E10" s="33" t="n">
        <v>0.25</v>
      </c>
      <c r="F10" s="33" t="n">
        <v>0.08</v>
      </c>
      <c r="G10" s="34"/>
      <c r="H10" s="35" t="n">
        <f aca="false">IF(G10&lt;&gt;"",G10,INDEX(D10:F10,MATCH(preset,$D$6:$F$6,0)))</f>
        <v>0.15</v>
      </c>
      <c r="I10" s="36" t="n">
        <v>1E-009</v>
      </c>
      <c r="J10" s="37" t="n">
        <f aca="false">H10*I10</f>
        <v>1.5E-010</v>
      </c>
      <c r="K10" s="2" t="s">
        <v>66</v>
      </c>
    </row>
    <row r="11" customFormat="false" ht="15" hidden="false" customHeight="false" outlineLevel="0" collapsed="false">
      <c r="A11" s="7" t="s">
        <v>67</v>
      </c>
      <c r="B11" s="7" t="s">
        <v>68</v>
      </c>
      <c r="C11" s="5" t="s">
        <v>61</v>
      </c>
      <c r="D11" s="33" t="n">
        <v>350</v>
      </c>
      <c r="E11" s="33" t="n">
        <v>500</v>
      </c>
      <c r="F11" s="33" t="n">
        <v>275</v>
      </c>
      <c r="G11" s="34"/>
      <c r="H11" s="35" t="n">
        <f aca="false">IF(G11&lt;&gt;"",G11,INDEX(D11:F11,MATCH(preset,$D$6:$F$6,0)))</f>
        <v>350</v>
      </c>
      <c r="I11" s="36" t="n">
        <v>1E-006</v>
      </c>
      <c r="J11" s="37" t="n">
        <f aca="false">H11*I11</f>
        <v>0.00035</v>
      </c>
      <c r="K11" s="2" t="s">
        <v>69</v>
      </c>
    </row>
    <row r="12" customFormat="false" ht="15" hidden="false" customHeight="false" outlineLevel="0" collapsed="false">
      <c r="A12" s="7" t="s">
        <v>67</v>
      </c>
      <c r="B12" s="7" t="s">
        <v>70</v>
      </c>
      <c r="C12" s="5" t="s">
        <v>61</v>
      </c>
      <c r="D12" s="33" t="n">
        <v>0.6</v>
      </c>
      <c r="E12" s="33" t="n">
        <v>0.6</v>
      </c>
      <c r="F12" s="33" t="n">
        <v>0.6</v>
      </c>
      <c r="G12" s="34"/>
      <c r="H12" s="35" t="n">
        <f aca="false">IF(G12&lt;&gt;"",G12,INDEX(D12:F12,MATCH(preset,$D$6:$F$6,0)))</f>
        <v>0.6</v>
      </c>
      <c r="I12" s="36" t="n">
        <v>1E-006</v>
      </c>
      <c r="J12" s="37" t="n">
        <f aca="false">H12*I12</f>
        <v>6E-007</v>
      </c>
      <c r="K12" s="2" t="s">
        <v>71</v>
      </c>
    </row>
    <row r="13" customFormat="false" ht="15" hidden="false" customHeight="false" outlineLevel="0" collapsed="false">
      <c r="A13" s="7" t="s">
        <v>67</v>
      </c>
      <c r="B13" s="7" t="s">
        <v>72</v>
      </c>
      <c r="C13" s="5" t="s">
        <v>73</v>
      </c>
      <c r="D13" s="33" t="n">
        <v>2</v>
      </c>
      <c r="E13" s="33" t="n">
        <v>2.2</v>
      </c>
      <c r="F13" s="33" t="n">
        <v>1.6</v>
      </c>
      <c r="G13" s="34"/>
      <c r="H13" s="35" t="n">
        <f aca="false">IF(G13&lt;&gt;"",G13,INDEX(D13:F13,MATCH(preset,$D$6:$F$6,0)))</f>
        <v>2</v>
      </c>
      <c r="I13" s="36" t="n">
        <v>1E-009</v>
      </c>
      <c r="J13" s="37" t="n">
        <f aca="false">H13*I13</f>
        <v>2E-009</v>
      </c>
      <c r="K13" s="2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5" t="s">
        <v>61</v>
      </c>
      <c r="D14" s="33" t="n">
        <v>2.5</v>
      </c>
      <c r="E14" s="33" t="n">
        <v>3</v>
      </c>
      <c r="F14" s="33" t="n">
        <v>2</v>
      </c>
      <c r="G14" s="34"/>
      <c r="H14" s="35" t="n">
        <f aca="false">IF(G14&lt;&gt;"",G14,INDEX(D14:F14,MATCH(preset,$D$6:$F$6,0)))</f>
        <v>2.5</v>
      </c>
      <c r="I14" s="36" t="n">
        <v>1E-006</v>
      </c>
      <c r="J14" s="37" t="n">
        <f aca="false">H14*I14</f>
        <v>2.5E-006</v>
      </c>
      <c r="K14" s="2"/>
    </row>
    <row r="15" customFormat="false" ht="15" hidden="false" customHeight="false" outlineLevel="0" collapsed="false">
      <c r="A15" s="7" t="s">
        <v>75</v>
      </c>
      <c r="B15" s="7" t="s">
        <v>77</v>
      </c>
      <c r="C15" s="5" t="s">
        <v>61</v>
      </c>
      <c r="D15" s="33" t="n">
        <v>4</v>
      </c>
      <c r="E15" s="33" t="n">
        <v>5</v>
      </c>
      <c r="F15" s="33" t="n">
        <v>3.5</v>
      </c>
      <c r="G15" s="34"/>
      <c r="H15" s="35" t="n">
        <f aca="false">IF(G15&lt;&gt;"",G15,INDEX(D15:F15,MATCH(preset,$D$6:$F$6,0)))</f>
        <v>4</v>
      </c>
      <c r="I15" s="36" t="n">
        <v>1E-006</v>
      </c>
      <c r="J15" s="37" t="n">
        <f aca="false">H15*I15</f>
        <v>4E-006</v>
      </c>
      <c r="K15" s="2"/>
    </row>
    <row r="16" customFormat="false" ht="15" hidden="false" customHeight="false" outlineLevel="0" collapsed="false">
      <c r="A16" s="7" t="s">
        <v>75</v>
      </c>
      <c r="B16" s="7" t="s">
        <v>78</v>
      </c>
      <c r="C16" s="5" t="s">
        <v>79</v>
      </c>
      <c r="D16" s="33" t="n">
        <v>0.2</v>
      </c>
      <c r="E16" s="33" t="n">
        <v>0.3</v>
      </c>
      <c r="F16" s="33" t="n">
        <v>0.18</v>
      </c>
      <c r="G16" s="34"/>
      <c r="H16" s="35" t="n">
        <f aca="false">IF(G16&lt;&gt;"",G16,INDEX(D16:F16,MATCH(preset,$D$6:$F$6,0)))</f>
        <v>0.2</v>
      </c>
      <c r="I16" s="36" t="n">
        <v>1</v>
      </c>
      <c r="J16" s="37" t="n">
        <f aca="false">H16*I16</f>
        <v>0.2</v>
      </c>
      <c r="K16" s="2" t="s">
        <v>80</v>
      </c>
    </row>
    <row r="17" customFormat="false" ht="15" hidden="false" customHeight="false" outlineLevel="0" collapsed="false">
      <c r="A17" s="7" t="s">
        <v>75</v>
      </c>
      <c r="B17" s="7" t="s">
        <v>81</v>
      </c>
      <c r="C17" s="5" t="s">
        <v>61</v>
      </c>
      <c r="D17" s="33" t="n">
        <v>2</v>
      </c>
      <c r="E17" s="33" t="n">
        <v>2</v>
      </c>
      <c r="F17" s="33" t="n">
        <v>2</v>
      </c>
      <c r="G17" s="34"/>
      <c r="H17" s="35" t="n">
        <f aca="false">IF(G17&lt;&gt;"",G17,INDEX(D17:F17,MATCH(preset,$D$6:$F$6,0)))</f>
        <v>2</v>
      </c>
      <c r="I17" s="36" t="n">
        <v>1E-006</v>
      </c>
      <c r="J17" s="37" t="n">
        <f aca="false">H17*I17</f>
        <v>2E-006</v>
      </c>
      <c r="K17" s="2"/>
    </row>
    <row r="18" customFormat="false" ht="15" hidden="false" customHeight="false" outlineLevel="0" collapsed="false">
      <c r="A18" s="7" t="s">
        <v>82</v>
      </c>
      <c r="B18" s="7" t="s">
        <v>83</v>
      </c>
      <c r="C18" s="5" t="s">
        <v>65</v>
      </c>
      <c r="D18" s="33" t="n">
        <v>1.5</v>
      </c>
      <c r="E18" s="33" t="n">
        <v>4</v>
      </c>
      <c r="F18" s="33" t="n">
        <v>0.4</v>
      </c>
      <c r="G18" s="34"/>
      <c r="H18" s="35" t="n">
        <f aca="false">IF(G18&lt;&gt;"",G18,INDEX(D18:F18,MATCH(preset,$D$6:$F$6,0)))</f>
        <v>1.5</v>
      </c>
      <c r="I18" s="36" t="n">
        <v>1E-009</v>
      </c>
      <c r="J18" s="37" t="n">
        <f aca="false">H18*I18</f>
        <v>1.5E-009</v>
      </c>
      <c r="K18" s="2"/>
    </row>
    <row r="19" customFormat="false" ht="15" hidden="false" customHeight="false" outlineLevel="0" collapsed="false">
      <c r="A19" s="7" t="s">
        <v>82</v>
      </c>
      <c r="B19" s="7" t="s">
        <v>84</v>
      </c>
      <c r="C19" s="5" t="s">
        <v>85</v>
      </c>
      <c r="D19" s="38" t="n">
        <v>500000000000</v>
      </c>
      <c r="E19" s="38" t="n">
        <v>200000000000</v>
      </c>
      <c r="F19" s="38" t="n">
        <v>1500000000000</v>
      </c>
      <c r="G19" s="39"/>
      <c r="H19" s="40" t="n">
        <f aca="false">IF(G19&lt;&gt;"",G19,INDEX(D19:F19,MATCH(preset,$D$6:$F$6,0)))</f>
        <v>500000000000</v>
      </c>
      <c r="I19" s="36" t="n">
        <v>1</v>
      </c>
      <c r="J19" s="37" t="n">
        <f aca="false">H19*I19</f>
        <v>500000000000</v>
      </c>
      <c r="K19" s="2" t="s">
        <v>86</v>
      </c>
    </row>
    <row r="20" customFormat="false" ht="15" hidden="false" customHeight="false" outlineLevel="0" collapsed="false">
      <c r="A20" s="7" t="s">
        <v>87</v>
      </c>
      <c r="B20" s="7" t="s">
        <v>88</v>
      </c>
      <c r="C20" s="5" t="s">
        <v>89</v>
      </c>
      <c r="D20" s="33" t="n">
        <v>10</v>
      </c>
      <c r="E20" s="33" t="n">
        <v>12</v>
      </c>
      <c r="F20" s="33" t="n">
        <v>8</v>
      </c>
      <c r="G20" s="34"/>
      <c r="H20" s="35" t="n">
        <f aca="false">IF(G20&lt;&gt;"",G20,INDEX(D20:F20,MATCH(preset,$D$6:$F$6,0)))</f>
        <v>10</v>
      </c>
      <c r="I20" s="36" t="n">
        <v>1</v>
      </c>
      <c r="J20" s="37" t="n">
        <f aca="false">H20*I20</f>
        <v>10</v>
      </c>
      <c r="K20" s="2" t="s">
        <v>90</v>
      </c>
    </row>
    <row r="21" customFormat="false" ht="15" hidden="false" customHeight="false" outlineLevel="0" collapsed="false">
      <c r="A21" s="7" t="s">
        <v>87</v>
      </c>
      <c r="B21" s="7" t="s">
        <v>91</v>
      </c>
      <c r="C21" s="5" t="s">
        <v>92</v>
      </c>
      <c r="D21" s="33" t="n">
        <v>0.8</v>
      </c>
      <c r="E21" s="33" t="n">
        <v>0.8</v>
      </c>
      <c r="F21" s="33" t="n">
        <v>0.6</v>
      </c>
      <c r="G21" s="34"/>
      <c r="H21" s="35" t="n">
        <f aca="false">IF(G21&lt;&gt;"",G21,INDEX(D21:F21,MATCH(preset,$D$6:$F$6,0)))</f>
        <v>0.8</v>
      </c>
      <c r="I21" s="36" t="n">
        <v>1E-012</v>
      </c>
      <c r="J21" s="37" t="n">
        <f aca="false">H21*I21</f>
        <v>8E-013</v>
      </c>
      <c r="K21" s="2"/>
    </row>
    <row r="22" customFormat="false" ht="15" hidden="false" customHeight="false" outlineLevel="0" collapsed="false">
      <c r="A22" s="7" t="s">
        <v>87</v>
      </c>
      <c r="B22" s="7" t="s">
        <v>93</v>
      </c>
      <c r="C22" s="5" t="s">
        <v>92</v>
      </c>
      <c r="D22" s="33" t="n">
        <v>0.3</v>
      </c>
      <c r="E22" s="33" t="n">
        <v>0.3</v>
      </c>
      <c r="F22" s="33" t="n">
        <v>0.3</v>
      </c>
      <c r="G22" s="34"/>
      <c r="H22" s="35" t="n">
        <f aca="false">IF(G22&lt;&gt;"",G22,INDEX(D22:F22,MATCH(preset,$D$6:$F$6,0)))</f>
        <v>0.3</v>
      </c>
      <c r="I22" s="36" t="n">
        <v>1E-012</v>
      </c>
      <c r="J22" s="37" t="n">
        <f aca="false">H22*I22</f>
        <v>3E-013</v>
      </c>
      <c r="K22" s="2"/>
    </row>
    <row r="23" customFormat="false" ht="15" hidden="false" customHeight="false" outlineLevel="0" collapsed="false">
      <c r="A23" s="7" t="s">
        <v>87</v>
      </c>
      <c r="B23" s="7" t="s">
        <v>94</v>
      </c>
      <c r="C23" s="5" t="s">
        <v>95</v>
      </c>
      <c r="D23" s="38" t="n">
        <v>1000000000000</v>
      </c>
      <c r="E23" s="38" t="n">
        <v>1000000000000</v>
      </c>
      <c r="F23" s="38" t="n">
        <v>1000000000000</v>
      </c>
      <c r="G23" s="39"/>
      <c r="H23" s="40" t="n">
        <f aca="false">IF(G23&lt;&gt;"",G23,INDEX(D23:F23,MATCH(preset,$D$6:$F$6,0)))</f>
        <v>1000000000000</v>
      </c>
      <c r="I23" s="36" t="n">
        <v>1</v>
      </c>
      <c r="J23" s="37" t="n">
        <f aca="false">H23*I23</f>
        <v>1000000000000</v>
      </c>
      <c r="K23" s="2" t="s">
        <v>96</v>
      </c>
    </row>
    <row r="24" customFormat="false" ht="15" hidden="false" customHeight="false" outlineLevel="0" collapsed="false">
      <c r="A24" s="7" t="s">
        <v>97</v>
      </c>
      <c r="B24" s="7" t="s">
        <v>98</v>
      </c>
      <c r="C24" s="5" t="s">
        <v>99</v>
      </c>
      <c r="D24" s="33" t="n">
        <v>8</v>
      </c>
      <c r="E24" s="33" t="n">
        <v>5</v>
      </c>
      <c r="F24" s="33" t="n">
        <v>8</v>
      </c>
      <c r="G24" s="34"/>
      <c r="H24" s="35" t="n">
        <f aca="false">IF(G24&lt;&gt;"",G24,INDEX(D24:F24,MATCH(preset,$D$6:$F$6,0)))</f>
        <v>8</v>
      </c>
      <c r="I24" s="36" t="n">
        <v>1E-009</v>
      </c>
      <c r="J24" s="37" t="n">
        <f aca="false">H24*I24</f>
        <v>8E-009</v>
      </c>
      <c r="K24" s="2"/>
    </row>
    <row r="25" customFormat="false" ht="15" hidden="false" customHeight="false" outlineLevel="0" collapsed="false">
      <c r="A25" s="7" t="s">
        <v>97</v>
      </c>
      <c r="B25" s="5" t="s">
        <v>100</v>
      </c>
      <c r="C25" s="5" t="s">
        <v>15</v>
      </c>
      <c r="D25" s="33" t="n">
        <v>100</v>
      </c>
      <c r="E25" s="33" t="n">
        <v>100</v>
      </c>
      <c r="F25" s="33" t="n">
        <v>100</v>
      </c>
      <c r="G25" s="34"/>
      <c r="H25" s="35" t="n">
        <f aca="false">IF(G25&lt;&gt;"",G25,INDEX(D25:F25,MATCH(preset,$D$6:$F$6,0)))</f>
        <v>100</v>
      </c>
      <c r="I25" s="36" t="n">
        <v>1</v>
      </c>
      <c r="J25" s="37" t="n">
        <f aca="false">H25*I25</f>
        <v>100</v>
      </c>
      <c r="K25" s="2"/>
    </row>
    <row r="26" customFormat="false" ht="15" hidden="false" customHeight="false" outlineLevel="0" collapsed="false">
      <c r="A26" s="7" t="s">
        <v>97</v>
      </c>
      <c r="B26" s="7" t="s">
        <v>101</v>
      </c>
      <c r="C26" s="5" t="s">
        <v>102</v>
      </c>
      <c r="D26" s="33" t="n">
        <v>0.05</v>
      </c>
      <c r="E26" s="33" t="n">
        <v>0.05</v>
      </c>
      <c r="F26" s="33" t="n">
        <v>0.05</v>
      </c>
      <c r="G26" s="34"/>
      <c r="H26" s="35" t="n">
        <f aca="false">IF(G26&lt;&gt;"",G26,INDEX(D26:F26,MATCH(preset,$D$6:$F$6,0)))</f>
        <v>0.05</v>
      </c>
      <c r="I26" s="36" t="n">
        <v>1E-015</v>
      </c>
      <c r="J26" s="37" t="n">
        <f aca="false">H26*I26</f>
        <v>5E-017</v>
      </c>
      <c r="K26" s="2"/>
    </row>
    <row r="27" customFormat="false" ht="15" hidden="false" customHeight="false" outlineLevel="0" collapsed="false">
      <c r="A27" s="7" t="s">
        <v>97</v>
      </c>
      <c r="B27" s="5" t="s">
        <v>103</v>
      </c>
      <c r="C27" s="5" t="s">
        <v>6</v>
      </c>
      <c r="D27" s="33" t="n">
        <v>8</v>
      </c>
      <c r="E27" s="33" t="n">
        <v>8</v>
      </c>
      <c r="F27" s="33" t="n">
        <v>8</v>
      </c>
      <c r="G27" s="34"/>
      <c r="H27" s="35" t="n">
        <f aca="false">IF(G27&lt;&gt;"",G27,INDEX(D27:F27,MATCH(preset,$D$6:$F$6,0)))</f>
        <v>8</v>
      </c>
      <c r="I27" s="36" t="n">
        <v>1</v>
      </c>
      <c r="J27" s="37" t="n">
        <f aca="false">H27*I27</f>
        <v>8</v>
      </c>
      <c r="K27" s="2"/>
    </row>
    <row r="28" customFormat="false" ht="15" hidden="false" customHeight="false" outlineLevel="0" collapsed="false">
      <c r="A28" s="7" t="s">
        <v>97</v>
      </c>
      <c r="B28" s="7" t="s">
        <v>104</v>
      </c>
      <c r="C28" s="5" t="s">
        <v>99</v>
      </c>
      <c r="D28" s="33" t="n">
        <v>20</v>
      </c>
      <c r="E28" s="33" t="n">
        <v>12</v>
      </c>
      <c r="F28" s="33" t="n">
        <v>20</v>
      </c>
      <c r="G28" s="34"/>
      <c r="H28" s="35" t="n">
        <f aca="false">IF(G28&lt;&gt;"",G28,INDEX(D28:F28,MATCH(preset,$D$6:$F$6,0)))</f>
        <v>20</v>
      </c>
      <c r="I28" s="36" t="n">
        <v>1E-009</v>
      </c>
      <c r="J28" s="37" t="n">
        <f aca="false">H28*I28</f>
        <v>2E-008</v>
      </c>
      <c r="K28" s="2" t="s">
        <v>105</v>
      </c>
    </row>
    <row r="30" customFormat="false" ht="15" hidden="false" customHeight="false" outlineLevel="0" collapsed="false">
      <c r="A30" s="2" t="s">
        <v>106</v>
      </c>
    </row>
  </sheetData>
  <dataValidations count="1">
    <dataValidation allowBlank="false" errorStyle="stop" operator="between" showDropDown="false" showErrorMessage="false" showInputMessage="false" sqref="C4" type="list">
      <formula1>"標準,高SNR,小型"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19.4" hidden="false" customHeight="false" outlineLevel="0" collapsed="false">
      <c r="A1" s="29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4" t="s">
        <v>109</v>
      </c>
      <c r="B4" s="4" t="s">
        <v>110</v>
      </c>
      <c r="C4" s="4" t="s">
        <v>3</v>
      </c>
      <c r="D4" s="4" t="s">
        <v>4</v>
      </c>
      <c r="E4" s="4" t="s">
        <v>111</v>
      </c>
    </row>
    <row r="5" customFormat="false" ht="15" hidden="false" customHeight="false" outlineLevel="0" collapsed="false">
      <c r="A5" s="7" t="s">
        <v>112</v>
      </c>
      <c r="B5" s="5" t="s">
        <v>113</v>
      </c>
      <c r="C5" s="41" t="n">
        <v>1.380649E-023</v>
      </c>
      <c r="D5" s="5" t="s">
        <v>114</v>
      </c>
      <c r="E5" s="42" t="s">
        <v>115</v>
      </c>
    </row>
    <row r="6" customFormat="false" ht="15" hidden="false" customHeight="false" outlineLevel="0" collapsed="false">
      <c r="A6" s="7" t="s">
        <v>116</v>
      </c>
      <c r="B6" s="5" t="s">
        <v>117</v>
      </c>
      <c r="C6" s="41" t="n">
        <v>8.8541878128E-012</v>
      </c>
      <c r="D6" s="5" t="s">
        <v>118</v>
      </c>
      <c r="E6" s="42" t="s">
        <v>115</v>
      </c>
    </row>
    <row r="7" customFormat="false" ht="15" hidden="false" customHeight="false" outlineLevel="0" collapsed="false">
      <c r="A7" s="7" t="s">
        <v>119</v>
      </c>
      <c r="B7" s="5" t="s">
        <v>120</v>
      </c>
      <c r="C7" s="41" t="n">
        <v>101325</v>
      </c>
      <c r="D7" s="5" t="s">
        <v>121</v>
      </c>
      <c r="E7" s="2" t="s">
        <v>122</v>
      </c>
    </row>
    <row r="8" customFormat="false" ht="15" hidden="false" customHeight="false" outlineLevel="0" collapsed="false">
      <c r="A8" s="7" t="s">
        <v>123</v>
      </c>
      <c r="B8" s="5" t="s">
        <v>124</v>
      </c>
      <c r="C8" s="41" t="n">
        <v>287.05</v>
      </c>
      <c r="D8" s="5" t="s">
        <v>125</v>
      </c>
      <c r="E8" s="2" t="s">
        <v>126</v>
      </c>
    </row>
    <row r="9" customFormat="false" ht="15" hidden="false" customHeight="false" outlineLevel="0" collapsed="false">
      <c r="A9" s="7" t="s">
        <v>127</v>
      </c>
      <c r="B9" s="5" t="s">
        <v>128</v>
      </c>
      <c r="C9" s="41" t="n">
        <v>1.4</v>
      </c>
      <c r="D9" s="5" t="s">
        <v>79</v>
      </c>
      <c r="E9" s="2" t="s">
        <v>129</v>
      </c>
    </row>
    <row r="10" customFormat="false" ht="15" hidden="false" customHeight="false" outlineLevel="0" collapsed="false">
      <c r="A10" s="7" t="s">
        <v>130</v>
      </c>
      <c r="B10" s="5" t="s">
        <v>131</v>
      </c>
      <c r="C10" s="41" t="n">
        <v>2330</v>
      </c>
      <c r="D10" s="5" t="s">
        <v>132</v>
      </c>
      <c r="E10" s="2" t="s">
        <v>133</v>
      </c>
    </row>
    <row r="11" customFormat="false" ht="15" hidden="false" customHeight="false" outlineLevel="0" collapsed="false">
      <c r="A11" s="7" t="s">
        <v>134</v>
      </c>
      <c r="B11" s="5" t="s">
        <v>135</v>
      </c>
      <c r="C11" s="41" t="n">
        <v>2E-005</v>
      </c>
      <c r="D11" s="5" t="s">
        <v>121</v>
      </c>
      <c r="E11" s="42" t="s">
        <v>136</v>
      </c>
    </row>
    <row r="12" customFormat="false" ht="15" hidden="false" customHeight="false" outlineLevel="0" collapsed="false">
      <c r="A12" s="7" t="s">
        <v>137</v>
      </c>
      <c r="B12" s="5" t="s">
        <v>138</v>
      </c>
      <c r="C12" s="37" t="n">
        <f aca="false">p_T+273.15</f>
        <v>298.15</v>
      </c>
      <c r="D12" s="5" t="s">
        <v>139</v>
      </c>
      <c r="E12" s="2"/>
    </row>
    <row r="13" customFormat="false" ht="15" hidden="false" customHeight="false" outlineLevel="0" collapsed="false">
      <c r="A13" s="5" t="s">
        <v>140</v>
      </c>
      <c r="B13" s="5" t="s">
        <v>141</v>
      </c>
      <c r="C13" s="37" t="n">
        <f aca="false">4*L_kB*L_Tk</f>
        <v>1.6465619974E-020</v>
      </c>
      <c r="D13" s="5" t="s">
        <v>142</v>
      </c>
      <c r="E13" s="2"/>
    </row>
    <row r="14" customFormat="false" ht="15" hidden="false" customHeight="false" outlineLevel="0" collapsed="false">
      <c r="A14" s="7" t="s">
        <v>143</v>
      </c>
      <c r="B14" s="5" t="s">
        <v>144</v>
      </c>
      <c r="C14" s="37" t="n">
        <f aca="false">L_P0/(L_Rair*L_Tk)</f>
        <v>1.18392515326251</v>
      </c>
      <c r="D14" s="5" t="s">
        <v>132</v>
      </c>
      <c r="E14" s="2" t="s">
        <v>145</v>
      </c>
    </row>
    <row r="15" customFormat="false" ht="15" hidden="false" customHeight="false" outlineLevel="0" collapsed="false">
      <c r="A15" s="7" t="s">
        <v>146</v>
      </c>
      <c r="B15" s="5" t="s">
        <v>147</v>
      </c>
      <c r="C15" s="37" t="n">
        <f aca="false">0.00001716*(L_Tk/273.15)^1.5*(273.15+110.4)/(L_Tk+110.4)</f>
        <v>1.83714937345839E-005</v>
      </c>
      <c r="D15" s="5" t="s">
        <v>148</v>
      </c>
      <c r="E15" s="42" t="s">
        <v>149</v>
      </c>
    </row>
    <row r="16" customFormat="false" ht="15" hidden="false" customHeight="false" outlineLevel="0" collapsed="false">
      <c r="A16" s="5" t="s">
        <v>150</v>
      </c>
      <c r="B16" s="5" t="s">
        <v>151</v>
      </c>
      <c r="C16" s="37" t="n">
        <f aca="false">L_gam*L_P0</f>
        <v>141855</v>
      </c>
      <c r="D16" s="5" t="s">
        <v>121</v>
      </c>
      <c r="E16" s="2"/>
    </row>
    <row r="17" customFormat="false" ht="15" hidden="false" customHeight="false" outlineLevel="0" collapsed="false">
      <c r="A17" s="7" t="s">
        <v>152</v>
      </c>
      <c r="B17" s="5" t="s">
        <v>153</v>
      </c>
      <c r="C17" s="37" t="n">
        <f aca="false">L_mu/L_P0*SQRT(PI()*L_Rair*L_Tk/2)</f>
        <v>6.64789233917117E-008</v>
      </c>
      <c r="D17" s="5" t="s">
        <v>154</v>
      </c>
      <c r="E17" s="2"/>
    </row>
    <row r="18" customFormat="false" ht="15" hidden="false" customHeight="false" outlineLevel="0" collapsed="false">
      <c r="A18" s="7" t="s">
        <v>155</v>
      </c>
      <c r="B18" s="5" t="s">
        <v>156</v>
      </c>
      <c r="C18" s="37" t="n">
        <f aca="false">PI()*p_a^2</f>
        <v>3.8484510006475E-007</v>
      </c>
      <c r="D18" s="5" t="s">
        <v>157</v>
      </c>
      <c r="E18" s="2"/>
    </row>
    <row r="19" customFormat="false" ht="15" hidden="false" customHeight="false" outlineLevel="0" collapsed="false">
      <c r="A19" s="7" t="s">
        <v>158</v>
      </c>
      <c r="B19" s="5" t="s">
        <v>159</v>
      </c>
      <c r="C19" s="37" t="n">
        <f aca="false">L_eps0*L_A/p_g0</f>
        <v>1.36299631792364E-012</v>
      </c>
      <c r="D19" s="5" t="s">
        <v>160</v>
      </c>
      <c r="E19" s="2"/>
    </row>
    <row r="20" customFormat="false" ht="15" hidden="false" customHeight="false" outlineLevel="0" collapsed="false">
      <c r="A20" s="7" t="s">
        <v>161</v>
      </c>
      <c r="B20" s="5" t="s">
        <v>162</v>
      </c>
      <c r="C20" s="37" t="n">
        <f aca="false">L_A/p_sm</f>
        <v>192.422550032375</v>
      </c>
      <c r="D20" s="5" t="s">
        <v>163</v>
      </c>
      <c r="E20" s="42" t="s">
        <v>164</v>
      </c>
    </row>
    <row r="21" customFormat="false" ht="15" hidden="false" customHeight="false" outlineLevel="0" collapsed="false">
      <c r="A21" s="7" t="s">
        <v>165</v>
      </c>
      <c r="B21" s="5" t="s">
        <v>166</v>
      </c>
      <c r="C21" s="37" t="n">
        <f aca="false">L_eps0*L_A*p_Vbias^2/p_g0^3</f>
        <v>21.8079410867783</v>
      </c>
      <c r="D21" s="5" t="s">
        <v>163</v>
      </c>
      <c r="E21" s="2" t="s">
        <v>167</v>
      </c>
    </row>
    <row r="22" customFormat="false" ht="15" hidden="false" customHeight="false" outlineLevel="0" collapsed="false">
      <c r="A22" s="7" t="s">
        <v>168</v>
      </c>
      <c r="B22" s="5" t="s">
        <v>169</v>
      </c>
      <c r="C22" s="37" t="n">
        <f aca="false">SQRT(8*L_km*p_g0^3/(27*L_eps0*L_A))</f>
        <v>16.1690223611115</v>
      </c>
      <c r="D22" s="5" t="s">
        <v>89</v>
      </c>
      <c r="E22" s="2" t="s">
        <v>170</v>
      </c>
    </row>
    <row r="23" customFormat="false" ht="15" hidden="false" customHeight="false" outlineLevel="0" collapsed="false">
      <c r="A23" s="7" t="s">
        <v>171</v>
      </c>
      <c r="B23" s="5" t="s">
        <v>172</v>
      </c>
      <c r="C23" s="37" t="n">
        <f aca="false">MAX(L_km-L_ke,L_km*0.001)</f>
        <v>170.614608945597</v>
      </c>
      <c r="D23" s="5" t="s">
        <v>163</v>
      </c>
      <c r="E23" s="2"/>
    </row>
    <row r="24" customFormat="false" ht="15" hidden="false" customHeight="false" outlineLevel="0" collapsed="false">
      <c r="A24" s="7" t="s">
        <v>173</v>
      </c>
      <c r="B24" s="5" t="s">
        <v>174</v>
      </c>
      <c r="C24" s="37" t="n">
        <f aca="false">L_A^2/L_keff</f>
        <v>8.68071919275525E-016</v>
      </c>
      <c r="D24" s="5" t="s">
        <v>175</v>
      </c>
      <c r="E24" s="2"/>
    </row>
    <row r="25" customFormat="false" ht="15" hidden="false" customHeight="false" outlineLevel="0" collapsed="false">
      <c r="A25" s="7" t="s">
        <v>176</v>
      </c>
      <c r="B25" s="5" t="s">
        <v>177</v>
      </c>
      <c r="C25" s="37" t="n">
        <f aca="false">L_rhoSi*p_h/L_A</f>
        <v>3632.63037457093</v>
      </c>
      <c r="D25" s="5" t="s">
        <v>178</v>
      </c>
      <c r="E25" s="2" t="s">
        <v>179</v>
      </c>
    </row>
    <row r="26" customFormat="false" ht="15" hidden="false" customHeight="false" outlineLevel="0" collapsed="false">
      <c r="A26" s="7" t="s">
        <v>180</v>
      </c>
      <c r="B26" s="5" t="s">
        <v>181</v>
      </c>
      <c r="C26" s="37" t="n">
        <f aca="false">L_lam/p_g0</f>
        <v>0.0265915693566847</v>
      </c>
      <c r="D26" s="5" t="s">
        <v>79</v>
      </c>
      <c r="E26" s="2"/>
    </row>
    <row r="27" customFormat="false" ht="15" hidden="false" customHeight="false" outlineLevel="0" collapsed="false">
      <c r="A27" s="7" t="s">
        <v>182</v>
      </c>
      <c r="B27" s="5" t="s">
        <v>183</v>
      </c>
      <c r="C27" s="37" t="n">
        <f aca="false">L_mu/(1+9.638*L_Kn^1.159)</f>
        <v>1.60594509095607E-005</v>
      </c>
      <c r="D27" s="5" t="s">
        <v>148</v>
      </c>
      <c r="E27" s="42" t="s">
        <v>184</v>
      </c>
    </row>
    <row r="28" customFormat="false" ht="15" hidden="false" customHeight="false" outlineLevel="0" collapsed="false">
      <c r="A28" s="7" t="s">
        <v>185</v>
      </c>
      <c r="B28" s="5" t="s">
        <v>186</v>
      </c>
      <c r="C28" s="37" t="n">
        <f aca="false">p_phi*L_A/(PI()*p_rh^2)</f>
        <v>1531.25</v>
      </c>
      <c r="D28" s="5" t="s">
        <v>79</v>
      </c>
      <c r="E28" s="2"/>
    </row>
    <row r="29" customFormat="false" ht="15" hidden="false" customHeight="false" outlineLevel="0" collapsed="false">
      <c r="A29" s="5" t="s">
        <v>187</v>
      </c>
      <c r="B29" s="5" t="s">
        <v>188</v>
      </c>
      <c r="C29" s="37" t="n">
        <f aca="false">p_phi/2-p_phi^2/8-LN(p_phi)/4-3/8</f>
        <v>0.122359478108525</v>
      </c>
      <c r="D29" s="5" t="s">
        <v>79</v>
      </c>
      <c r="E29" s="42" t="s">
        <v>189</v>
      </c>
    </row>
    <row r="30" customFormat="false" ht="15" hidden="false" customHeight="false" outlineLevel="0" collapsed="false">
      <c r="A30" s="7" t="s">
        <v>190</v>
      </c>
      <c r="B30" s="5" t="s">
        <v>191</v>
      </c>
      <c r="C30" s="37" t="n">
        <f aca="false">12*L_muEff*L_B/(L_N*PI()*p_g0^3)</f>
        <v>313713749.729363</v>
      </c>
      <c r="D30" s="5" t="s">
        <v>85</v>
      </c>
      <c r="E30" s="2"/>
    </row>
    <row r="31" customFormat="false" ht="15" hidden="false" customHeight="false" outlineLevel="0" collapsed="false">
      <c r="A31" s="7" t="s">
        <v>192</v>
      </c>
      <c r="B31" s="5" t="s">
        <v>193</v>
      </c>
      <c r="C31" s="37" t="n">
        <f aca="false">8*L_mu*p_tbp/(L_N*PI()*p_rh^4)</f>
        <v>238686860.395169</v>
      </c>
      <c r="D31" s="5" t="s">
        <v>85</v>
      </c>
      <c r="E31" s="42" t="s">
        <v>194</v>
      </c>
    </row>
    <row r="32" customFormat="false" ht="15" hidden="false" customHeight="false" outlineLevel="0" collapsed="false">
      <c r="A32" s="7" t="s">
        <v>195</v>
      </c>
      <c r="B32" s="5" t="s">
        <v>196</v>
      </c>
      <c r="C32" s="37" t="n">
        <f aca="false">L_rho*(p_tbp+1.7*p_rh)/(L_N*PI()*p_rh^2)</f>
        <v>135.360192282001</v>
      </c>
      <c r="D32" s="5" t="s">
        <v>178</v>
      </c>
      <c r="E32" s="2" t="s">
        <v>197</v>
      </c>
    </row>
    <row r="33" customFormat="false" ht="15" hidden="false" customHeight="false" outlineLevel="0" collapsed="false">
      <c r="A33" s="7" t="s">
        <v>198</v>
      </c>
      <c r="B33" s="5" t="s">
        <v>199</v>
      </c>
      <c r="C33" s="37" t="n">
        <f aca="false">L_rho*(p_Lp+1.7*p_rp)/(PI()*p_rp^2)</f>
        <v>14772.7191667766</v>
      </c>
      <c r="D33" s="5" t="s">
        <v>178</v>
      </c>
      <c r="E33" s="2" t="s">
        <v>197</v>
      </c>
    </row>
    <row r="34" customFormat="false" ht="15" hidden="false" customHeight="false" outlineLevel="0" collapsed="false">
      <c r="A34" s="7" t="s">
        <v>200</v>
      </c>
      <c r="B34" s="5" t="s">
        <v>201</v>
      </c>
      <c r="C34" s="37" t="n">
        <f aca="false">8*L_mu*p_Lp/(PI()*p_rp^4)</f>
        <v>76648652.206003</v>
      </c>
      <c r="D34" s="5" t="s">
        <v>85</v>
      </c>
      <c r="E34" s="42" t="s">
        <v>194</v>
      </c>
    </row>
    <row r="35" customFormat="false" ht="15" hidden="false" customHeight="false" outlineLevel="0" collapsed="false">
      <c r="A35" s="7" t="s">
        <v>202</v>
      </c>
      <c r="B35" s="5" t="s">
        <v>203</v>
      </c>
      <c r="C35" s="37" t="n">
        <f aca="false">p_Lp/(PI()*p_rp^3)*SQRT(2*L_rho*L_mu)</f>
        <v>429961.367709527</v>
      </c>
      <c r="D35" s="5" t="s">
        <v>204</v>
      </c>
      <c r="E35" s="42" t="s">
        <v>205</v>
      </c>
    </row>
    <row r="36" customFormat="false" ht="15" hidden="false" customHeight="false" outlineLevel="0" collapsed="false">
      <c r="A36" s="7" t="s">
        <v>206</v>
      </c>
      <c r="B36" s="5" t="s">
        <v>207</v>
      </c>
      <c r="C36" s="37" t="n">
        <f aca="false">p_Vf/L_gP0</f>
        <v>1.05741778576716E-015</v>
      </c>
      <c r="D36" s="5" t="s">
        <v>175</v>
      </c>
      <c r="E36" s="2"/>
    </row>
    <row r="37" customFormat="false" ht="15" hidden="false" customHeight="false" outlineLevel="0" collapsed="false">
      <c r="A37" s="7" t="s">
        <v>208</v>
      </c>
      <c r="B37" s="5" t="s">
        <v>209</v>
      </c>
      <c r="C37" s="37" t="n">
        <f aca="false">p_Vb/L_gP0</f>
        <v>1.05741778576716E-014</v>
      </c>
      <c r="D37" s="5" t="s">
        <v>175</v>
      </c>
      <c r="E37" s="2"/>
    </row>
    <row r="38" customFormat="false" ht="15" hidden="false" customHeight="false" outlineLevel="0" collapsed="false">
      <c r="A38" s="7" t="s">
        <v>210</v>
      </c>
      <c r="B38" s="5" t="s">
        <v>211</v>
      </c>
      <c r="C38" s="37" t="n">
        <f aca="false">L_C0+p_Cp+p_Ci</f>
        <v>2.46299631792364E-012</v>
      </c>
      <c r="D38" s="5" t="s">
        <v>160</v>
      </c>
      <c r="E38" s="2"/>
    </row>
    <row r="39" customFormat="false" ht="15" hidden="false" customHeight="false" outlineLevel="0" collapsed="false">
      <c r="A39" s="7" t="s">
        <v>212</v>
      </c>
      <c r="B39" s="5" t="s">
        <v>213</v>
      </c>
      <c r="C39" s="37" t="n">
        <f aca="false">10^(p_G/20)</f>
        <v>2.51188643150958</v>
      </c>
      <c r="D39" s="5" t="s">
        <v>214</v>
      </c>
      <c r="E39" s="2"/>
    </row>
    <row r="40" customFormat="false" ht="15" hidden="false" customHeight="false" outlineLevel="0" collapsed="false">
      <c r="A40" s="7" t="s">
        <v>215</v>
      </c>
      <c r="B40" s="5" t="s">
        <v>216</v>
      </c>
      <c r="C40" s="37" t="n">
        <f aca="false">1/p_Rv</f>
        <v>2E-012</v>
      </c>
      <c r="D40" s="5" t="s">
        <v>217</v>
      </c>
      <c r="E40" s="2"/>
    </row>
    <row r="41" customFormat="false" ht="15" hidden="false" customHeight="false" outlineLevel="0" collapsed="false">
      <c r="A41" s="7" t="s">
        <v>218</v>
      </c>
      <c r="B41" s="5" t="s">
        <v>219</v>
      </c>
      <c r="C41" s="37" t="n">
        <f aca="false">p_Vbias*L_C0/(p_g0*L_A)</f>
        <v>14.16670050048</v>
      </c>
      <c r="D41" s="5"/>
      <c r="E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12" min="5" style="0" width="22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58" min="15" style="0" width="12"/>
  </cols>
  <sheetData>
    <row r="1" customFormat="false" ht="19.4" hidden="false" customHeight="false" outlineLevel="0" collapsed="false">
      <c r="A1" s="29" t="s">
        <v>220</v>
      </c>
    </row>
    <row r="2" customFormat="false" ht="15" hidden="false" customHeight="false" outlineLevel="0" collapsed="false">
      <c r="A2" s="2" t="s">
        <v>221</v>
      </c>
    </row>
    <row r="4" customFormat="false" ht="42" hidden="false" customHeight="true" outlineLevel="0" collapsed="false">
      <c r="A4" s="43" t="s">
        <v>222</v>
      </c>
      <c r="B4" s="43" t="s">
        <v>223</v>
      </c>
      <c r="C4" s="43" t="s">
        <v>224</v>
      </c>
      <c r="D4" s="43" t="s">
        <v>225</v>
      </c>
      <c r="E4" s="43" t="s">
        <v>226</v>
      </c>
      <c r="F4" s="43" t="s">
        <v>227</v>
      </c>
      <c r="G4" s="43" t="s">
        <v>228</v>
      </c>
      <c r="H4" s="43" t="s">
        <v>229</v>
      </c>
      <c r="I4" s="43" t="s">
        <v>230</v>
      </c>
      <c r="J4" s="43" t="s">
        <v>231</v>
      </c>
      <c r="K4" s="43" t="s">
        <v>232</v>
      </c>
      <c r="L4" s="43" t="s">
        <v>233</v>
      </c>
      <c r="M4" s="43" t="s">
        <v>234</v>
      </c>
      <c r="N4" s="43" t="s">
        <v>235</v>
      </c>
      <c r="O4" s="43" t="s">
        <v>236</v>
      </c>
      <c r="P4" s="43" t="s">
        <v>237</v>
      </c>
      <c r="Q4" s="43" t="s">
        <v>238</v>
      </c>
      <c r="R4" s="43" t="s">
        <v>239</v>
      </c>
      <c r="S4" s="44" t="s">
        <v>240</v>
      </c>
      <c r="T4" s="44" t="s">
        <v>241</v>
      </c>
      <c r="U4" s="44" t="s">
        <v>242</v>
      </c>
      <c r="V4" s="44" t="s">
        <v>243</v>
      </c>
      <c r="W4" s="44" t="s">
        <v>244</v>
      </c>
      <c r="X4" s="44" t="s">
        <v>245</v>
      </c>
      <c r="Y4" s="44" t="s">
        <v>246</v>
      </c>
      <c r="Z4" s="44" t="s">
        <v>247</v>
      </c>
      <c r="AA4" s="44" t="s">
        <v>248</v>
      </c>
      <c r="AB4" s="44" t="s">
        <v>249</v>
      </c>
      <c r="AC4" s="44" t="s">
        <v>250</v>
      </c>
      <c r="AD4" s="44" t="s">
        <v>251</v>
      </c>
      <c r="AE4" s="44" t="s">
        <v>252</v>
      </c>
      <c r="AF4" s="44" t="s">
        <v>253</v>
      </c>
      <c r="AG4" s="44" t="s">
        <v>254</v>
      </c>
      <c r="AH4" s="44" t="s">
        <v>255</v>
      </c>
      <c r="AI4" s="44" t="s">
        <v>256</v>
      </c>
      <c r="AJ4" s="44" t="s">
        <v>257</v>
      </c>
      <c r="AK4" s="44" t="s">
        <v>258</v>
      </c>
      <c r="AL4" s="43" t="s">
        <v>259</v>
      </c>
      <c r="AM4" s="43" t="s">
        <v>260</v>
      </c>
      <c r="AN4" s="43" t="s">
        <v>261</v>
      </c>
      <c r="AO4" s="43" t="s">
        <v>262</v>
      </c>
      <c r="AP4" s="43" t="s">
        <v>263</v>
      </c>
      <c r="AQ4" s="43" t="s">
        <v>264</v>
      </c>
      <c r="AR4" s="43" t="s">
        <v>265</v>
      </c>
      <c r="AS4" s="43" t="s">
        <v>266</v>
      </c>
      <c r="AT4" s="43" t="s">
        <v>267</v>
      </c>
      <c r="AU4" s="43" t="s">
        <v>268</v>
      </c>
      <c r="AV4" s="43" t="s">
        <v>269</v>
      </c>
      <c r="AW4" s="43" t="s">
        <v>270</v>
      </c>
      <c r="AX4" s="43" t="s">
        <v>271</v>
      </c>
      <c r="AY4" s="43" t="s">
        <v>272</v>
      </c>
      <c r="AZ4" s="43" t="s">
        <v>273</v>
      </c>
      <c r="BA4" s="43" t="s">
        <v>274</v>
      </c>
      <c r="BB4" s="43" t="s">
        <v>275</v>
      </c>
      <c r="BC4" s="43" t="s">
        <v>276</v>
      </c>
      <c r="BD4" s="43" t="s">
        <v>277</v>
      </c>
      <c r="BE4" s="44" t="s">
        <v>278</v>
      </c>
      <c r="BF4" s="44" t="s">
        <v>279</v>
      </c>
    </row>
    <row r="6" customFormat="false" ht="15" hidden="false" customHeight="false" outlineLevel="0" collapsed="false">
      <c r="A6" s="45" t="s">
        <v>280</v>
      </c>
      <c r="B6" s="46" t="n">
        <v>1000</v>
      </c>
      <c r="C6" s="37" t="n">
        <f aca="false">2*PI()*B6</f>
        <v>6283.18530717959</v>
      </c>
      <c r="D6" s="37" t="n">
        <f aca="false">SQRT(L_Rp0^2+L_Rp1^2*C6)</f>
        <v>83884254.2231221</v>
      </c>
      <c r="E6" s="5" t="str">
        <f aca="false">COMPLEX(D6,C6*L_Mp)</f>
        <v>83884254.2231221+92819732.0157811i</v>
      </c>
      <c r="F6" s="5" t="str">
        <f aca="false">IMDIV(1,E6)</f>
        <v>5.35930711787611e-09-5.93018862811097e-09i</v>
      </c>
      <c r="G6" s="5" t="str">
        <f aca="false">COMPLEX(0,C6*L_Cf)</f>
        <v>6.64395189508257e-12i</v>
      </c>
      <c r="H6" s="5" t="str">
        <f aca="false">COMPLEX(0,C6*L_Cbv)</f>
        <v>6.64395189508257e-11i</v>
      </c>
      <c r="I6" s="5" t="str">
        <f aca="false">COMPLEX(L_Rsq+L_Rh,C6*(L_Md+L_Mh)-1/(C6*L_Cd))</f>
        <v>552400610.124532-183319363258.291i</v>
      </c>
      <c r="J6" s="5" t="str">
        <f aca="false">IMDIV(1,I6)</f>
        <v>1.64374152239043e-14+5.45491159356062e-12i</v>
      </c>
      <c r="K6" s="5" t="str">
        <f aca="false">IMSUM(F6,G6,H6)</f>
        <v>5.35930711787611e-09-5.85710515726506e-09i</v>
      </c>
      <c r="L6" s="5" t="str">
        <f aca="false">IMSUM(IMPRODUCT(IMSUM(F6,G6),H6),IMPRODUCT(IMSUM(J6,L_Yv),K6))</f>
        <v>4.36314156990738e-19+3.73493847368169e-19i</v>
      </c>
      <c r="M6" s="37" t="n">
        <f aca="false">IMABS(IMDIV(IMPRODUCT(J6,F6,H6),L6))^2</f>
        <v>2.54402130065058E-023</v>
      </c>
      <c r="N6" s="5" t="str">
        <f aca="false">IMDIV(IMPRODUCT(L_Yv,K6,E6),H6)</f>
        <v>0.000184545359290884-0.0298983625259664i</v>
      </c>
      <c r="O6" s="37" t="n">
        <f aca="false">IMABS(IMSUM(1,IMPRODUCT(E6,G6),N6))^2</f>
        <v>0.999996794401985</v>
      </c>
      <c r="P6" s="37" t="n">
        <f aca="false">IMABS(N6)^2</f>
        <v>0.000893946138723748</v>
      </c>
      <c r="Q6" s="37" t="n">
        <f aca="false">p_Rb^2/(1+(C6*p_Rb*L_Ctot)^2)</f>
        <v>4175540844999117</v>
      </c>
      <c r="R6" s="37" t="n">
        <f aca="false">M6*L_Kt^2*Q6</f>
        <v>2.1319200040353E-005</v>
      </c>
      <c r="S6" s="37" t="n">
        <f aca="false">L_kT4*D6</f>
        <v>1.38120625184033E-012</v>
      </c>
      <c r="T6" s="37" t="n">
        <f aca="false">L_kT4*L_Rsq*O6</f>
        <v>5.16547482517332E-012</v>
      </c>
      <c r="U6" s="37" t="n">
        <f aca="false">L_kT4*L_Rh*O6</f>
        <v>3.93011453764629E-012</v>
      </c>
      <c r="V6" s="37" t="n">
        <f aca="false">L_kT4*p_Rv*P6</f>
        <v>7.35968869872496E-012</v>
      </c>
      <c r="W6" s="37" t="n">
        <f aca="false">L_kT4/p_Rb*Q6/R6</f>
        <v>3.22492723036206E-012</v>
      </c>
      <c r="X6" s="37" t="n">
        <f aca="false">p_en^2*(1+p_fc/B6)/R6</f>
        <v>3.30218769310044E-012</v>
      </c>
      <c r="Y6" s="37" t="n">
        <f aca="false">p_in^2*Q6/R6</f>
        <v>4.89645582045252E-013</v>
      </c>
      <c r="Z6" s="37" t="n">
        <f aca="false">p_eo^2/L_G^2/R6</f>
        <v>2.97364476989986E-012</v>
      </c>
      <c r="AA6" s="37" t="n">
        <f aca="false">SUM(S6:Z6)</f>
        <v>2.78268895887925E-011</v>
      </c>
    </row>
    <row r="7" customFormat="false" ht="15" hidden="false" customHeight="false" outlineLevel="0" collapsed="false">
      <c r="A7" s="42" t="s">
        <v>281</v>
      </c>
    </row>
    <row r="9" customFormat="false" ht="15" hidden="false" customHeight="false" outlineLevel="0" collapsed="false">
      <c r="A9" s="5" t="n">
        <v>-30</v>
      </c>
      <c r="B9" s="47" t="n">
        <f aca="false">20*10^(A9/100)</f>
        <v>10.0237446725454</v>
      </c>
      <c r="C9" s="37" t="n">
        <f aca="false">2*PI()*B9</f>
        <v>62.9810452494572</v>
      </c>
      <c r="D9" s="37" t="n">
        <f aca="false">SQRT(L_Rp0^2+L_Rp1^2*C9)</f>
        <v>76724565.7393359</v>
      </c>
      <c r="E9" s="5" t="str">
        <f aca="false">COMPLEX(D9,C9*L_Mp)</f>
        <v>76724565.7393359+930401.294300282i</v>
      </c>
      <c r="F9" s="5" t="str">
        <f aca="false">IMDIV(1,E9)</f>
        <v>1.30317188467098e-08-1.58029282604593e-10i</v>
      </c>
      <c r="G9" s="5" t="str">
        <f aca="false">COMPLEX(0,C9*L_Cf)</f>
        <v>6.65972774129821e-14i</v>
      </c>
      <c r="H9" s="5" t="str">
        <f aca="false">COMPLEX(0,C9*L_Cbv)</f>
        <v>6.65972774129821e-13i</v>
      </c>
      <c r="I9" s="5" t="str">
        <f aca="false">COMPLEX(L_Rsq+L_Rh,C9*(L_Md+L_Mh)-1/(C9*L_Cd))</f>
        <v>552400610.124532-18290872508422.1i</v>
      </c>
      <c r="J9" s="5" t="str">
        <f aca="false">IMDIV(1,I9)</f>
        <v>1.65114534294454e-18+5.4672077487143e-14i</v>
      </c>
      <c r="K9" s="5" t="str">
        <f aca="false">IMSUM(F9,G9,H9)</f>
        <v>1.30317188467098e-08-1.5729671255305e-10i</v>
      </c>
      <c r="L9" s="5" t="str">
        <f aca="false">IMSUM(IMPRODUCT(IMSUM(F9,G9),H9),IMPRODUCT(IMSUM(J9,L_Yv),K9))</f>
        <v>2.61772577964949e-20+9.07664740977535e-21i</v>
      </c>
      <c r="M9" s="37" t="n">
        <f aca="false">IMABS(IMDIV(IMPRODUCT(J9,F9,H9),L9))^2</f>
        <v>2.93330325759819E-028</v>
      </c>
      <c r="N9" s="5" t="str">
        <f aca="false">IMDIV(IMPRODUCT(L_Yv,K9,E9),H9)</f>
        <v>0.000168794044626555-3.00312372295551i</v>
      </c>
      <c r="O9" s="37" t="n">
        <f aca="false">IMABS(IMSUM(1,IMPRODUCT(E9,G9),N9))^2</f>
        <v>10.0190588982343</v>
      </c>
      <c r="P9" s="37" t="n">
        <f aca="false">IMABS(N9)^2</f>
        <v>9.01875212386959</v>
      </c>
      <c r="Q9" s="37" t="n">
        <f aca="false">p_Rb^2/(1+(C9*p_Rb*L_Ctot)^2)</f>
        <v>4.15560919763084E+019</v>
      </c>
      <c r="R9" s="37" t="n">
        <f aca="false">M9*L_Kt^2*Q9</f>
        <v>2.44640912772155E-006</v>
      </c>
      <c r="S9" s="37" t="n">
        <f aca="false">L_kT4*D9</f>
        <v>1.26331754213409E-012</v>
      </c>
      <c r="T9" s="37" t="n">
        <f aca="false">L_kT4*L_Rsq*O9</f>
        <v>5.17533624112336E-011</v>
      </c>
      <c r="U9" s="37" t="n">
        <f aca="false">L_kT4*L_Rh*O9</f>
        <v>3.93761752536741E-011</v>
      </c>
      <c r="V9" s="37" t="n">
        <f aca="false">L_kT4*p_Rv*P9</f>
        <v>7.4249672555671E-008</v>
      </c>
      <c r="W9" s="37" t="n">
        <f aca="false">L_kT4/p_Rb*Q9/R9</f>
        <v>2.79694352973476E-007</v>
      </c>
      <c r="X9" s="37" t="n">
        <f aca="false">p_en^2*(1+p_fc/B9)/R9</f>
        <v>2.87149002523669E-010</v>
      </c>
      <c r="Y9" s="37" t="n">
        <f aca="false">p_in^2*Q9/R9</f>
        <v>4.24664169061243E-008</v>
      </c>
      <c r="Z9" s="37" t="n">
        <f aca="false">p_eo^2/L_G^2/R9</f>
        <v>2.59137880823262E-011</v>
      </c>
      <c r="AA9" s="37" t="n">
        <f aca="false">SUM(S9:Z9)</f>
        <v>3.96815898081085E-007</v>
      </c>
      <c r="AB9" s="47" t="n">
        <f aca="false">10*LOG10(AA9/L_PREF^2)</f>
        <v>29.9652907213043</v>
      </c>
      <c r="AC9" s="47" t="n">
        <f aca="false">10*LOG10(S9/L_PREF^2)</f>
        <v>-25.0054746463382</v>
      </c>
      <c r="AD9" s="47" t="n">
        <f aca="false">10*LOG10(T9/L_PREF^2)</f>
        <v>-8.88121420209508</v>
      </c>
      <c r="AE9" s="47" t="n">
        <f aca="false">10*LOG10(U9/L_PREF^2)</f>
        <v>-10.0682646202698</v>
      </c>
      <c r="AF9" s="47" t="n">
        <f aca="false">10*LOG10(V9/L_PREF^2)</f>
        <v>22.686345514077</v>
      </c>
      <c r="AG9" s="47" t="n">
        <f aca="false">10*LOG10(W9/L_PREF^2)</f>
        <v>28.4462370673032</v>
      </c>
      <c r="AH9" s="47" t="n">
        <f aca="false">10*LOG10(X9/L_PREF^2)</f>
        <v>-1.43952679327245</v>
      </c>
      <c r="AI9" s="47" t="n">
        <f aca="false">10*LOG10(Y9/L_PREF^2)</f>
        <v>20.259856277144</v>
      </c>
      <c r="AJ9" s="47" t="n">
        <f aca="false">10*LOG10(Z9/L_PREF^2)</f>
        <v>-11.88529088454</v>
      </c>
      <c r="AK9" s="47" t="n">
        <f aca="false">10*LOG10(R9/$R$6)</f>
        <v>-9.40241816188603</v>
      </c>
      <c r="AL9" s="37" t="n">
        <f aca="false">(12194^2*B9^4/((B9^2+20.6^2)*SQRT((B9^2+107.7^2)*(B9^2+737.9^2))*(B9^2+12194^2))*1.2589254)^2</f>
        <v>9.20323953755286E-008</v>
      </c>
      <c r="AM9" s="37" t="n">
        <v>0</v>
      </c>
      <c r="AN9" s="37" t="n">
        <v>0</v>
      </c>
      <c r="AO9" s="37" t="n">
        <v>0</v>
      </c>
      <c r="AP9" s="37" t="n">
        <v>0</v>
      </c>
      <c r="AQ9" s="37" t="n">
        <v>0</v>
      </c>
      <c r="AR9" s="37" t="n">
        <v>0</v>
      </c>
      <c r="AS9" s="37" t="n">
        <v>0</v>
      </c>
      <c r="AT9" s="37" t="n">
        <v>0</v>
      </c>
      <c r="AU9" s="37" t="n">
        <v>0</v>
      </c>
      <c r="AV9" s="37" t="n">
        <v>0</v>
      </c>
      <c r="AW9" s="37" t="n">
        <v>0</v>
      </c>
      <c r="AX9" s="37" t="n">
        <v>0</v>
      </c>
      <c r="AY9" s="37" t="n">
        <v>0</v>
      </c>
      <c r="AZ9" s="37" t="n">
        <v>0</v>
      </c>
      <c r="BA9" s="37" t="n">
        <v>0</v>
      </c>
      <c r="BB9" s="37" t="n">
        <v>0</v>
      </c>
      <c r="BC9" s="37" t="n">
        <v>0</v>
      </c>
      <c r="BD9" s="37" t="n">
        <v>0</v>
      </c>
      <c r="BE9" s="37" t="n">
        <f aca="false">IF(B9&gt;2000,AK9,-999)</f>
        <v>-999</v>
      </c>
      <c r="BF9" s="37" t="n">
        <f aca="false">IF(AND(B9&lt;1000,AK9&gt;=-3),B9,1000000000)</f>
        <v>1000000000</v>
      </c>
    </row>
    <row r="10" customFormat="false" ht="15" hidden="false" customHeight="false" outlineLevel="0" collapsed="false">
      <c r="A10" s="5" t="n">
        <v>-29</v>
      </c>
      <c r="B10" s="47" t="n">
        <f aca="false">20*10^(A10/100)</f>
        <v>10.2572276798273</v>
      </c>
      <c r="C10" s="37" t="n">
        <f aca="false">2*PI()*B10</f>
        <v>64.4480622502866</v>
      </c>
      <c r="D10" s="37" t="n">
        <f aca="false">SQRT(L_Rp0^2+L_Rp1^2*C10)</f>
        <v>76726333.0975454</v>
      </c>
      <c r="E10" s="5" t="str">
        <f aca="false">COMPLEX(D10,C10*L_Mp)</f>
        <v>76726333.0975454+952073.124466422i</v>
      </c>
      <c r="F10" s="5" t="str">
        <f aca="false">IMDIV(1,E10)</f>
        <v>1.30313284605585e-08-1.6170168835801e-10i</v>
      </c>
      <c r="G10" s="5" t="str">
        <f aca="false">COMPLEX(0,C10*L_Cf)</f>
        <v>6.81485272816819e-14i</v>
      </c>
      <c r="H10" s="5" t="str">
        <f aca="false">COMPLEX(0,C10*L_Cbv)</f>
        <v>6.8148527281682e-13i</v>
      </c>
      <c r="I10" s="5" t="str">
        <f aca="false">COMPLEX(L_Rsq+L_Rh,C10*(L_Md+L_Mh)-1/(C10*L_Cd))</f>
        <v>552400610.124532-17874521408057.9i</v>
      </c>
      <c r="J10" s="5" t="str">
        <f aca="false">IMDIV(1,I10)</f>
        <v>1.72896142761858e-18+5.59455537978274e-14i</v>
      </c>
      <c r="K10" s="5" t="str">
        <f aca="false">IMSUM(F10,G10,H10)</f>
        <v>1.30313284605585e-08-1.60952054557912e-10i</v>
      </c>
      <c r="L10" s="5" t="str">
        <f aca="false">IMSUM(IMPRODUCT(IMSUM(F10,G10),H10),IMPRODUCT(IMSUM(J10,L_Yv),K10))</f>
        <v>2.61818348805963e-20+9.28779893116091e-21i</v>
      </c>
      <c r="M10" s="37" t="n">
        <f aca="false">IMABS(IMDIV(IMPRODUCT(J10,F10,H10),L10))^2</f>
        <v>3.19897441103045E-028</v>
      </c>
      <c r="N10" s="5" t="str">
        <f aca="false">IMDIV(IMPRODUCT(L_Yv,K10,E10),H10)</f>
        <v>0.000168797932814447-2.93476418693674i</v>
      </c>
      <c r="O10" s="37" t="n">
        <f aca="false">IMABS(IMSUM(1,IMPRODUCT(E10,G10),N10))^2</f>
        <v>9.6131476370142</v>
      </c>
      <c r="P10" s="37" t="n">
        <f aca="false">IMABS(N10)^2</f>
        <v>8.61284086141921</v>
      </c>
      <c r="Q10" s="37" t="n">
        <f aca="false">p_Rb^2/(1+(C10*p_Rb*L_Ctot)^2)</f>
        <v>3.96858339670939E+019</v>
      </c>
      <c r="R10" s="37" t="n">
        <f aca="false">M10*L_Kt^2*Q10</f>
        <v>2.54790776469032E-006</v>
      </c>
      <c r="S10" s="37" t="n">
        <f aca="false">L_kT4*D10</f>
        <v>1.26334664278272E-012</v>
      </c>
      <c r="T10" s="37" t="n">
        <f aca="false">L_kT4*L_Rsq*O10</f>
        <v>4.96566312888699E-011</v>
      </c>
      <c r="U10" s="37" t="n">
        <f aca="false">L_kT4*L_Rh*O10</f>
        <v>3.77808923911232E-011</v>
      </c>
      <c r="V10" s="37" t="n">
        <f aca="false">L_kT4*p_Rv*P10</f>
        <v>7.09078822603337E-008</v>
      </c>
      <c r="W10" s="37" t="n">
        <f aca="false">L_kT4/p_Rb*Q10/R10</f>
        <v>2.56466057959069E-007</v>
      </c>
      <c r="X10" s="37" t="n">
        <f aca="false">p_en^2*(1+p_fc/B10)/R10</f>
        <v>2.70005956046133E-010</v>
      </c>
      <c r="Y10" s="37" t="n">
        <f aca="false">p_in^2*Q10/R10</f>
        <v>3.89396297199926E-008</v>
      </c>
      <c r="Z10" s="37" t="n">
        <f aca="false">p_eo^2/L_G^2/R10</f>
        <v>2.4881484556467E-011</v>
      </c>
      <c r="AA10" s="37" t="n">
        <f aca="false">SUM(S10:Z10)</f>
        <v>3.66697158250321E-007</v>
      </c>
      <c r="AB10" s="47" t="n">
        <f aca="false">10*LOG10(AA10/L_PREF^2)</f>
        <v>29.62247553045</v>
      </c>
      <c r="AC10" s="47" t="n">
        <f aca="false">10*LOG10(S10/L_PREF^2)</f>
        <v>-25.0053746073128</v>
      </c>
      <c r="AD10" s="47" t="n">
        <f aca="false">10*LOG10(T10/L_PREF^2)</f>
        <v>-9.06082737693776</v>
      </c>
      <c r="AE10" s="47" t="n">
        <f aca="false">10*LOG10(U10/L_PREF^2)</f>
        <v>-10.2478777951125</v>
      </c>
      <c r="AF10" s="47" t="n">
        <f aca="false">10*LOG10(V10/L_PREF^2)</f>
        <v>22.4863452357153</v>
      </c>
      <c r="AG10" s="47" t="n">
        <f aca="false">10*LOG10(W10/L_PREF^2)</f>
        <v>28.0696990515115</v>
      </c>
      <c r="AH10" s="47" t="n">
        <f aca="false">10*LOG10(X10/L_PREF^2)</f>
        <v>-1.70686646985865</v>
      </c>
      <c r="AI10" s="47" t="n">
        <f aca="false">10*LOG10(Y10/L_PREF^2)</f>
        <v>19.8833182613523</v>
      </c>
      <c r="AJ10" s="47" t="n">
        <f aca="false">10*LOG10(Z10/L_PREF^2)</f>
        <v>-12.0618370230889</v>
      </c>
      <c r="AK10" s="47" t="n">
        <f aca="false">10*LOG10(R10/$R$6)</f>
        <v>-9.2258720233371</v>
      </c>
      <c r="AL10" s="37" t="n">
        <f aca="false">(12194^2*B10^4/((B10^2+20.6^2)*SQRT((B10^2+107.7^2)*(B10^2+737.9^2))*(B10^2+12194^2))*1.2589254)^2</f>
        <v>1.08632454202901E-007</v>
      </c>
      <c r="AM10" s="37" t="n">
        <v>0</v>
      </c>
      <c r="AN10" s="37" t="n">
        <v>0</v>
      </c>
      <c r="AO10" s="37" t="n">
        <v>0</v>
      </c>
      <c r="AP10" s="37" t="n">
        <v>0</v>
      </c>
      <c r="AQ10" s="37" t="n">
        <v>0</v>
      </c>
      <c r="AR10" s="37" t="n">
        <v>0</v>
      </c>
      <c r="AS10" s="37" t="n">
        <v>0</v>
      </c>
      <c r="AT10" s="37" t="n">
        <v>0</v>
      </c>
      <c r="AU10" s="37" t="n">
        <v>0</v>
      </c>
      <c r="AV10" s="37" t="n">
        <v>0</v>
      </c>
      <c r="AW10" s="37" t="n">
        <v>0</v>
      </c>
      <c r="AX10" s="37" t="n">
        <v>0</v>
      </c>
      <c r="AY10" s="37" t="n">
        <v>0</v>
      </c>
      <c r="AZ10" s="37" t="n">
        <v>0</v>
      </c>
      <c r="BA10" s="37" t="n">
        <v>0</v>
      </c>
      <c r="BB10" s="37" t="n">
        <v>0</v>
      </c>
      <c r="BC10" s="37" t="n">
        <v>0</v>
      </c>
      <c r="BD10" s="37" t="n">
        <v>0</v>
      </c>
      <c r="BE10" s="37" t="n">
        <f aca="false">IF(B10&gt;2000,AK10,-999)</f>
        <v>-999</v>
      </c>
      <c r="BF10" s="37" t="n">
        <f aca="false">IF(AND(B10&lt;1000,AK10&gt;=-3),B10,1000000000)</f>
        <v>1000000000</v>
      </c>
    </row>
    <row r="11" customFormat="false" ht="15" hidden="false" customHeight="false" outlineLevel="0" collapsed="false">
      <c r="A11" s="5" t="n">
        <v>-28</v>
      </c>
      <c r="B11" s="47" t="n">
        <f aca="false">20*10^(A11/100)</f>
        <v>10.4961492049955</v>
      </c>
      <c r="C11" s="37" t="n">
        <f aca="false">2*PI()*B11</f>
        <v>65.9492504667921</v>
      </c>
      <c r="D11" s="37" t="n">
        <f aca="false">SQRT(L_Rp0^2+L_Rp1^2*C11)</f>
        <v>76728141.5806732</v>
      </c>
      <c r="E11" s="5" t="str">
        <f aca="false">COMPLEX(D11,C11*L_Mp)</f>
        <v>76728141.5806732+974249.756405332i</v>
      </c>
      <c r="F11" s="5" t="str">
        <f aca="false">IMDIV(1,E11)</f>
        <v>1.3030926864798e-08-1.65459205217646e-10i</v>
      </c>
      <c r="G11" s="5" t="str">
        <f aca="false">COMPLEX(0,C11*L_Cf)</f>
        <v>6.97359104015989e-14i</v>
      </c>
      <c r="H11" s="5" t="str">
        <f aca="false">COMPLEX(0,C11*L_Cbv)</f>
        <v>6.97359104015989e-13i</v>
      </c>
      <c r="I11" s="5" t="str">
        <f aca="false">COMPLEX(L_Rsq+L_Rh,C11*(L_Md+L_Mh)-1/(C11*L_Cd))</f>
        <v>552400610.124532-17467647615541.4i</v>
      </c>
      <c r="J11" s="5" t="str">
        <f aca="false">IMDIV(1,I11)</f>
        <v>1.81044487157516e-18+5.72486931846613e-14i</v>
      </c>
      <c r="K11" s="5" t="str">
        <f aca="false">IMSUM(F11,G11,H11)</f>
        <v>1.3030926864798e-08-1.64692110203228e-10i</v>
      </c>
      <c r="L11" s="5" t="str">
        <f aca="false">IMSUM(IMPRODUCT(IMSUM(F11,G11),H11),IMPRODUCT(IMSUM(J11,L_Yv),K11))</f>
        <v>2.61866415815875e-20+9.50385449835556e-21i</v>
      </c>
      <c r="M11" s="37" t="n">
        <f aca="false">IMABS(IMDIV(IMPRODUCT(J11,F11,H11),L11))^2</f>
        <v>3.48792794554145E-028</v>
      </c>
      <c r="N11" s="5" t="str">
        <f aca="false">IMDIV(IMPRODUCT(L_Yv,K11,E11),H11)</f>
        <v>0.000168801911477403-2.86796070173607i</v>
      </c>
      <c r="O11" s="37" t="n">
        <f aca="false">IMABS(IMSUM(1,IMPRODUCT(E11,G11),N11))^2</f>
        <v>9.22550539191108</v>
      </c>
      <c r="P11" s="37" t="n">
        <f aca="false">IMABS(N11)^2</f>
        <v>8.22519861519654</v>
      </c>
      <c r="Q11" s="37" t="n">
        <f aca="false">p_Rb^2/(1+(C11*p_Rb*L_Ctot)^2)</f>
        <v>3.78997449035379E+019</v>
      </c>
      <c r="R11" s="37" t="n">
        <f aca="false">M11*L_Kt^2*Q11</f>
        <v>2.65302423057557E-006</v>
      </c>
      <c r="S11" s="37" t="n">
        <f aca="false">L_kT4*D11</f>
        <v>1.26337642057863E-012</v>
      </c>
      <c r="T11" s="37" t="n">
        <f aca="false">L_kT4*L_Rsq*O11</f>
        <v>4.76542686118463E-011</v>
      </c>
      <c r="U11" s="37" t="n">
        <f aca="false">L_kT4*L_Rh*O11</f>
        <v>3.62574090845626E-011</v>
      </c>
      <c r="V11" s="37" t="n">
        <f aca="false">L_kT4*p_Rv*P11</f>
        <v>6.77164973042486E-008</v>
      </c>
      <c r="W11" s="37" t="n">
        <f aca="false">L_kT4/p_Rb*Q11/R11</f>
        <v>2.35219410927812E-007</v>
      </c>
      <c r="X11" s="37" t="n">
        <f aca="false">p_en^2*(1+p_fc/B11)/R11</f>
        <v>2.53954495395645E-010</v>
      </c>
      <c r="Y11" s="37" t="n">
        <f aca="false">p_in^2*Q11/R11</f>
        <v>3.57137191462021E-008</v>
      </c>
      <c r="Z11" s="37" t="n">
        <f aca="false">p_eo^2/L_G^2/R11</f>
        <v>2.38956459454164E-011</v>
      </c>
      <c r="AA11" s="37" t="n">
        <f aca="false">SUM(S11:Z11)</f>
        <v>3.39012652573721E-007</v>
      </c>
      <c r="AB11" s="47" t="n">
        <f aca="false">10*LOG10(AA11/L_PREF^2)</f>
        <v>29.2815591584387</v>
      </c>
      <c r="AC11" s="47" t="n">
        <f aca="false">10*LOG10(S11/L_PREF^2)</f>
        <v>-25.0052722428501</v>
      </c>
      <c r="AD11" s="47" t="n">
        <f aca="false">10*LOG10(T11/L_PREF^2)</f>
        <v>-9.2395818285856</v>
      </c>
      <c r="AE11" s="47" t="n">
        <f aca="false">10*LOG10(U11/L_PREF^2)</f>
        <v>-10.4266322467603</v>
      </c>
      <c r="AF11" s="47" t="n">
        <f aca="false">10*LOG10(V11/L_PREF^2)</f>
        <v>22.2863449442349</v>
      </c>
      <c r="AG11" s="47" t="n">
        <f aca="false">10*LOG10(W11/L_PREF^2)</f>
        <v>27.694131666841</v>
      </c>
      <c r="AH11" s="47" t="n">
        <f aca="false">10*LOG10(X11/L_PREF^2)</f>
        <v>-1.97304086397081</v>
      </c>
      <c r="AI11" s="47" t="n">
        <f aca="false">10*LOG10(Y11/L_PREF^2)</f>
        <v>19.5077508766818</v>
      </c>
      <c r="AJ11" s="47" t="n">
        <f aca="false">10*LOG10(Z11/L_PREF^2)</f>
        <v>-12.2374121649466</v>
      </c>
      <c r="AK11" s="47" t="n">
        <f aca="false">10*LOG10(R11/$R$6)</f>
        <v>-9.05029688147942</v>
      </c>
      <c r="AL11" s="37" t="n">
        <f aca="false">(12194^2*B11^4/((B11^2+20.6^2)*SQRT((B11^2+107.7^2)*(B11^2+737.9^2))*(B11^2+12194^2))*1.2589254)^2</f>
        <v>1.28137666057483E-007</v>
      </c>
      <c r="AM11" s="37" t="n">
        <v>0</v>
      </c>
      <c r="AN11" s="37" t="n">
        <v>0</v>
      </c>
      <c r="AO11" s="37" t="n">
        <v>0</v>
      </c>
      <c r="AP11" s="37" t="n">
        <v>0</v>
      </c>
      <c r="AQ11" s="37" t="n">
        <v>0</v>
      </c>
      <c r="AR11" s="37" t="n">
        <v>0</v>
      </c>
      <c r="AS11" s="37" t="n">
        <v>0</v>
      </c>
      <c r="AT11" s="37" t="n">
        <v>0</v>
      </c>
      <c r="AU11" s="37" t="n">
        <v>0</v>
      </c>
      <c r="AV11" s="37" t="n">
        <v>0</v>
      </c>
      <c r="AW11" s="37" t="n">
        <v>0</v>
      </c>
      <c r="AX11" s="37" t="n">
        <v>0</v>
      </c>
      <c r="AY11" s="37" t="n">
        <v>0</v>
      </c>
      <c r="AZ11" s="37" t="n">
        <v>0</v>
      </c>
      <c r="BA11" s="37" t="n">
        <v>0</v>
      </c>
      <c r="BB11" s="37" t="n">
        <v>0</v>
      </c>
      <c r="BC11" s="37" t="n">
        <v>0</v>
      </c>
      <c r="BD11" s="37" t="n">
        <v>0</v>
      </c>
      <c r="BE11" s="37" t="n">
        <f aca="false">IF(B11&gt;2000,AK11,-999)</f>
        <v>-999</v>
      </c>
      <c r="BF11" s="37" t="n">
        <f aca="false">IF(AND(B11&lt;1000,AK11&gt;=-3),B11,1000000000)</f>
        <v>1000000000</v>
      </c>
    </row>
    <row r="12" customFormat="false" ht="15" hidden="false" customHeight="false" outlineLevel="0" collapsed="false">
      <c r="A12" s="5" t="n">
        <v>-27</v>
      </c>
      <c r="B12" s="47" t="n">
        <f aca="false">20*10^(A12/100)</f>
        <v>10.7406359274051</v>
      </c>
      <c r="C12" s="37" t="n">
        <f aca="false">2*PI()*B12</f>
        <v>67.4854058488366</v>
      </c>
      <c r="D12" s="37" t="n">
        <f aca="false">SQRT(L_Rp0^2+L_Rp1^2*C12)</f>
        <v>76729992.1446587</v>
      </c>
      <c r="E12" s="5" t="str">
        <f aca="false">COMPLEX(D12,C12*L_Mp)</f>
        <v>76729992.1446587+996942.948460808i</v>
      </c>
      <c r="F12" s="5" t="str">
        <f aca="false">IMDIV(1,E12)</f>
        <v>1.30305136991533e-08-1.69303793524461e-10i</v>
      </c>
      <c r="G12" s="5" t="str">
        <f aca="false">COMPLEX(0,C12*L_Cf)</f>
        <v>7.13602684242747e-14i</v>
      </c>
      <c r="H12" s="5" t="str">
        <f aca="false">COMPLEX(0,C12*L_Cbv)</f>
        <v>7.13602684242747e-13i</v>
      </c>
      <c r="I12" s="5" t="str">
        <f aca="false">COMPLEX(L_Rsq+L_Rh,C12*(L_Md+L_Mh)-1/(C12*L_Cd))</f>
        <v>552400610.124532-17070035401002.4i</v>
      </c>
      <c r="J12" s="5" t="str">
        <f aca="false">IMDIV(1,I12)</f>
        <v>1.89576851215139e-18+5.85821865896103e-14i</v>
      </c>
      <c r="K12" s="5" t="str">
        <f aca="false">IMSUM(F12,G12,H12)</f>
        <v>1.30305136991533e-08-1.68518830571794e-10i</v>
      </c>
      <c r="L12" s="5" t="str">
        <f aca="false">IMSUM(IMPRODUCT(IMSUM(F12,G12),H12),IMPRODUCT(IMSUM(J12,L_Yv),K12))</f>
        <v>2.6191689021353e-20+9.72492755704367e-21i</v>
      </c>
      <c r="M12" s="37" t="n">
        <f aca="false">IMABS(IMDIV(IMPRODUCT(J12,F12,H12),L12))^2</f>
        <v>3.80210182022803E-028</v>
      </c>
      <c r="N12" s="5" t="str">
        <f aca="false">IMDIV(IMPRODUCT(L_Yv,K12,E12),H12)</f>
        <v>0.00016880598271833-2.80267784726143i</v>
      </c>
      <c r="O12" s="37" t="n">
        <f aca="false">IMABS(IMSUM(1,IMPRODUCT(E12,G12),N12))^2</f>
        <v>8.85530992173973</v>
      </c>
      <c r="P12" s="37" t="n">
        <f aca="false">IMABS(N12)^2</f>
        <v>7.85500314402542</v>
      </c>
      <c r="Q12" s="37" t="n">
        <f aca="false">p_Rb^2/(1+(C12*p_Rb*L_Ctot)^2)</f>
        <v>3.61940371336673E+019</v>
      </c>
      <c r="R12" s="37" t="n">
        <f aca="false">M12*L_Kt^2*Q12</f>
        <v>2.76183796843986E-006</v>
      </c>
      <c r="S12" s="37" t="n">
        <f aca="false">L_kT4*D12</f>
        <v>1.26340689126196E-012</v>
      </c>
      <c r="T12" s="37" t="n">
        <f aca="false">L_kT4*L_Rsq*O12</f>
        <v>4.57420271004053E-011</v>
      </c>
      <c r="U12" s="37" t="n">
        <f aca="false">L_kT4*L_Rh*O12</f>
        <v>3.48024938215978E-011</v>
      </c>
      <c r="V12" s="37" t="n">
        <f aca="false">L_kT4*p_Rv*P12</f>
        <v>6.46687483320489E-008</v>
      </c>
      <c r="W12" s="37" t="n">
        <f aca="false">L_kT4/p_Rb*Q12/R12</f>
        <v>2.15782847356705E-007</v>
      </c>
      <c r="X12" s="37" t="n">
        <f aca="false">p_en^2*(1+p_fc/B12)/R12</f>
        <v>2.38923460127848E-010</v>
      </c>
      <c r="Y12" s="37" t="n">
        <f aca="false">p_in^2*Q12/R12</f>
        <v>3.2762636283577E-008</v>
      </c>
      <c r="Z12" s="37" t="n">
        <f aca="false">p_eo^2/L_G^2/R12</f>
        <v>2.29541806662381E-011</v>
      </c>
      <c r="AA12" s="37" t="n">
        <f aca="false">SUM(S12:Z12)</f>
        <v>3.13557917540938E-007</v>
      </c>
      <c r="AB12" s="47" t="n">
        <f aca="false">10*LOG10(AA12/L_PREF^2)</f>
        <v>28.9425778013942</v>
      </c>
      <c r="AC12" s="47" t="n">
        <f aca="false">10*LOG10(S12/L_PREF^2)</f>
        <v>-25.0051674990078</v>
      </c>
      <c r="AD12" s="47" t="n">
        <f aca="false">10*LOG10(T12/L_PREF^2)</f>
        <v>-9.41744584467529</v>
      </c>
      <c r="AE12" s="47" t="n">
        <f aca="false">10*LOG10(U12/L_PREF^2)</f>
        <v>-10.60449626285</v>
      </c>
      <c r="AF12" s="47" t="n">
        <f aca="false">10*LOG10(V12/L_PREF^2)</f>
        <v>22.0863446390174</v>
      </c>
      <c r="AG12" s="47" t="n">
        <f aca="false">10*LOG10(W12/L_PREF^2)</f>
        <v>27.3195692819224</v>
      </c>
      <c r="AH12" s="47" t="n">
        <f aca="false">10*LOG10(X12/L_PREF^2)</f>
        <v>-2.23801195685082</v>
      </c>
      <c r="AI12" s="47" t="n">
        <f aca="false">10*LOG10(Y12/L_PREF^2)</f>
        <v>19.1331884917633</v>
      </c>
      <c r="AJ12" s="47" t="n">
        <f aca="false">10*LOG10(Z12/L_PREF^2)</f>
        <v>-12.4119819579343</v>
      </c>
      <c r="AK12" s="47" t="n">
        <f aca="false">10*LOG10(R12/$R$6)</f>
        <v>-8.8757270884917</v>
      </c>
      <c r="AL12" s="37" t="n">
        <f aca="false">(12194^2*B12^4/((B12^2+20.6^2)*SQRT((B12^2+107.7^2)*(B12^2+737.9^2))*(B12^2+12194^2))*1.2589254)^2</f>
        <v>1.51037171396288E-007</v>
      </c>
      <c r="AM12" s="37" t="n">
        <v>0</v>
      </c>
      <c r="AN12" s="37" t="n">
        <v>0</v>
      </c>
      <c r="AO12" s="37" t="n">
        <v>0</v>
      </c>
      <c r="AP12" s="37" t="n">
        <v>0</v>
      </c>
      <c r="AQ12" s="37" t="n">
        <v>0</v>
      </c>
      <c r="AR12" s="37" t="n">
        <v>0</v>
      </c>
      <c r="AS12" s="37" t="n">
        <v>0</v>
      </c>
      <c r="AT12" s="37" t="n">
        <v>0</v>
      </c>
      <c r="AU12" s="37" t="n">
        <v>0</v>
      </c>
      <c r="AV12" s="37" t="n">
        <v>0</v>
      </c>
      <c r="AW12" s="37" t="n">
        <v>0</v>
      </c>
      <c r="AX12" s="37" t="n">
        <v>0</v>
      </c>
      <c r="AY12" s="37" t="n">
        <v>0</v>
      </c>
      <c r="AZ12" s="37" t="n">
        <v>0</v>
      </c>
      <c r="BA12" s="37" t="n">
        <v>0</v>
      </c>
      <c r="BB12" s="37" t="n">
        <v>0</v>
      </c>
      <c r="BC12" s="37" t="n">
        <v>0</v>
      </c>
      <c r="BD12" s="37" t="n">
        <v>0</v>
      </c>
      <c r="BE12" s="37" t="n">
        <f aca="false">IF(B12&gt;2000,AK12,-999)</f>
        <v>-999</v>
      </c>
      <c r="BF12" s="37" t="n">
        <f aca="false">IF(AND(B12&lt;1000,AK12&gt;=-3),B12,1000000000)</f>
        <v>1000000000</v>
      </c>
    </row>
    <row r="13" customFormat="false" ht="15" hidden="false" customHeight="false" outlineLevel="0" collapsed="false">
      <c r="A13" s="5" t="n">
        <v>-26</v>
      </c>
      <c r="B13" s="47" t="n">
        <f aca="false">20*10^(A13/100)</f>
        <v>10.9908174771525</v>
      </c>
      <c r="C13" s="37" t="n">
        <f aca="false">2*PI()*B13</f>
        <v>69.0573428863371</v>
      </c>
      <c r="D13" s="37" t="n">
        <f aca="false">SQRT(L_Rp0^2+L_Rp1^2*C13)</f>
        <v>76731885.7676149</v>
      </c>
      <c r="E13" s="5" t="str">
        <f aca="false">COMPLEX(D13,C13*L_Mp)</f>
        <v>76731885.7676149+1020164.73286366i</v>
      </c>
      <c r="F13" s="5" t="str">
        <f aca="false">IMDIV(1,E13)</f>
        <v>1.30300885903264e-08-1.73237458104418e-10i</v>
      </c>
      <c r="G13" s="5" t="str">
        <f aca="false">COMPLEX(0,C13*L_Cf)</f>
        <v>7.30224626058339e-14i</v>
      </c>
      <c r="H13" s="5" t="str">
        <f aca="false">COMPLEX(0,C13*L_Cbv)</f>
        <v>7.30224626058339e-13i</v>
      </c>
      <c r="I13" s="5" t="str">
        <f aca="false">COMPLEX(L_Rsq+L_Rh,C13*(L_Md+L_Mh)-1/(C13*L_Cd))</f>
        <v>552400610.124532-16681473945181.7i</v>
      </c>
      <c r="J13" s="5" t="str">
        <f aca="false">IMDIV(1,I13)</f>
        <v>1.98511333225902e-18+5.99467410487587e-14i</v>
      </c>
      <c r="K13" s="5" t="str">
        <f aca="false">IMSUM(F13,G13,H13)</f>
        <v>1.30300885903264e-08-1.72434211015754e-10i</v>
      </c>
      <c r="L13" s="5" t="str">
        <f aca="false">IMSUM(IMPRODUCT(IMSUM(F13,G13),H13),IMPRODUCT(IMSUM(J13,L_Yv),K13))</f>
        <v>2.61969888511142e-20+9.95113415061185e-21i</v>
      </c>
      <c r="M13" s="37" t="n">
        <f aca="false">IMABS(IMDIV(IMPRODUCT(J13,F13,H13),L13))^2</f>
        <v>4.14358231872059E-028</v>
      </c>
      <c r="N13" s="5" t="str">
        <f aca="false">IMDIV(IMPRODUCT(L_Yv,K13,E13),H13)</f>
        <v>0.000168810148688669-2.73888100967921i</v>
      </c>
      <c r="O13" s="37" t="n">
        <f aca="false">IMABS(IMSUM(1,IMPRODUCT(E13,G13),N13))^2</f>
        <v>8.50177599226286</v>
      </c>
      <c r="P13" s="37" t="n">
        <f aca="false">IMABS(N13)^2</f>
        <v>7.50146921367828</v>
      </c>
      <c r="Q13" s="37" t="n">
        <f aca="false">p_Rb^2/(1+(C13*p_Rb*L_Ctot)^2)</f>
        <v>3.45650934273745E+019</v>
      </c>
      <c r="R13" s="37" t="n">
        <f aca="false">M13*L_Kt^2*Q13</f>
        <v>2.8744259923611E-006</v>
      </c>
      <c r="S13" s="37" t="n">
        <f aca="false">L_kT4*D13</f>
        <v>1.26343807093793E-012</v>
      </c>
      <c r="T13" s="37" t="n">
        <f aca="false">L_kT4*L_Rsq*O13</f>
        <v>4.39158506338604E-011</v>
      </c>
      <c r="U13" s="37" t="n">
        <f aca="false">L_kT4*L_Rh*O13</f>
        <v>3.3413060531845E-011</v>
      </c>
      <c r="V13" s="37" t="n">
        <f aca="false">L_kT4*p_Rv*P13</f>
        <v>6.17581706595435E-008</v>
      </c>
      <c r="W13" s="37" t="n">
        <f aca="false">L_kT4/p_Rb*Q13/R13</f>
        <v>1.97999772564489E-007</v>
      </c>
      <c r="X13" s="37" t="n">
        <f aca="false">p_en^2*(1+p_fc/B13)/R13</f>
        <v>2.24846378537062E-010</v>
      </c>
      <c r="Y13" s="37" t="n">
        <f aca="false">p_in^2*Q13/R13</f>
        <v>3.00626051246689E-008</v>
      </c>
      <c r="Z13" s="37" t="n">
        <f aca="false">p_eo^2/L_G^2/R13</f>
        <v>2.20550913006357E-011</v>
      </c>
      <c r="AA13" s="37" t="n">
        <f aca="false">SUM(S13:Z13)</f>
        <v>2.90146042167776E-007</v>
      </c>
      <c r="AB13" s="47" t="n">
        <f aca="false">10*LOG10(AA13/L_PREF^2)</f>
        <v>28.6055665947671</v>
      </c>
      <c r="AC13" s="47" t="n">
        <f aca="false">10*LOG10(S13/L_PREF^2)</f>
        <v>-25.0050603205982</v>
      </c>
      <c r="AD13" s="47" t="n">
        <f aca="false">10*LOG10(T13/L_PREF^2)</f>
        <v>-9.59438692034103</v>
      </c>
      <c r="AE13" s="47" t="n">
        <f aca="false">10*LOG10(U13/L_PREF^2)</f>
        <v>-10.7814373385158</v>
      </c>
      <c r="AF13" s="47" t="n">
        <f aca="false">10*LOG10(V13/L_PREF^2)</f>
        <v>21.8863443194155</v>
      </c>
      <c r="AG13" s="47" t="n">
        <f aca="false">10*LOG10(W13/L_PREF^2)</f>
        <v>26.9460470007476</v>
      </c>
      <c r="AH13" s="47" t="n">
        <f aca="false">10*LOG10(X13/L_PREF^2)</f>
        <v>-2.50174094282957</v>
      </c>
      <c r="AI13" s="47" t="n">
        <f aca="false">10*LOG10(Y13/L_PREF^2)</f>
        <v>18.7596662105884</v>
      </c>
      <c r="AJ13" s="47" t="n">
        <f aca="false">10*LOG10(Z13/L_PREF^2)</f>
        <v>-12.5855113137721</v>
      </c>
      <c r="AK13" s="47" t="n">
        <f aca="false">10*LOG10(R13/$R$6)</f>
        <v>-8.70219773265393</v>
      </c>
      <c r="AL13" s="37" t="n">
        <f aca="false">(12194^2*B13^4/((B13^2+20.6^2)*SQRT((B13^2+107.7^2)*(B13^2+737.9^2))*(B13^2+12194^2))*1.2589254)^2</f>
        <v>1.77898435237441E-007</v>
      </c>
      <c r="AM13" s="37" t="n">
        <v>0</v>
      </c>
      <c r="AN13" s="37" t="n">
        <v>0</v>
      </c>
      <c r="AO13" s="37" t="n">
        <v>0</v>
      </c>
      <c r="AP13" s="37" t="n">
        <v>0</v>
      </c>
      <c r="AQ13" s="37" t="n">
        <v>0</v>
      </c>
      <c r="AR13" s="37" t="n">
        <v>0</v>
      </c>
      <c r="AS13" s="37" t="n">
        <v>0</v>
      </c>
      <c r="AT13" s="37" t="n">
        <v>0</v>
      </c>
      <c r="AU13" s="37" t="n">
        <v>0</v>
      </c>
      <c r="AV13" s="37" t="n">
        <v>0</v>
      </c>
      <c r="AW13" s="37" t="n">
        <v>0</v>
      </c>
      <c r="AX13" s="37" t="n">
        <v>0</v>
      </c>
      <c r="AY13" s="37" t="n">
        <v>0</v>
      </c>
      <c r="AZ13" s="37" t="n">
        <v>0</v>
      </c>
      <c r="BA13" s="37" t="n">
        <v>0</v>
      </c>
      <c r="BB13" s="37" t="n">
        <v>0</v>
      </c>
      <c r="BC13" s="37" t="n">
        <v>0</v>
      </c>
      <c r="BD13" s="37" t="n">
        <v>0</v>
      </c>
      <c r="BE13" s="37" t="n">
        <f aca="false">IF(B13&gt;2000,AK13,-999)</f>
        <v>-999</v>
      </c>
      <c r="BF13" s="37" t="n">
        <f aca="false">IF(AND(B13&lt;1000,AK13&gt;=-3),B13,1000000000)</f>
        <v>1000000000</v>
      </c>
    </row>
    <row r="14" customFormat="false" ht="15" hidden="false" customHeight="false" outlineLevel="0" collapsed="false">
      <c r="A14" s="5" t="n">
        <v>-25</v>
      </c>
      <c r="B14" s="47" t="n">
        <f aca="false">20*10^(A14/100)</f>
        <v>11.246826503807</v>
      </c>
      <c r="C14" s="37" t="n">
        <f aca="false">2*PI()*B14</f>
        <v>70.665895041118</v>
      </c>
      <c r="D14" s="37" t="n">
        <f aca="false">SQRT(L_Rp0^2+L_Rp1^2*C14)</f>
        <v>76733823.45034</v>
      </c>
      <c r="E14" s="5" t="str">
        <f aca="false">COMPLEX(D14,C14*L_Mp)</f>
        <v>76733823.45034+1043927.42211135i</v>
      </c>
      <c r="F14" s="5" t="str">
        <f aca="false">IMDIV(1,E14)</f>
        <v>1.30296511514791e-08-1.77262249239758e-10i</v>
      </c>
      <c r="G14" s="5" t="str">
        <f aca="false">COMPLEX(0,C14*L_Cf)</f>
        <v>7.47233742636333e-14i</v>
      </c>
      <c r="H14" s="5" t="str">
        <f aca="false">COMPLEX(0,C14*L_Cbv)</f>
        <v>7.47233742636333e-13i</v>
      </c>
      <c r="I14" s="5" t="str">
        <f aca="false">COMPLEX(L_Rsq+L_Rh,C14*(L_Md+L_Mh)-1/(C14*L_Cd))</f>
        <v>552400610.124532-16301757227652i</v>
      </c>
      <c r="J14" s="5" t="str">
        <f aca="false">IMDIV(1,I14)</f>
        <v>2.07866884427368e-18+6.13430800671895e-14i</v>
      </c>
      <c r="K14" s="5" t="str">
        <f aca="false">IMSUM(F14,G14,H14)</f>
        <v>1.30296511514791e-08-1.76440292122858e-10i</v>
      </c>
      <c r="L14" s="5" t="str">
        <f aca="false">IMSUM(IMPRODUCT(IMSUM(F14,G14),H14),IMPRODUCT(IMSUM(J14,L_Yv),K14))</f>
        <v>2.62025532763557e-20+1.01825929779916e-20i</v>
      </c>
      <c r="M14" s="37" t="n">
        <f aca="false">IMABS(IMDIV(IMPRODUCT(J14,F14,H14),L14))^2</f>
        <v>4.51461382823063E-028</v>
      </c>
      <c r="N14" s="5" t="str">
        <f aca="false">IMDIV(IMPRODUCT(L_Yv,K14,E14),H14)</f>
        <v>0.000168814411590761-2.67653636306174i</v>
      </c>
      <c r="O14" s="37" t="n">
        <f aca="false">IMABS(IMSUM(1,IMPRODUCT(E14,G14),N14))^2</f>
        <v>8.16415371060519</v>
      </c>
      <c r="P14" s="37" t="n">
        <f aca="false">IMABS(N14)^2</f>
        <v>7.16384693129007</v>
      </c>
      <c r="Q14" s="37" t="n">
        <f aca="false">p_Rb^2/(1+(C14*p_Rb*L_Ctot)^2)</f>
        <v>3.30094593106171E+019</v>
      </c>
      <c r="R14" s="37" t="n">
        <f aca="false">M14*L_Kt^2*Q14</f>
        <v>2.99086247089806E-006</v>
      </c>
      <c r="S14" s="37" t="n">
        <f aca="false">L_kT4*D14</f>
        <v>1.26346997608531E-012</v>
      </c>
      <c r="T14" s="37" t="n">
        <f aca="false">L_kT4*L_Rsq*O14</f>
        <v>4.21718656470252E-011</v>
      </c>
      <c r="U14" s="37" t="n">
        <f aca="false">L_kT4*L_Rh*O14</f>
        <v>3.20861620409657E-011</v>
      </c>
      <c r="V14" s="37" t="n">
        <f aca="false">L_kT4*p_Rv*P14</f>
        <v>5.89785905612642E-008</v>
      </c>
      <c r="W14" s="37" t="n">
        <f aca="false">L_kT4/p_Rb*Q14/R14</f>
        <v>1.81727250197711E-007</v>
      </c>
      <c r="X14" s="37" t="n">
        <f aca="false">p_en^2*(1+p_fc/B14)/R14</f>
        <v>2.11661157064962E-010</v>
      </c>
      <c r="Y14" s="37" t="n">
        <f aca="false">p_in^2*Q14/R14</f>
        <v>2.75919234266106E-008</v>
      </c>
      <c r="Z14" s="37" t="n">
        <f aca="false">p_eo^2/L_G^2/R14</f>
        <v>2.11964703543887E-011</v>
      </c>
      <c r="AA14" s="37" t="n">
        <f aca="false">SUM(S14:Z14)</f>
        <v>2.6860614331067E-007</v>
      </c>
      <c r="AB14" s="47" t="n">
        <f aca="false">10*LOG10(AA14/L_PREF^2)</f>
        <v>28.2705594989905</v>
      </c>
      <c r="AC14" s="47" t="n">
        <f aca="false">10*LOG10(S14/L_PREF^2)</f>
        <v>-25.0049506511588</v>
      </c>
      <c r="AD14" s="47" t="n">
        <f aca="false">10*LOG10(T14/L_PREF^2)</f>
        <v>-9.77037177074166</v>
      </c>
      <c r="AE14" s="47" t="n">
        <f aca="false">10*LOG10(U14/L_PREF^2)</f>
        <v>-10.9574221889164</v>
      </c>
      <c r="AF14" s="47" t="n">
        <f aca="false">10*LOG10(V14/L_PREF^2)</f>
        <v>21.6863439847514</v>
      </c>
      <c r="AG14" s="47" t="n">
        <f aca="false">10*LOG10(W14/L_PREF^2)</f>
        <v>26.5736006379045</v>
      </c>
      <c r="AH14" s="47" t="n">
        <f aca="false">10*LOG10(X14/L_PREF^2)</f>
        <v>-2.76418825420657</v>
      </c>
      <c r="AI14" s="47" t="n">
        <f aca="false">10*LOG10(Y14/L_PREF^2)</f>
        <v>18.3872198477454</v>
      </c>
      <c r="AJ14" s="47" t="n">
        <f aca="false">10*LOG10(Z14/L_PREF^2)</f>
        <v>-12.7579644328766</v>
      </c>
      <c r="AK14" s="47" t="n">
        <f aca="false">10*LOG10(R14/$R$6)</f>
        <v>-8.52974461354945</v>
      </c>
      <c r="AL14" s="37" t="n">
        <f aca="false">(12194^2*B14^4/((B14^2+20.6^2)*SQRT((B14^2+107.7^2)*(B14^2+737.9^2))*(B14^2+12194^2))*1.2589254)^2</f>
        <v>2.09378982160359E-007</v>
      </c>
      <c r="AM14" s="37" t="n">
        <v>0</v>
      </c>
      <c r="AN14" s="37" t="n">
        <v>0</v>
      </c>
      <c r="AO14" s="37" t="n">
        <v>0</v>
      </c>
      <c r="AP14" s="37" t="n">
        <v>0</v>
      </c>
      <c r="AQ14" s="37" t="n">
        <v>0</v>
      </c>
      <c r="AR14" s="37" t="n">
        <v>0</v>
      </c>
      <c r="AS14" s="37" t="n">
        <v>0</v>
      </c>
      <c r="AT14" s="37" t="n">
        <v>0</v>
      </c>
      <c r="AU14" s="37" t="n">
        <v>0</v>
      </c>
      <c r="AV14" s="37" t="n">
        <v>0</v>
      </c>
      <c r="AW14" s="37" t="n">
        <v>0</v>
      </c>
      <c r="AX14" s="37" t="n">
        <v>0</v>
      </c>
      <c r="AY14" s="37" t="n">
        <v>0</v>
      </c>
      <c r="AZ14" s="37" t="n">
        <v>0</v>
      </c>
      <c r="BA14" s="37" t="n">
        <v>0</v>
      </c>
      <c r="BB14" s="37" t="n">
        <v>0</v>
      </c>
      <c r="BC14" s="37" t="n">
        <v>0</v>
      </c>
      <c r="BD14" s="37" t="n">
        <v>0</v>
      </c>
      <c r="BE14" s="37" t="n">
        <f aca="false">IF(B14&gt;2000,AK14,-999)</f>
        <v>-999</v>
      </c>
      <c r="BF14" s="37" t="n">
        <f aca="false">IF(AND(B14&lt;1000,AK14&gt;=-3),B14,1000000000)</f>
        <v>1000000000</v>
      </c>
    </row>
    <row r="15" customFormat="false" ht="15" hidden="false" customHeight="false" outlineLevel="0" collapsed="false">
      <c r="A15" s="5" t="n">
        <v>-24</v>
      </c>
      <c r="B15" s="47" t="n">
        <f aca="false">20*10^(A15/100)</f>
        <v>11.5087987467431</v>
      </c>
      <c r="C15" s="37" t="n">
        <f aca="false">2*PI()*B15</f>
        <v>72.3119151888233</v>
      </c>
      <c r="D15" s="37" t="n">
        <f aca="false">SQRT(L_Rp0^2+L_Rp1^2*C15)</f>
        <v>76735806.216842</v>
      </c>
      <c r="E15" s="5" t="str">
        <f aca="false">COMPLEX(D15,C15*L_Mp)</f>
        <v>76735806.216842+1068243.61549626i</v>
      </c>
      <c r="F15" s="5" t="str">
        <f aca="false">IMDIV(1,E15)</f>
        <v>1.30292009816915e-08-1.81380263659167e-10i</v>
      </c>
      <c r="G15" s="5" t="str">
        <f aca="false">COMPLEX(0,C15*L_Cf)</f>
        <v>7.6463905243548e-14i</v>
      </c>
      <c r="H15" s="5" t="str">
        <f aca="false">COMPLEX(0,C15*L_Cbv)</f>
        <v>7.6463905243548e-13i</v>
      </c>
      <c r="I15" s="5" t="str">
        <f aca="false">COMPLEX(L_Rsq+L_Rh,C15*(L_Md+L_Mh)-1/(C15*L_Cd))</f>
        <v>552400610.124532-15930683917583.8i</v>
      </c>
      <c r="J15" s="5" t="str">
        <f aca="false">IMDIV(1,I15)</f>
        <v>2.17663349201621e-18+6.27719440025959e-14i</v>
      </c>
      <c r="K15" s="5" t="str">
        <f aca="false">IMSUM(F15,G15,H15)</f>
        <v>1.30292009816915e-08-1.80539160701488e-10i</v>
      </c>
      <c r="L15" s="5" t="str">
        <f aca="false">IMSUM(IMPRODUCT(IMSUM(F15,G15),H15),IMPRODUCT(IMSUM(J15,L_Yv),K15))</f>
        <v>2.62083950829108e-20+1.04194254526828e-20i</v>
      </c>
      <c r="M15" s="37" t="n">
        <f aca="false">IMABS(IMDIV(IMPRODUCT(J15,F15,H15),L15))^2</f>
        <v>4.91760908328802E-028</v>
      </c>
      <c r="N15" s="5" t="str">
        <f aca="false">IMDIV(IMPRODUCT(L_Yv,K15,E15),H15)</f>
        <v>0.00016881877367705-2.61561085145207i</v>
      </c>
      <c r="O15" s="37" t="n">
        <f aca="false">IMABS(IMSUM(1,IMPRODUCT(E15,G15),N15))^2</f>
        <v>7.84172693462872</v>
      </c>
      <c r="P15" s="37" t="n">
        <f aca="false">IMABS(N15)^2</f>
        <v>6.8414201547336</v>
      </c>
      <c r="Q15" s="37" t="n">
        <f aca="false">p_Rb^2/(1+(C15*p_Rb*L_Ctot)^2)</f>
        <v>3.15238357442452E+019</v>
      </c>
      <c r="R15" s="37" t="n">
        <f aca="false">M15*L_Kt^2*Q15</f>
        <v>3.11121829051124E-006</v>
      </c>
      <c r="S15" s="37" t="n">
        <f aca="false">L_kT4*D15</f>
        <v>1.26350262356503E-012</v>
      </c>
      <c r="T15" s="37" t="n">
        <f aca="false">L_kT4*L_Rsq*O15</f>
        <v>4.05063729138568E-011</v>
      </c>
      <c r="U15" s="37" t="n">
        <f aca="false">L_kT4*L_Rh*O15</f>
        <v>3.08189838193102E-011</v>
      </c>
      <c r="V15" s="37" t="n">
        <f aca="false">L_kT4*p_Rv*P15</f>
        <v>5.63241121751539E-008</v>
      </c>
      <c r="W15" s="37" t="n">
        <f aca="false">L_kT4/p_Rb*Q15/R15</f>
        <v>1.66834805860648E-007</v>
      </c>
      <c r="X15" s="37" t="n">
        <f aca="false">p_en^2*(1+p_fc/B15)/R15</f>
        <v>1.99309790345153E-010</v>
      </c>
      <c r="Y15" s="37" t="n">
        <f aca="false">p_in^2*Q15/R15</f>
        <v>2.53307810644373E-008</v>
      </c>
      <c r="Z15" s="37" t="n">
        <f aca="false">p_eo^2/L_G^2/R15</f>
        <v>2.03764962078657E-011</v>
      </c>
      <c r="AA15" s="37" t="n">
        <f aca="false">SUM(S15:Z15)</f>
        <v>2.48781974246149E-007</v>
      </c>
      <c r="AB15" s="47" t="n">
        <f aca="false">10*LOG10(AA15/L_PREF^2)</f>
        <v>27.9375891857734</v>
      </c>
      <c r="AC15" s="47" t="n">
        <f aca="false">10*LOG10(S15/L_PREF^2)</f>
        <v>-25.0048384329235</v>
      </c>
      <c r="AD15" s="47" t="n">
        <f aca="false">10*LOG10(T15/L_PREF^2)</f>
        <v>-9.94536634691421</v>
      </c>
      <c r="AE15" s="47" t="n">
        <f aca="false">10*LOG10(U15/L_PREF^2)</f>
        <v>-11.1324167650889</v>
      </c>
      <c r="AF15" s="47" t="n">
        <f aca="false">10*LOG10(V15/L_PREF^2)</f>
        <v>21.486343634315</v>
      </c>
      <c r="AG15" s="47" t="n">
        <f aca="false">10*LOG10(W15/L_PREF^2)</f>
        <v>26.2022666898049</v>
      </c>
      <c r="AH15" s="47" t="n">
        <f aca="false">10*LOG10(X15/L_PREF^2)</f>
        <v>-3.02531359017616</v>
      </c>
      <c r="AI15" s="47" t="n">
        <f aca="false">10*LOG10(Y15/L_PREF^2)</f>
        <v>18.0158858996457</v>
      </c>
      <c r="AJ15" s="47" t="n">
        <f aca="false">10*LOG10(Z15/L_PREF^2)</f>
        <v>-12.9293048331656</v>
      </c>
      <c r="AK15" s="47" t="n">
        <f aca="false">10*LOG10(R15/$R$6)</f>
        <v>-8.35840421326046</v>
      </c>
      <c r="AL15" s="37" t="n">
        <f aca="false">(12194^2*B15^4/((B15^2+20.6^2)*SQRT((B15^2+107.7^2)*(B15^2+737.9^2))*(B15^2+12194^2))*1.2589254)^2</f>
        <v>2.46239736633031E-007</v>
      </c>
      <c r="AM15" s="37" t="n">
        <v>0</v>
      </c>
      <c r="AN15" s="37" t="n">
        <v>0</v>
      </c>
      <c r="AO15" s="37" t="n">
        <v>0</v>
      </c>
      <c r="AP15" s="37" t="n">
        <v>0</v>
      </c>
      <c r="AQ15" s="37" t="n">
        <v>0</v>
      </c>
      <c r="AR15" s="37" t="n">
        <v>0</v>
      </c>
      <c r="AS15" s="37" t="n">
        <v>0</v>
      </c>
      <c r="AT15" s="37" t="n">
        <v>0</v>
      </c>
      <c r="AU15" s="37" t="n">
        <v>0</v>
      </c>
      <c r="AV15" s="37" t="n">
        <v>0</v>
      </c>
      <c r="AW15" s="37" t="n">
        <v>0</v>
      </c>
      <c r="AX15" s="37" t="n">
        <v>0</v>
      </c>
      <c r="AY15" s="37" t="n">
        <v>0</v>
      </c>
      <c r="AZ15" s="37" t="n">
        <v>0</v>
      </c>
      <c r="BA15" s="37" t="n">
        <v>0</v>
      </c>
      <c r="BB15" s="37" t="n">
        <v>0</v>
      </c>
      <c r="BC15" s="37" t="n">
        <v>0</v>
      </c>
      <c r="BD15" s="37" t="n">
        <v>0</v>
      </c>
      <c r="BE15" s="37" t="n">
        <f aca="false">IF(B15&gt;2000,AK15,-999)</f>
        <v>-999</v>
      </c>
      <c r="BF15" s="37" t="n">
        <f aca="false">IF(AND(B15&lt;1000,AK15&gt;=-3),B15,1000000000)</f>
        <v>1000000000</v>
      </c>
    </row>
    <row r="16" customFormat="false" ht="15" hidden="false" customHeight="false" outlineLevel="0" collapsed="false">
      <c r="A16" s="5" t="n">
        <v>-23</v>
      </c>
      <c r="B16" s="47" t="n">
        <f aca="false">20*10^(A16/100)</f>
        <v>11.7768731071118</v>
      </c>
      <c r="C16" s="37" t="n">
        <f aca="false">2*PI()*B16</f>
        <v>73.9962760711231</v>
      </c>
      <c r="D16" s="37" t="n">
        <f aca="false">SQRT(L_Rp0^2+L_Rp1^2*C16)</f>
        <v>76737835.1148738</v>
      </c>
      <c r="E16" s="5" t="str">
        <f aca="false">COMPLEX(D16,C16*L_Mp)</f>
        <v>76737835.1148738+1093126.20578597i</v>
      </c>
      <c r="F16" s="5" t="str">
        <f aca="false">IMDIV(1,E16)</f>
        <v>1.30287376654002e-08-1.85593645547074e-10i</v>
      </c>
      <c r="G16" s="5" t="str">
        <f aca="false">COMPLEX(0,C16*L_Cf)</f>
        <v>7.82449783981423e-14i</v>
      </c>
      <c r="H16" s="5" t="str">
        <f aca="false">COMPLEX(0,C16*L_Cbv)</f>
        <v>7.82449783981423e-13i</v>
      </c>
      <c r="I16" s="5" t="str">
        <f aca="false">COMPLEX(L_Rsq+L_Rh,C16*(L_Md+L_Mh)-1/(C16*L_Cd))</f>
        <v>552400610.124532-15568057266996.1i</v>
      </c>
      <c r="J16" s="5" t="str">
        <f aca="false">IMDIV(1,I16)</f>
        <v>2.27921507167915e-18+6.42340904578335e-14i</v>
      </c>
      <c r="K16" s="5" t="str">
        <f aca="false">IMSUM(F16,G16,H16)</f>
        <v>1.30287376654002e-08-1.84732950784694e-10i</v>
      </c>
      <c r="L16" s="5" t="str">
        <f aca="false">IMSUM(IMPRODUCT(IMSUM(F16,G16),H16),IMPRODUCT(IMSUM(J16,L_Yv),K16))</f>
        <v>2.62145276642671e-20+1.06617557629782e-20i</v>
      </c>
      <c r="M16" s="37" t="n">
        <f aca="false">IMABS(IMDIV(IMPRODUCT(J16,F16,H16),L16))^2</f>
        <v>5.3551598768427E-028</v>
      </c>
      <c r="N16" s="5" t="str">
        <f aca="false">IMDIV(IMPRODUCT(L_Yv,K16,E16),H16)</f>
        <v>0.000168823237252761-2.55607217133756i</v>
      </c>
      <c r="O16" s="37" t="n">
        <f aca="false">IMABS(IMSUM(1,IMPRODUCT(E16,G16),N16))^2</f>
        <v>7.53381175390085</v>
      </c>
      <c r="P16" s="37" t="n">
        <f aca="false">IMABS(N16)^2</f>
        <v>6.53350497358759</v>
      </c>
      <c r="Q16" s="37" t="n">
        <f aca="false">p_Rb^2/(1+(C16*p_Rb*L_Ctot)^2)</f>
        <v>3.01050721319785E+019</v>
      </c>
      <c r="R16" s="37" t="n">
        <f aca="false">M16*L_Kt^2*Q16</f>
        <v>3.23556060007887E-006</v>
      </c>
      <c r="S16" s="37" t="n">
        <f aca="false">L_kT4*D16</f>
        <v>1.26353603062898E-012</v>
      </c>
      <c r="T16" s="37" t="n">
        <f aca="false">L_kT4*L_Rsq*O16</f>
        <v>3.89158397009082E-011</v>
      </c>
      <c r="U16" s="37" t="n">
        <f aca="false">L_kT4*L_Rh*O16</f>
        <v>2.96088380119286E-011</v>
      </c>
      <c r="V16" s="37" t="n">
        <f aca="false">L_kT4*p_Rv*P16</f>
        <v>5.37891049966661E-008</v>
      </c>
      <c r="W16" s="37" t="n">
        <f aca="false">L_kT4/p_Rb*Q16/R16</f>
        <v>1.53203335769057E-007</v>
      </c>
      <c r="X16" s="37" t="n">
        <f aca="false">p_en^2*(1+p_fc/B16)/R16</f>
        <v>1.87738090509864E-010</v>
      </c>
      <c r="Y16" s="37" t="n">
        <f aca="false">p_in^2*Q16/R16</f>
        <v>2.32610943303339E-008</v>
      </c>
      <c r="Z16" s="37" t="n">
        <f aca="false">p_eo^2/L_G^2/R16</f>
        <v>1.95934292489837E-011</v>
      </c>
      <c r="AA16" s="37" t="n">
        <f aca="false">SUM(S16:Z16)</f>
        <v>2.3053065482956E-007</v>
      </c>
      <c r="AB16" s="47" t="n">
        <f aca="false">10*LOG10(AA16/L_PREF^2)</f>
        <v>27.6066869257609</v>
      </c>
      <c r="AC16" s="47" t="n">
        <f aca="false">10*LOG10(S16/L_PREF^2)</f>
        <v>-25.0047236067928</v>
      </c>
      <c r="AD16" s="47" t="n">
        <f aca="false">10*LOG10(T16/L_PREF^2)</f>
        <v>-10.1193358551564</v>
      </c>
      <c r="AE16" s="47" t="n">
        <f aca="false">10*LOG10(U16/L_PREF^2)</f>
        <v>-11.3063862733311</v>
      </c>
      <c r="AF16" s="47" t="n">
        <f aca="false">10*LOG10(V16/L_PREF^2)</f>
        <v>21.2863432673632</v>
      </c>
      <c r="AG16" s="47" t="n">
        <f aca="false">10*LOG10(W16/L_PREF^2)</f>
        <v>25.8320823017177</v>
      </c>
      <c r="AH16" s="47" t="n">
        <f aca="false">10*LOG10(X16/L_PREF^2)</f>
        <v>-3.28507594998756</v>
      </c>
      <c r="AI16" s="47" t="n">
        <f aca="false">10*LOG10(Y16/L_PREF^2)</f>
        <v>17.6457015115586</v>
      </c>
      <c r="AJ16" s="47" t="n">
        <f aca="false">10*LOG10(Z16/L_PREF^2)</f>
        <v>-13.0994953830547</v>
      </c>
      <c r="AK16" s="47" t="n">
        <f aca="false">10*LOG10(R16/$R$6)</f>
        <v>-8.18821366337135</v>
      </c>
      <c r="AL16" s="37" t="n">
        <f aca="false">(12194^2*B16^4/((B16^2+20.6^2)*SQRT((B16^2+107.7^2)*(B16^2+737.9^2))*(B16^2+12194^2))*1.2589254)^2</f>
        <v>2.89360161273715E-007</v>
      </c>
      <c r="AM16" s="37" t="n">
        <v>0</v>
      </c>
      <c r="AN16" s="37" t="n">
        <v>0</v>
      </c>
      <c r="AO16" s="37" t="n">
        <v>0</v>
      </c>
      <c r="AP16" s="37" t="n">
        <v>0</v>
      </c>
      <c r="AQ16" s="37" t="n">
        <v>0</v>
      </c>
      <c r="AR16" s="37" t="n">
        <v>0</v>
      </c>
      <c r="AS16" s="37" t="n">
        <v>0</v>
      </c>
      <c r="AT16" s="37" t="n">
        <v>0</v>
      </c>
      <c r="AU16" s="37" t="n">
        <v>0</v>
      </c>
      <c r="AV16" s="37" t="n">
        <v>0</v>
      </c>
      <c r="AW16" s="37" t="n">
        <v>0</v>
      </c>
      <c r="AX16" s="37" t="n">
        <v>0</v>
      </c>
      <c r="AY16" s="37" t="n">
        <v>0</v>
      </c>
      <c r="AZ16" s="37" t="n">
        <v>0</v>
      </c>
      <c r="BA16" s="37" t="n">
        <v>0</v>
      </c>
      <c r="BB16" s="37" t="n">
        <v>0</v>
      </c>
      <c r="BC16" s="37" t="n">
        <v>0</v>
      </c>
      <c r="BD16" s="37" t="n">
        <v>0</v>
      </c>
      <c r="BE16" s="37" t="n">
        <f aca="false">IF(B16&gt;2000,AK16,-999)</f>
        <v>-999</v>
      </c>
      <c r="BF16" s="37" t="n">
        <f aca="false">IF(AND(B16&lt;1000,AK16&gt;=-3),B16,1000000000)</f>
        <v>1000000000</v>
      </c>
    </row>
    <row r="17" customFormat="false" ht="15" hidden="false" customHeight="false" outlineLevel="0" collapsed="false">
      <c r="A17" s="5" t="n">
        <v>-22</v>
      </c>
      <c r="B17" s="47" t="n">
        <f aca="false">20*10^(A17/100)</f>
        <v>12.0511917214872</v>
      </c>
      <c r="C17" s="37" t="n">
        <f aca="false">2*PI()*B17</f>
        <v>75.7198707584524</v>
      </c>
      <c r="D17" s="37" t="n">
        <f aca="false">SQRT(L_Rp0^2+L_Rp1^2*C17)</f>
        <v>76739911.2164818</v>
      </c>
      <c r="E17" s="5" t="str">
        <f aca="false">COMPLEX(D17,C17*L_Mp)</f>
        <v>76739911.2164817+1118588.38605924i</v>
      </c>
      <c r="F17" s="5" t="str">
        <f aca="false">IMDIV(1,E17)</f>
        <v>1.30282607718101e-08-1.89904587572263e-10i</v>
      </c>
      <c r="G17" s="5" t="str">
        <f aca="false">COMPLEX(0,C17*L_Cf)</f>
        <v>8.0067538075978e-14i</v>
      </c>
      <c r="H17" s="5" t="str">
        <f aca="false">COMPLEX(0,C17*L_Cbv)</f>
        <v>8.0067538075978e-13i</v>
      </c>
      <c r="I17" s="5" t="str">
        <f aca="false">COMPLEX(L_Rsq+L_Rh,C17*(L_Md+L_Mh)-1/(C17*L_Cd))</f>
        <v>552400610.124532-15213685006439.1i</v>
      </c>
      <c r="J17" s="5" t="str">
        <f aca="false">IMDIV(1,I17)</f>
        <v>2.38663117259036e-18+6.57302946826084e-14i</v>
      </c>
      <c r="K17" s="5" t="str">
        <f aca="false">IMSUM(F17,G17,H17)</f>
        <v>1.30282607718101e-08-1.89023844653427e-10i</v>
      </c>
      <c r="L17" s="5" t="str">
        <f aca="false">IMSUM(IMPRODUCT(IMSUM(F17,G17),H17),IMPRODUCT(IMSUM(J17,L_Yv),K17))</f>
        <v>2.62209650501405e-20+1.09097109334027e-20i</v>
      </c>
      <c r="M17" s="37" t="n">
        <f aca="false">IMABS(IMDIV(IMPRODUCT(J17,F17,H17),L17))^2</f>
        <v>5.83004823924624E-028</v>
      </c>
      <c r="N17" s="5" t="str">
        <f aca="false">IMDIV(IMPRODUCT(L_Yv,K17,E17),H17)</f>
        <v>0.000168827804676137-2.49788875452189i</v>
      </c>
      <c r="O17" s="37" t="n">
        <f aca="false">IMABS(IMSUM(1,IMPRODUCT(E17,G17),N17))^2</f>
        <v>7.23975503902716</v>
      </c>
      <c r="P17" s="37" t="n">
        <f aca="false">IMABS(N17)^2</f>
        <v>6.23944825846975</v>
      </c>
      <c r="Q17" s="37" t="n">
        <f aca="false">p_Rb^2/(1+(C17*p_Rb*L_Ctot)^2)</f>
        <v>2.87501596427503E+019</v>
      </c>
      <c r="R17" s="37" t="n">
        <f aca="false">M17*L_Kt^2*Q17</f>
        <v>3.36395233794422E-006</v>
      </c>
      <c r="S17" s="37" t="n">
        <f aca="false">L_kT4*D17</f>
        <v>1.26357021492909E-012</v>
      </c>
      <c r="T17" s="37" t="n">
        <f aca="false">L_kT4*L_Rsq*O17</f>
        <v>3.73968922739201E-011</v>
      </c>
      <c r="U17" s="37" t="n">
        <f aca="false">L_kT4*L_Rh*O17</f>
        <v>2.84531577372646E-011</v>
      </c>
      <c r="V17" s="37" t="n">
        <f aca="false">L_kT4*p_Rv*P17</f>
        <v>5.13681919356995E-008</v>
      </c>
      <c r="W17" s="37" t="n">
        <f aca="false">L_kT4/p_Rb*Q17/R17</f>
        <v>1.40724111197918E-007</v>
      </c>
      <c r="X17" s="37" t="n">
        <f aca="false">p_en^2*(1+p_fc/B17)/R17</f>
        <v>1.76895434476839E-010</v>
      </c>
      <c r="Y17" s="37" t="n">
        <f aca="false">p_in^2*Q17/R17</f>
        <v>2.13663547774284E-008</v>
      </c>
      <c r="Z17" s="37" t="n">
        <f aca="false">p_eo^2/L_G^2/R17</f>
        <v>1.88456081804022E-011</v>
      </c>
      <c r="AA17" s="37" t="n">
        <f aca="false">SUM(S17:Z17)</f>
        <v>2.13721512573929E-007</v>
      </c>
      <c r="AB17" s="47" t="n">
        <f aca="false">10*LOG10(AA17/L_PREF^2)</f>
        <v>27.2778824783154</v>
      </c>
      <c r="AC17" s="47" t="n">
        <f aca="false">10*LOG10(S17/L_PREF^2)</f>
        <v>-25.0046061123034</v>
      </c>
      <c r="AD17" s="47" t="n">
        <f aca="false">10*LOG10(T17/L_PREF^2)</f>
        <v>-10.2922447801427</v>
      </c>
      <c r="AE17" s="47" t="n">
        <f aca="false">10*LOG10(U17/L_PREF^2)</f>
        <v>-11.4792951983174</v>
      </c>
      <c r="AF17" s="47" t="n">
        <f aca="false">10*LOG10(V17/L_PREF^2)</f>
        <v>21.0863428831174</v>
      </c>
      <c r="AG17" s="47" t="n">
        <f aca="false">10*LOG10(W17/L_PREF^2)</f>
        <v>25.4630852304419</v>
      </c>
      <c r="AH17" s="47" t="n">
        <f aca="false">10*LOG10(X17/L_PREF^2)</f>
        <v>-3.54343367050815</v>
      </c>
      <c r="AI17" s="47" t="n">
        <f aca="false">10*LOG10(Y17/L_PREF^2)</f>
        <v>17.2767044402827</v>
      </c>
      <c r="AJ17" s="47" t="n">
        <f aca="false">10*LOG10(Z17/L_PREF^2)</f>
        <v>-13.2684983388139</v>
      </c>
      <c r="AK17" s="47" t="n">
        <f aca="false">10*LOG10(R17/$R$6)</f>
        <v>-8.01921070761215</v>
      </c>
      <c r="AL17" s="37" t="n">
        <f aca="false">(12194^2*B17^4/((B17^2+20.6^2)*SQRT((B17^2+107.7^2)*(B17^2+737.9^2))*(B17^2+12194^2))*1.2589254)^2</f>
        <v>3.39755404423242E-007</v>
      </c>
      <c r="AM17" s="37" t="n">
        <v>0</v>
      </c>
      <c r="AN17" s="37" t="n">
        <v>0</v>
      </c>
      <c r="AO17" s="37" t="n">
        <v>0</v>
      </c>
      <c r="AP17" s="37" t="n">
        <v>0</v>
      </c>
      <c r="AQ17" s="37" t="n">
        <v>0</v>
      </c>
      <c r="AR17" s="37" t="n">
        <v>0</v>
      </c>
      <c r="AS17" s="37" t="n">
        <v>0</v>
      </c>
      <c r="AT17" s="37" t="n">
        <v>0</v>
      </c>
      <c r="AU17" s="37" t="n">
        <v>0</v>
      </c>
      <c r="AV17" s="37" t="n">
        <v>0</v>
      </c>
      <c r="AW17" s="37" t="n">
        <v>0</v>
      </c>
      <c r="AX17" s="37" t="n">
        <v>0</v>
      </c>
      <c r="AY17" s="37" t="n">
        <v>0</v>
      </c>
      <c r="AZ17" s="37" t="n">
        <v>0</v>
      </c>
      <c r="BA17" s="37" t="n">
        <v>0</v>
      </c>
      <c r="BB17" s="37" t="n">
        <v>0</v>
      </c>
      <c r="BC17" s="37" t="n">
        <v>0</v>
      </c>
      <c r="BD17" s="37" t="n">
        <v>0</v>
      </c>
      <c r="BE17" s="37" t="n">
        <f aca="false">IF(B17&gt;2000,AK17,-999)</f>
        <v>-999</v>
      </c>
      <c r="BF17" s="37" t="n">
        <f aca="false">IF(AND(B17&lt;1000,AK17&gt;=-3),B17,1000000000)</f>
        <v>1000000000</v>
      </c>
    </row>
    <row r="18" customFormat="false" ht="15" hidden="false" customHeight="false" outlineLevel="0" collapsed="false">
      <c r="A18" s="5" t="n">
        <v>-21</v>
      </c>
      <c r="B18" s="47" t="n">
        <f aca="false">20*10^(A18/100)</f>
        <v>12.3319000372296</v>
      </c>
      <c r="C18" s="37" t="n">
        <f aca="false">2*PI()*B18</f>
        <v>77.4836131235287</v>
      </c>
      <c r="D18" s="37" t="n">
        <f aca="false">SQRT(L_Rp0^2+L_Rp1^2*C18)</f>
        <v>76742035.6185661</v>
      </c>
      <c r="E18" s="5" t="str">
        <f aca="false">COMPLEX(D18,C18*L_Mp)</f>
        <v>76742035.6185661+1144643.65670106i</v>
      </c>
      <c r="F18" s="5" t="str">
        <f aca="false">IMDIV(1,E18)</f>
        <v>1.30277698542834e-08-1.9431533193601e-10i</v>
      </c>
      <c r="G18" s="5" t="str">
        <f aca="false">COMPLEX(0,C18*L_Cf)</f>
        <v>8.19325506223207e-14i</v>
      </c>
      <c r="H18" s="5" t="str">
        <f aca="false">COMPLEX(0,C18*L_Cbv)</f>
        <v>8.19325506223207e-13i</v>
      </c>
      <c r="I18" s="5" t="str">
        <f aca="false">COMPLEX(L_Rsq+L_Rh,C18*(L_Md+L_Mh)-1/(C18*L_Cd))</f>
        <v>552400610.124532-14867379243049.4i</v>
      </c>
      <c r="J18" s="5" t="str">
        <f aca="false">IMDIV(1,I18)</f>
        <v>2.49910963874986e-18+6.72613499845305e-14i</v>
      </c>
      <c r="K18" s="5" t="str">
        <f aca="false">IMSUM(F18,G18,H18)</f>
        <v>1.30277698542834e-08-1.93414073879164e-10i</v>
      </c>
      <c r="L18" s="5" t="str">
        <f aca="false">IMSUM(IMPRODUCT(IMSUM(F18,G18),H18),IMPRODUCT(IMSUM(J18,L_Yv),K18))</f>
        <v>2.62277219363841e-20+1.11634208873858e-20i</v>
      </c>
      <c r="M18" s="37" t="n">
        <f aca="false">IMABS(IMDIV(IMPRODUCT(J18,F18,H18),L18))^2</f>
        <v>6.34525808333716E-028</v>
      </c>
      <c r="N18" s="5" t="str">
        <f aca="false">IMDIV(IMPRODUCT(L_Yv,K18,E18),H18)</f>
        <v>0.00016883247836097-2.44102975138736i</v>
      </c>
      <c r="O18" s="37" t="n">
        <f aca="false">IMABS(IMSUM(1,IMPRODUCT(E18,G18),N18))^2</f>
        <v>6.95893305627751</v>
      </c>
      <c r="P18" s="37" t="n">
        <f aca="false">IMABS(N18)^2</f>
        <v>5.95862627566264</v>
      </c>
      <c r="Q18" s="37" t="n">
        <f aca="false">p_Rb^2/(1+(C18*p_Rb*L_Ctot)^2)</f>
        <v>2.74562248332998E+019</v>
      </c>
      <c r="R18" s="37" t="n">
        <f aca="false">M18*L_Kt^2*Q18</f>
        <v>3.49645174325448E-006</v>
      </c>
      <c r="S18" s="37" t="n">
        <f aca="false">L_kT4*D18</f>
        <v>1.26360519452648E-012</v>
      </c>
      <c r="T18" s="37" t="n">
        <f aca="false">L_kT4*L_Rsq*O18</f>
        <v>3.59463087416838E-011</v>
      </c>
      <c r="U18" s="37" t="n">
        <f aca="false">L_kT4*L_Rh*O18</f>
        <v>2.73494916424597E-011</v>
      </c>
      <c r="V18" s="37" t="n">
        <f aca="false">L_kT4*p_Rv*P18</f>
        <v>4.9056237911076E-008</v>
      </c>
      <c r="W18" s="37" t="n">
        <f aca="false">L_kT4/p_Rb*Q18/R18</f>
        <v>1.29297870304659E-007</v>
      </c>
      <c r="X18" s="37" t="n">
        <f aca="false">p_en^2*(1+p_fc/B18)/R18</f>
        <v>1.66734528019604E-010</v>
      </c>
      <c r="Y18" s="37" t="n">
        <f aca="false">p_in^2*Q18/R18</f>
        <v>1.96314913299387E-008</v>
      </c>
      <c r="Z18" s="37" t="n">
        <f aca="false">p_eo^2/L_G^2/R18</f>
        <v>1.8131446493077E-011</v>
      </c>
      <c r="AA18" s="37" t="n">
        <f aca="false">SUM(S18:Z18)</f>
        <v>1.98235024925765E-007</v>
      </c>
      <c r="AB18" s="47" t="n">
        <f aca="false">10*LOG10(AA18/L_PREF^2)</f>
        <v>26.9512039841831</v>
      </c>
      <c r="AC18" s="47" t="n">
        <f aca="false">10*LOG10(S18/L_PREF^2)</f>
        <v>-25.0044858875966</v>
      </c>
      <c r="AD18" s="47" t="n">
        <f aca="false">10*LOG10(T18/L_PREF^2)</f>
        <v>-10.4640569119667</v>
      </c>
      <c r="AE18" s="47" t="n">
        <f aca="false">10*LOG10(U18/L_PREF^2)</f>
        <v>-11.6511073301414</v>
      </c>
      <c r="AF18" s="47" t="n">
        <f aca="false">10*LOG10(V18/L_PREF^2)</f>
        <v>20.8863424807628</v>
      </c>
      <c r="AG18" s="47" t="n">
        <f aca="false">10*LOG10(W18/L_PREF^2)</f>
        <v>25.0953138024576</v>
      </c>
      <c r="AH18" s="47" t="n">
        <f aca="false">10*LOG10(X18/L_PREF^2)</f>
        <v>-3.80034446835091</v>
      </c>
      <c r="AI18" s="47" t="n">
        <f aca="false">10*LOG10(Y18/L_PREF^2)</f>
        <v>16.9089330122985</v>
      </c>
      <c r="AJ18" s="47" t="n">
        <f aca="false">10*LOG10(Z18/L_PREF^2)</f>
        <v>-13.4362753864435</v>
      </c>
      <c r="AK18" s="47" t="n">
        <f aca="false">10*LOG10(R18/$R$6)</f>
        <v>-7.85143365998251</v>
      </c>
      <c r="AL18" s="37" t="n">
        <f aca="false">(12194^2*B18^4/((B18^2+20.6^2)*SQRT((B18^2+107.7^2)*(B18^2+737.9^2))*(B18^2+12194^2))*1.2589254)^2</f>
        <v>3.98595688392592E-007</v>
      </c>
      <c r="AM18" s="37" t="n">
        <v>0</v>
      </c>
      <c r="AN18" s="37" t="n">
        <v>0</v>
      </c>
      <c r="AO18" s="37" t="n">
        <v>0</v>
      </c>
      <c r="AP18" s="37" t="n">
        <v>0</v>
      </c>
      <c r="AQ18" s="37" t="n">
        <v>0</v>
      </c>
      <c r="AR18" s="37" t="n">
        <v>0</v>
      </c>
      <c r="AS18" s="37" t="n">
        <v>0</v>
      </c>
      <c r="AT18" s="37" t="n">
        <v>0</v>
      </c>
      <c r="AU18" s="37" t="n">
        <v>0</v>
      </c>
      <c r="AV18" s="37" t="n">
        <v>0</v>
      </c>
      <c r="AW18" s="37" t="n">
        <v>0</v>
      </c>
      <c r="AX18" s="37" t="n">
        <v>0</v>
      </c>
      <c r="AY18" s="37" t="n">
        <v>0</v>
      </c>
      <c r="AZ18" s="37" t="n">
        <v>0</v>
      </c>
      <c r="BA18" s="37" t="n">
        <v>0</v>
      </c>
      <c r="BB18" s="37" t="n">
        <v>0</v>
      </c>
      <c r="BC18" s="37" t="n">
        <v>0</v>
      </c>
      <c r="BD18" s="37" t="n">
        <v>0</v>
      </c>
      <c r="BE18" s="37" t="n">
        <f aca="false">IF(B18&gt;2000,AK18,-999)</f>
        <v>-999</v>
      </c>
      <c r="BF18" s="37" t="n">
        <f aca="false">IF(AND(B18&lt;1000,AK18&gt;=-3),B18,1000000000)</f>
        <v>1000000000</v>
      </c>
    </row>
    <row r="19" customFormat="false" ht="15" hidden="false" customHeight="false" outlineLevel="0" collapsed="false">
      <c r="A19" s="5" t="n">
        <v>-20</v>
      </c>
      <c r="B19" s="47" t="n">
        <f aca="false">20*10^(A19/100)</f>
        <v>12.6191468896039</v>
      </c>
      <c r="C19" s="37" t="n">
        <f aca="false">2*PI()*B19</f>
        <v>79.2884383259</v>
      </c>
      <c r="D19" s="37" t="n">
        <f aca="false">SQRT(L_Rp0^2+L_Rp1^2*C19)</f>
        <v>76744209.4434543</v>
      </c>
      <c r="E19" s="5" t="str">
        <f aca="false">COMPLEX(D19,C19*L_Mp)</f>
        <v>76744209.4434543+1171305.83256081i</v>
      </c>
      <c r="F19" s="5" t="str">
        <f aca="false">IMDIV(1,E19)</f>
        <v>1.30272644497009e-08-1.98828171439953e-10i</v>
      </c>
      <c r="G19" s="5" t="str">
        <f aca="false">COMPLEX(0,C19*L_Cf)</f>
        <v>8.38410048915089e-14i</v>
      </c>
      <c r="H19" s="5" t="str">
        <f aca="false">COMPLEX(0,C19*L_Cbv)</f>
        <v>8.38410048915089e-13i</v>
      </c>
      <c r="I19" s="5" t="str">
        <f aca="false">COMPLEX(L_Rsq+L_Rh,C19*(L_Md+L_Mh)-1/(C19*L_Cd))</f>
        <v>552400610.124532-14528956360927.3i</v>
      </c>
      <c r="J19" s="5" t="str">
        <f aca="false">IMDIV(1,I19)</f>
        <v>2.6168890521177e-18+6.88280681497349e-14i</v>
      </c>
      <c r="K19" s="5" t="str">
        <f aca="false">IMSUM(F19,G19,H19)</f>
        <v>1.30272644497009e-08-1.97905920386146e-10i</v>
      </c>
      <c r="L19" s="5" t="str">
        <f aca="false">IMSUM(IMPRODUCT(IMSUM(F19,G19),H19),IMPRODUCT(IMSUM(J19,L_Yv),K19))</f>
        <v>2.62348137162848e-20+1.1423018511182e-20i</v>
      </c>
      <c r="M19" s="37" t="n">
        <f aca="false">IMABS(IMDIV(IMPRODUCT(J19,F19,H19),L19))^2</f>
        <v>6.90398731142696E-028</v>
      </c>
      <c r="N19" s="5" t="str">
        <f aca="false">IMDIV(IMPRODUCT(L_Yv,K19,E19),H19)</f>
        <v>0.000168837260775577-2.38546501453786i</v>
      </c>
      <c r="O19" s="37" t="n">
        <f aca="false">IMABS(IMSUM(1,IMPRODUCT(E19,G19),N19))^2</f>
        <v>6.6907501445624</v>
      </c>
      <c r="P19" s="37" t="n">
        <f aca="false">IMABS(N19)^2</f>
        <v>5.69044336409014</v>
      </c>
      <c r="Q19" s="37" t="n">
        <f aca="false">p_Rb^2/(1+(C19*p_Rb*L_Ctot)^2)</f>
        <v>2.62205235575229E+019</v>
      </c>
      <c r="R19" s="37" t="n">
        <f aca="false">M19*L_Kt^2*Q19</f>
        <v>3.63311185368399E-006</v>
      </c>
      <c r="S19" s="37" t="n">
        <f aca="false">L_kT4*D19</f>
        <v>1.26364098790098E-012</v>
      </c>
      <c r="T19" s="37" t="n">
        <f aca="false">L_kT4*L_Rsq*O19</f>
        <v>3.4561012221974E-011</v>
      </c>
      <c r="U19" s="37" t="n">
        <f aca="false">L_kT4*L_Rh*O19</f>
        <v>2.62954987037022E-011</v>
      </c>
      <c r="V19" s="37" t="n">
        <f aca="false">L_kT4*p_Rv*P19</f>
        <v>4.68483389583391E-008</v>
      </c>
      <c r="W19" s="37" t="n">
        <f aca="false">L_kT4/p_Rb*Q19/R19</f>
        <v>1.18833989649866E-007</v>
      </c>
      <c r="X19" s="37" t="n">
        <f aca="false">p_en^2*(1+p_fc/B19)/R19</f>
        <v>1.57211185504347E-010</v>
      </c>
      <c r="Y19" s="37" t="n">
        <f aca="false">p_in^2*Q19/R19</f>
        <v>1.80427444939077E-008</v>
      </c>
      <c r="Z19" s="37" t="n">
        <f aca="false">p_eo^2/L_G^2/R19</f>
        <v>1.74494290986833E-011</v>
      </c>
      <c r="AA19" s="37" t="n">
        <f aca="false">SUM(S19:Z19)</f>
        <v>1.83961853868629E-007</v>
      </c>
      <c r="AB19" s="47" t="n">
        <f aca="false">10*LOG10(AA19/L_PREF^2)</f>
        <v>26.6266778618232</v>
      </c>
      <c r="AC19" s="47" t="n">
        <f aca="false">10*LOG10(S19/L_PREF^2)</f>
        <v>-25.0043628693869</v>
      </c>
      <c r="AD19" s="47" t="n">
        <f aca="false">10*LOG10(T19/L_PREF^2)</f>
        <v>-10.6347353773001</v>
      </c>
      <c r="AE19" s="47" t="n">
        <f aca="false">10*LOG10(U19/L_PREF^2)</f>
        <v>-11.8217857954749</v>
      </c>
      <c r="AF19" s="47" t="n">
        <f aca="false">10*LOG10(V19/L_PREF^2)</f>
        <v>20.6863420594459</v>
      </c>
      <c r="AG19" s="47" t="n">
        <f aca="false">10*LOG10(W19/L_PREF^2)</f>
        <v>24.7288068674218</v>
      </c>
      <c r="AH19" s="47" t="n">
        <f aca="false">10*LOG10(X19/L_PREF^2)</f>
        <v>-4.055765486704</v>
      </c>
      <c r="AI19" s="47" t="n">
        <f aca="false">10*LOG10(Y19/L_PREF^2)</f>
        <v>16.5424260772626</v>
      </c>
      <c r="AJ19" s="47" t="n">
        <f aca="false">10*LOG10(Z19/L_PREF^2)</f>
        <v>-13.6027876882059</v>
      </c>
      <c r="AK19" s="47" t="n">
        <f aca="false">10*LOG10(R19/$R$6)</f>
        <v>-7.68492135822015</v>
      </c>
      <c r="AL19" s="37" t="n">
        <f aca="false">(12194^2*B19^4/((B19^2+20.6^2)*SQRT((B19^2+107.7^2)*(B19^2+737.9^2))*(B19^2+12194^2))*1.2589254)^2</f>
        <v>4.67228190969419E-007</v>
      </c>
      <c r="AM19" s="37" t="n">
        <v>0</v>
      </c>
      <c r="AN19" s="37" t="n">
        <v>0</v>
      </c>
      <c r="AO19" s="37" t="n">
        <v>0</v>
      </c>
      <c r="AP19" s="37" t="n">
        <v>0</v>
      </c>
      <c r="AQ19" s="37" t="n">
        <v>0</v>
      </c>
      <c r="AR19" s="37" t="n">
        <v>0</v>
      </c>
      <c r="AS19" s="37" t="n">
        <v>0</v>
      </c>
      <c r="AT19" s="37" t="n">
        <v>0</v>
      </c>
      <c r="AU19" s="37" t="n">
        <v>0</v>
      </c>
      <c r="AV19" s="37" t="n">
        <v>0</v>
      </c>
      <c r="AW19" s="37" t="n">
        <v>0</v>
      </c>
      <c r="AX19" s="37" t="n">
        <v>0</v>
      </c>
      <c r="AY19" s="37" t="n">
        <v>0</v>
      </c>
      <c r="AZ19" s="37" t="n">
        <v>0</v>
      </c>
      <c r="BA19" s="37" t="n">
        <v>0</v>
      </c>
      <c r="BB19" s="37" t="n">
        <v>0</v>
      </c>
      <c r="BC19" s="37" t="n">
        <v>0</v>
      </c>
      <c r="BD19" s="37" t="n">
        <v>0</v>
      </c>
      <c r="BE19" s="37" t="n">
        <f aca="false">IF(B19&gt;2000,AK19,-999)</f>
        <v>-999</v>
      </c>
      <c r="BF19" s="37" t="n">
        <f aca="false">IF(AND(B19&lt;1000,AK19&gt;=-3),B19,1000000000)</f>
        <v>1000000000</v>
      </c>
    </row>
    <row r="20" customFormat="false" ht="15" hidden="false" customHeight="false" outlineLevel="0" collapsed="false">
      <c r="A20" s="5" t="n">
        <v>-19</v>
      </c>
      <c r="B20" s="47" t="n">
        <f aca="false">20*10^(A20/100)</f>
        <v>12.9130845806931</v>
      </c>
      <c r="C20" s="37" t="n">
        <f aca="false">2*PI()*B20</f>
        <v>81.1353033077782</v>
      </c>
      <c r="D20" s="37" t="n">
        <f aca="false">SQRT(L_Rp0^2+L_Rp1^2*C20)</f>
        <v>76746433.8394878</v>
      </c>
      <c r="E20" s="5" t="str">
        <f aca="false">COMPLEX(D20,C20*L_Mp)</f>
        <v>76746433.8394877+1198589.05027705i</v>
      </c>
      <c r="F20" s="5" t="str">
        <f aca="false">IMDIV(1,E20)</f>
        <v>1.30267440777974e-08-2.03445450573832e-10i</v>
      </c>
      <c r="G20" s="5" t="str">
        <f aca="false">COMPLEX(0,C20*L_Cf)</f>
        <v>8.57939127712575e-14i</v>
      </c>
      <c r="H20" s="5" t="str">
        <f aca="false">COMPLEX(0,C20*L_Cbv)</f>
        <v>8.57939127712575e-13i</v>
      </c>
      <c r="I20" s="5" t="str">
        <f aca="false">COMPLEX(L_Rsq+L_Rh,C20*(L_Md+L_Mh)-1/(C20*L_Cd))</f>
        <v>552400610.124532-14198236923781.3i</v>
      </c>
      <c r="J20" s="5" t="str">
        <f aca="false">IMDIV(1,I20)</f>
        <v>2.74021923867872e-18+7.04312798733027e-14i</v>
      </c>
      <c r="K20" s="5" t="str">
        <f aca="false">IMSUM(F20,G20,H20)</f>
        <v>1.30267440777974e-08-2.02501717533348e-10i</v>
      </c>
      <c r="L20" s="5" t="str">
        <f aca="false">IMSUM(IMPRODUCT(IMSUM(F20,G20),H20),IMPRODUCT(IMSUM(J20,L_Yv),K20))</f>
        <v>2.62422565133197e-20+1.16886397190559e-20i</v>
      </c>
      <c r="M20" s="37" t="n">
        <f aca="false">IMABS(IMDIV(IMPRODUCT(J20,F20,H20),L20))^2</f>
        <v>7.50966037747195E-028</v>
      </c>
      <c r="N20" s="5" t="str">
        <f aca="false">IMDIV(IMPRODUCT(L_Yv,K20,E20),H20)</f>
        <v>0.000168842154446925-2.33116508281444i</v>
      </c>
      <c r="O20" s="37" t="n">
        <f aca="false">IMABS(IMSUM(1,IMPRODUCT(E20,G20),N20))^2</f>
        <v>6.43463745195636</v>
      </c>
      <c r="P20" s="37" t="n">
        <f aca="false">IMABS(N20)^2</f>
        <v>5.43433067184093</v>
      </c>
      <c r="Q20" s="37" t="n">
        <f aca="false">p_Rb^2/(1+(C20*p_Rb*L_Ctot)^2)</f>
        <v>2.5040435149702E+019</v>
      </c>
      <c r="R20" s="37" t="n">
        <f aca="false">M20*L_Kt^2*Q20</f>
        <v>3.77397999198517E-006</v>
      </c>
      <c r="S20" s="37" t="n">
        <f aca="false">L_kT4*D20</f>
        <v>1.26367761396074E-012</v>
      </c>
      <c r="T20" s="37" t="n">
        <f aca="false">L_kT4*L_Rsq*O20</f>
        <v>3.3238064315071E-011</v>
      </c>
      <c r="U20" s="37" t="n">
        <f aca="false">L_kT4*L_Rh*O20</f>
        <v>2.52889432606033E-011</v>
      </c>
      <c r="V20" s="37" t="n">
        <f aca="false">L_kT4*p_Rv*P20</f>
        <v>4.47398118277924E-008</v>
      </c>
      <c r="W20" s="37" t="n">
        <f aca="false">L_kT4/p_Rb*Q20/R20</f>
        <v>1.09249728412499E-007</v>
      </c>
      <c r="X20" s="37" t="n">
        <f aca="false">p_en^2*(1+p_fc/B20)/R20</f>
        <v>1.48284124250914E-010</v>
      </c>
      <c r="Y20" s="37" t="n">
        <f aca="false">p_in^2*Q20/R20</f>
        <v>1.65875516052553E-008</v>
      </c>
      <c r="Z20" s="37" t="n">
        <f aca="false">p_eo^2/L_G^2/R20</f>
        <v>1.67981091137416E-011</v>
      </c>
      <c r="AA20" s="37" t="n">
        <f aca="false">SUM(S20:Z20)</f>
        <v>1.70801964764101E-007</v>
      </c>
      <c r="AB20" s="47" t="n">
        <f aca="false">10*LOG10(AA20/L_PREF^2)</f>
        <v>26.3043287081718</v>
      </c>
      <c r="AC20" s="47" t="n">
        <f aca="false">10*LOG10(S20/L_PREF^2)</f>
        <v>-25.0042369929293</v>
      </c>
      <c r="AD20" s="47" t="n">
        <f aca="false">10*LOG10(T20/L_PREF^2)</f>
        <v>-10.8042426748429</v>
      </c>
      <c r="AE20" s="47" t="n">
        <f aca="false">10*LOG10(U20/L_PREF^2)</f>
        <v>-11.9912930930176</v>
      </c>
      <c r="AF20" s="47" t="n">
        <f aca="false">10*LOG10(V20/L_PREF^2)</f>
        <v>20.486341618273</v>
      </c>
      <c r="AG20" s="47" t="n">
        <f aca="false">10*LOG10(W20/L_PREF^2)</f>
        <v>24.3636037468887</v>
      </c>
      <c r="AH20" s="47" t="n">
        <f aca="false">10*LOG10(X20/L_PREF^2)</f>
        <v>-4.30965334698078</v>
      </c>
      <c r="AI20" s="47" t="n">
        <f aca="false">10*LOG10(Y20/L_PREF^2)</f>
        <v>16.1772229567295</v>
      </c>
      <c r="AJ20" s="47" t="n">
        <f aca="false">10*LOG10(Z20/L_PREF^2)</f>
        <v>-13.7679959339291</v>
      </c>
      <c r="AK20" s="47" t="n">
        <f aca="false">10*LOG10(R20/$R$6)</f>
        <v>-7.51971311249689</v>
      </c>
      <c r="AL20" s="37" t="n">
        <f aca="false">(12194^2*B20^4/((B20^2+20.6^2)*SQRT((B20^2+107.7^2)*(B20^2+737.9^2))*(B20^2+12194^2))*1.2589254)^2</f>
        <v>5.47201695223672E-007</v>
      </c>
      <c r="AM20" s="37" t="n">
        <v>0</v>
      </c>
      <c r="AN20" s="37" t="n">
        <v>0</v>
      </c>
      <c r="AO20" s="37" t="n">
        <v>0</v>
      </c>
      <c r="AP20" s="37" t="n">
        <v>0</v>
      </c>
      <c r="AQ20" s="37" t="n">
        <v>0</v>
      </c>
      <c r="AR20" s="37" t="n">
        <v>0</v>
      </c>
      <c r="AS20" s="37" t="n">
        <v>0</v>
      </c>
      <c r="AT20" s="37" t="n">
        <v>0</v>
      </c>
      <c r="AU20" s="37" t="n">
        <v>0</v>
      </c>
      <c r="AV20" s="37" t="n">
        <v>0</v>
      </c>
      <c r="AW20" s="37" t="n">
        <v>0</v>
      </c>
      <c r="AX20" s="37" t="n">
        <v>0</v>
      </c>
      <c r="AY20" s="37" t="n">
        <v>0</v>
      </c>
      <c r="AZ20" s="37" t="n">
        <v>0</v>
      </c>
      <c r="BA20" s="37" t="n">
        <v>0</v>
      </c>
      <c r="BB20" s="37" t="n">
        <v>0</v>
      </c>
      <c r="BC20" s="37" t="n">
        <v>0</v>
      </c>
      <c r="BD20" s="37" t="n">
        <v>0</v>
      </c>
      <c r="BE20" s="37" t="n">
        <f aca="false">IF(B20&gt;2000,AK20,-999)</f>
        <v>-999</v>
      </c>
      <c r="BF20" s="37" t="n">
        <f aca="false">IF(AND(B20&lt;1000,AK20&gt;=-3),B20,1000000000)</f>
        <v>1000000000</v>
      </c>
    </row>
    <row r="21" customFormat="false" ht="15" hidden="false" customHeight="false" outlineLevel="0" collapsed="false">
      <c r="A21" s="5" t="n">
        <v>-18</v>
      </c>
      <c r="B21" s="47" t="n">
        <f aca="false">20*10^(A21/100)</f>
        <v>13.2138689601519</v>
      </c>
      <c r="C21" s="37" t="n">
        <f aca="false">2*PI()*B21</f>
        <v>83.025187301423</v>
      </c>
      <c r="D21" s="37" t="n">
        <f aca="false">SQRT(L_Rp0^2+L_Rp1^2*C21)</f>
        <v>76748709.9816215</v>
      </c>
      <c r="E21" s="5" t="str">
        <f aca="false">COMPLEX(D21,C21*L_Mp)</f>
        <v>76748709.9816215+1226507.77577295i</v>
      </c>
      <c r="F21" s="5" t="str">
        <f aca="false">IMDIV(1,E21)</f>
        <v>1.30262082404676e-08-2.08169566623296e-10i</v>
      </c>
      <c r="G21" s="5" t="str">
        <f aca="false">COMPLEX(0,C21*L_Cf)</f>
        <v>8.77923097191741e-14i</v>
      </c>
      <c r="H21" s="5" t="str">
        <f aca="false">COMPLEX(0,C21*L_Cbv)</f>
        <v>8.77923097191741e-13i</v>
      </c>
      <c r="I21" s="5" t="str">
        <f aca="false">COMPLEX(L_Rsq+L_Rh,C21*(L_Md+L_Mh)-1/(C21*L_Cd))</f>
        <v>552400610.124532-13875045579788.2i</v>
      </c>
      <c r="J21" s="5" t="str">
        <f aca="false">IMDIV(1,I21)</f>
        <v>2.86936179835759e-18+7.20718351997102e-14i</v>
      </c>
      <c r="K21" s="5" t="str">
        <f aca="false">IMSUM(F21,G21,H21)</f>
        <v>1.30262082404676e-08-2.07203851216385e-10i</v>
      </c>
      <c r="L21" s="5" t="str">
        <f aca="false">IMSUM(IMPRODUCT(IMSUM(F21,G21),H21),IMPRODUCT(IMSUM(J21,L_Yv),K21))</f>
        <v>2.62500672154316e-20+1.19604235197444e-20i</v>
      </c>
      <c r="M21" s="37" t="n">
        <f aca="false">IMABS(IMDIV(IMPRODUCT(J21,F21,H21),L21))^2</f>
        <v>8.16594129514731E-028</v>
      </c>
      <c r="N21" s="5" t="str">
        <f aca="false">IMDIV(IMPRODUCT(L_Yv,K21,E21),H21)</f>
        <v>0.000168847161959596-2.27810116567452i</v>
      </c>
      <c r="O21" s="37" t="n">
        <f aca="false">IMABS(IMSUM(1,IMPRODUCT(E21,G21),N21))^2</f>
        <v>6.1900517290864</v>
      </c>
      <c r="P21" s="37" t="n">
        <f aca="false">IMABS(N21)^2</f>
        <v>5.18974494955697</v>
      </c>
      <c r="Q21" s="37" t="n">
        <f aca="false">p_Rb^2/(1+(C21*p_Rb*L_Ctot)^2)</f>
        <v>2.3913456869307E+019</v>
      </c>
      <c r="R21" s="37" t="n">
        <f aca="false">M21*L_Kt^2*Q21</f>
        <v>3.91909724417155E-006</v>
      </c>
      <c r="S21" s="37" t="n">
        <f aca="false">L_kT4*D21</f>
        <v>1.26371509205212E-012</v>
      </c>
      <c r="T21" s="37" t="n">
        <f aca="false">L_kT4*L_Rsq*O21</f>
        <v>3.19746588710194E-011</v>
      </c>
      <c r="U21" s="37" t="n">
        <f aca="false">L_kT4*L_Rh*O21</f>
        <v>2.43276902740607E-011</v>
      </c>
      <c r="V21" s="37" t="n">
        <f aca="false">L_kT4*p_Rv*P21</f>
        <v>4.27261840506954E-008</v>
      </c>
      <c r="W21" s="37" t="n">
        <f aca="false">L_kT4/p_Rb*Q21/R21</f>
        <v>1.00469538912368E-007</v>
      </c>
      <c r="X21" s="37" t="n">
        <f aca="false">p_en^2*(1+p_fc/B21)/R21</f>
        <v>1.39914772544895E-010</v>
      </c>
      <c r="Y21" s="37" t="n">
        <f aca="false">p_in^2*Q21/R21</f>
        <v>1.52544421453632E-008</v>
      </c>
      <c r="Z21" s="37" t="n">
        <f aca="false">p_eo^2/L_G^2/R21</f>
        <v>1.61761047886031E-011</v>
      </c>
      <c r="AA21" s="37" t="n">
        <f aca="false">SUM(S21:Z21)</f>
        <v>1.58663822049997E-007</v>
      </c>
      <c r="AB21" s="47" t="n">
        <f aca="false">10*LOG10(AA21/L_PREF^2)</f>
        <v>25.9841792046028</v>
      </c>
      <c r="AC21" s="47" t="n">
        <f aca="false">10*LOG10(S21/L_PREF^2)</f>
        <v>-25.0041081919856</v>
      </c>
      <c r="AD21" s="47" t="n">
        <f aca="false">10*LOG10(T21/L_PREF^2)</f>
        <v>-10.9725407152283</v>
      </c>
      <c r="AE21" s="47" t="n">
        <f aca="false">10*LOG10(U21/L_PREF^2)</f>
        <v>-12.159591133403</v>
      </c>
      <c r="AF21" s="47" t="n">
        <f aca="false">10*LOG10(V21/L_PREF^2)</f>
        <v>20.2863411563083</v>
      </c>
      <c r="AG21" s="47" t="n">
        <f aca="false">10*LOG10(W21/L_PREF^2)</f>
        <v>23.9997441781647</v>
      </c>
      <c r="AH21" s="47" t="n">
        <f aca="false">10*LOG10(X21/L_PREF^2)</f>
        <v>-4.56196420538563</v>
      </c>
      <c r="AI21" s="47" t="n">
        <f aca="false">10*LOG10(Y21/L_PREF^2)</f>
        <v>15.8133633880055</v>
      </c>
      <c r="AJ21" s="47" t="n">
        <f aca="false">10*LOG10(Z21/L_PREF^2)</f>
        <v>-13.9318603971774</v>
      </c>
      <c r="AK21" s="47" t="n">
        <f aca="false">10*LOG10(R21/$R$6)</f>
        <v>-7.3558486492486</v>
      </c>
      <c r="AL21" s="37" t="n">
        <f aca="false">(12194^2*B21^4/((B21^2+20.6^2)*SQRT((B21^2+107.7^2)*(B21^2+737.9^2))*(B21^2+12194^2))*1.2589254)^2</f>
        <v>6.40294306349916E-007</v>
      </c>
      <c r="AM21" s="37" t="n">
        <v>0</v>
      </c>
      <c r="AN21" s="37" t="n">
        <v>0</v>
      </c>
      <c r="AO21" s="37" t="n">
        <v>0</v>
      </c>
      <c r="AP21" s="37" t="n">
        <v>0</v>
      </c>
      <c r="AQ21" s="37" t="n">
        <v>0</v>
      </c>
      <c r="AR21" s="37" t="n">
        <v>0</v>
      </c>
      <c r="AS21" s="37" t="n">
        <v>0</v>
      </c>
      <c r="AT21" s="37" t="n">
        <v>0</v>
      </c>
      <c r="AU21" s="37" t="n">
        <v>0</v>
      </c>
      <c r="AV21" s="37" t="n">
        <v>0</v>
      </c>
      <c r="AW21" s="37" t="n">
        <v>0</v>
      </c>
      <c r="AX21" s="37" t="n">
        <v>0</v>
      </c>
      <c r="AY21" s="37" t="n">
        <v>0</v>
      </c>
      <c r="AZ21" s="37" t="n">
        <v>0</v>
      </c>
      <c r="BA21" s="37" t="n">
        <v>0</v>
      </c>
      <c r="BB21" s="37" t="n">
        <v>0</v>
      </c>
      <c r="BC21" s="37" t="n">
        <v>0</v>
      </c>
      <c r="BD21" s="37" t="n">
        <v>0</v>
      </c>
      <c r="BE21" s="37" t="n">
        <f aca="false">IF(B21&gt;2000,AK21,-999)</f>
        <v>-999</v>
      </c>
      <c r="BF21" s="37" t="n">
        <f aca="false">IF(AND(B21&lt;1000,AK21&gt;=-3),B21,1000000000)</f>
        <v>1000000000</v>
      </c>
    </row>
    <row r="22" customFormat="false" ht="15" hidden="false" customHeight="false" outlineLevel="0" collapsed="false">
      <c r="A22" s="5" t="n">
        <v>-17</v>
      </c>
      <c r="B22" s="47" t="n">
        <f aca="false">20*10^(A22/100)</f>
        <v>13.5216595078396</v>
      </c>
      <c r="C22" s="37" t="n">
        <f aca="false">2*PI()*B22</f>
        <v>84.9590923483431</v>
      </c>
      <c r="D22" s="37" t="n">
        <f aca="false">SQRT(L_Rp0^2+L_Rp1^2*C22)</f>
        <v>76751039.0720379</v>
      </c>
      <c r="E22" s="5" t="str">
        <f aca="false">COMPLEX(D22,C22*L_Mp)</f>
        <v>76751039.0720379+1255076.81192631i</v>
      </c>
      <c r="F22" s="5" t="str">
        <f aca="false">IMDIV(1,E22)</f>
        <v>1.30256564210439e-08-2.13002970797919e-10i</v>
      </c>
      <c r="G22" s="5" t="str">
        <f aca="false">COMPLEX(0,C22*L_Cf)</f>
        <v>8.98372553117724e-14i</v>
      </c>
      <c r="H22" s="5" t="str">
        <f aca="false">COMPLEX(0,C22*L_Cbv)</f>
        <v>8.98372553117724e-13i</v>
      </c>
      <c r="I22" s="5" t="str">
        <f aca="false">COMPLEX(L_Rsq+L_Rh,C22*(L_Md+L_Mh)-1/(C22*L_Cd))</f>
        <v>552400610.124532-13559210968619.4i</v>
      </c>
      <c r="J22" s="5" t="str">
        <f aca="false">IMDIV(1,I22)</f>
        <v>3.00459065990782e-18+7.37506039735351e-14i</v>
      </c>
      <c r="K22" s="5" t="str">
        <f aca="false">IMSUM(F22,G22,H22)</f>
        <v>1.30256564210439e-08-2.1201476098949e-10i</v>
      </c>
      <c r="L22" s="5" t="str">
        <f aca="false">IMSUM(IMPRODUCT(IMSUM(F22,G22),H22),IMPRODUCT(IMSUM(J22,L_Yv),K22))</f>
        <v>2.62582635109007e-20+1.22385120842147e-20i</v>
      </c>
      <c r="M22" s="37" t="n">
        <f aca="false">IMABS(IMDIV(IMPRODUCT(J22,F22,H22),L22))^2</f>
        <v>8.87674707994989E-028</v>
      </c>
      <c r="N22" s="5" t="str">
        <f aca="false">IMDIV(IMPRODUCT(L_Yv,K22,E22),H22)</f>
        <v>0.000168852285958442-2.22624512792688i</v>
      </c>
      <c r="O22" s="37" t="n">
        <f aca="false">IMABS(IMSUM(1,IMPRODUCT(E22,G22),N22))^2</f>
        <v>5.9564741768278</v>
      </c>
      <c r="P22" s="37" t="n">
        <f aca="false">IMABS(N22)^2</f>
        <v>4.95616739812927</v>
      </c>
      <c r="Q22" s="37" t="n">
        <f aca="false">p_Rb^2/(1+(C22*p_Rb*L_Ctot)^2)</f>
        <v>2.28371985956168E+019</v>
      </c>
      <c r="R22" s="37" t="n">
        <f aca="false">M22*L_Kt^2*Q22</f>
        <v>4.0684979324985E-006</v>
      </c>
      <c r="S22" s="37" t="n">
        <f aca="false">L_kT4*D22</f>
        <v>1.2637534419698E-012</v>
      </c>
      <c r="T22" s="37" t="n">
        <f aca="false">L_kT4*L_Rsq*O22</f>
        <v>3.07681160374107E-011</v>
      </c>
      <c r="U22" s="37" t="n">
        <f aca="false">L_kT4*L_Rh*O22</f>
        <v>2.34097007975561E-011</v>
      </c>
      <c r="V22" s="37" t="n">
        <f aca="false">L_kT4*p_Rv*P22</f>
        <v>4.08031844525624E-008</v>
      </c>
      <c r="W22" s="37" t="n">
        <f aca="false">L_kT4/p_Rb*Q22/R22</f>
        <v>9.24244376143188E-008</v>
      </c>
      <c r="X22" s="37" t="n">
        <f aca="false">p_en^2*(1+p_fc/B22)/R22</f>
        <v>1.32067090392708E-010</v>
      </c>
      <c r="Y22" s="37" t="n">
        <f aca="false">p_in^2*Q22/R22</f>
        <v>1.40329422396881E-008</v>
      </c>
      <c r="Z22" s="37" t="n">
        <f aca="false">p_eo^2/L_G^2/R22</f>
        <v>1.55820965747702E-011</v>
      </c>
      <c r="AA22" s="37" t="n">
        <f aca="false">SUM(S22:Z22)</f>
        <v>1.47463655063814E-007</v>
      </c>
      <c r="AB22" s="47" t="n">
        <f aca="false">10*LOG10(AA22/L_PREF^2)</f>
        <v>25.666250028829</v>
      </c>
      <c r="AC22" s="47" t="n">
        <f aca="false">10*LOG10(S22/L_PREF^2)</f>
        <v>-25.0039763987909</v>
      </c>
      <c r="AD22" s="47" t="n">
        <f aca="false">10*LOG10(T22/L_PREF^2)</f>
        <v>-11.139590865529</v>
      </c>
      <c r="AE22" s="47" t="n">
        <f aca="false">10*LOG10(U22/L_PREF^2)</f>
        <v>-12.3266412837037</v>
      </c>
      <c r="AF22" s="47" t="n">
        <f aca="false">10*LOG10(V22/L_PREF^2)</f>
        <v>20.0863406725719</v>
      </c>
      <c r="AG22" s="47" t="n">
        <f aca="false">10*LOG10(W22/L_PREF^2)</f>
        <v>23.6372682532328</v>
      </c>
      <c r="AH22" s="47" t="n">
        <f aca="false">10*LOG10(X22/L_PREF^2)</f>
        <v>-4.81265381445905</v>
      </c>
      <c r="AI22" s="47" t="n">
        <f aca="false">10*LOG10(Y22/L_PREF^2)</f>
        <v>15.4508874630737</v>
      </c>
      <c r="AJ22" s="47" t="n">
        <f aca="false">10*LOG10(Z22/L_PREF^2)</f>
        <v>-14.0943409963488</v>
      </c>
      <c r="AK22" s="47" t="n">
        <f aca="false">10*LOG10(R22/$R$6)</f>
        <v>-7.19336805007717</v>
      </c>
      <c r="AL22" s="37" t="n">
        <f aca="false">(12194^2*B22^4/((B22^2+20.6^2)*SQRT((B22^2+107.7^2)*(B22^2+737.9^2))*(B22^2+12194^2))*1.2589254)^2</f>
        <v>7.4854455922481E-007</v>
      </c>
      <c r="AM22" s="37" t="n">
        <v>0</v>
      </c>
      <c r="AN22" s="37" t="n">
        <v>0</v>
      </c>
      <c r="AO22" s="37" t="n">
        <v>0</v>
      </c>
      <c r="AP22" s="37" t="n">
        <v>0</v>
      </c>
      <c r="AQ22" s="37" t="n">
        <v>0</v>
      </c>
      <c r="AR22" s="37" t="n">
        <v>0</v>
      </c>
      <c r="AS22" s="37" t="n">
        <v>0</v>
      </c>
      <c r="AT22" s="37" t="n">
        <v>0</v>
      </c>
      <c r="AU22" s="37" t="n">
        <v>0</v>
      </c>
      <c r="AV22" s="37" t="n">
        <v>0</v>
      </c>
      <c r="AW22" s="37" t="n">
        <v>0</v>
      </c>
      <c r="AX22" s="37" t="n">
        <v>0</v>
      </c>
      <c r="AY22" s="37" t="n">
        <v>0</v>
      </c>
      <c r="AZ22" s="37" t="n">
        <v>0</v>
      </c>
      <c r="BA22" s="37" t="n">
        <v>0</v>
      </c>
      <c r="BB22" s="37" t="n">
        <v>0</v>
      </c>
      <c r="BC22" s="37" t="n">
        <v>0</v>
      </c>
      <c r="BD22" s="37" t="n">
        <v>0</v>
      </c>
      <c r="BE22" s="37" t="n">
        <f aca="false">IF(B22&gt;2000,AK22,-999)</f>
        <v>-999</v>
      </c>
      <c r="BF22" s="37" t="n">
        <f aca="false">IF(AND(B22&lt;1000,AK22&gt;=-3),B22,1000000000)</f>
        <v>1000000000</v>
      </c>
    </row>
    <row r="23" customFormat="false" ht="15" hidden="false" customHeight="false" outlineLevel="0" collapsed="false">
      <c r="A23" s="5" t="n">
        <v>-16</v>
      </c>
      <c r="B23" s="47" t="n">
        <f aca="false">20*10^(A23/100)</f>
        <v>13.8366194183787</v>
      </c>
      <c r="C23" s="37" t="n">
        <f aca="false">2*PI()*B23</f>
        <v>86.938043830593</v>
      </c>
      <c r="D23" s="37" t="n">
        <f aca="false">SQRT(L_Rp0^2+L_Rp1^2*C23)</f>
        <v>76753422.3407744</v>
      </c>
      <c r="E23" s="5" t="str">
        <f aca="false">COMPLEX(D23,C23*L_Mp)</f>
        <v>76753422.3407744+1284311.30641827i</v>
      </c>
      <c r="F23" s="5" t="str">
        <f aca="false">IMDIV(1,E23)</f>
        <v>1.30250880835416e-08-2.17948169379538e-10i</v>
      </c>
      <c r="G23" s="5" t="str">
        <f aca="false">COMPLEX(0,C23*L_Cf)</f>
        <v>9.19298338062737e-14i</v>
      </c>
      <c r="H23" s="5" t="str">
        <f aca="false">COMPLEX(0,C23*L_Cbv)</f>
        <v>9.19298338062737e-13i</v>
      </c>
      <c r="I23" s="5" t="str">
        <f aca="false">COMPLEX(L_Rsq+L_Rh,C23*(L_Md+L_Mh)-1/(C23*L_Cd))</f>
        <v>552400610.124532-13250565630583.6i</v>
      </c>
      <c r="J23" s="5" t="str">
        <f aca="false">IMDIV(1,I23)</f>
        <v>3.14619266195185e-18+7.54684763006602e-14i</v>
      </c>
      <c r="K23" s="5" t="str">
        <f aca="false">IMSUM(F23,G23,H23)</f>
        <v>1.30250880835416e-08-2.16936941207669e-10i</v>
      </c>
      <c r="L23" s="5" t="str">
        <f aca="false">IMSUM(IMPRODUCT(IMSUM(F23,G23),H23),IMPRODUCT(IMSUM(J23,L_Yv),K23))</f>
        <v>2.6266863925877e-20+1.25230508147266e-20i</v>
      </c>
      <c r="M23" s="37" t="n">
        <f aca="false">IMABS(IMDIV(IMPRODUCT(J23,F23,H23),L23))^2</f>
        <v>9.64626161091406E-028</v>
      </c>
      <c r="N23" s="5" t="str">
        <f aca="false">IMDIV(IMPRODUCT(L_Yv,K23,E23),H23)</f>
        <v>0.00016885752914979-2.17556947481392i</v>
      </c>
      <c r="O23" s="37" t="n">
        <f aca="false">IMABS(IMSUM(1,IMPRODUCT(E23,G23),N23))^2</f>
        <v>5.73340934586108</v>
      </c>
      <c r="P23" s="37" t="n">
        <f aca="false">IMABS(N23)^2</f>
        <v>4.73310256825498</v>
      </c>
      <c r="Q23" s="37" t="n">
        <f aca="false">p_Rb^2/(1+(C23*p_Rb*L_Ctot)^2)</f>
        <v>2.18093777609349E+019</v>
      </c>
      <c r="R23" s="37" t="n">
        <f aca="false">M23*L_Kt^2*Q23</f>
        <v>4.22220908677579E-006</v>
      </c>
      <c r="S23" s="37" t="n">
        <f aca="false">L_kT4*D23</f>
        <v>1.26379268396711E-012</v>
      </c>
      <c r="T23" s="37" t="n">
        <f aca="false">L_kT4*L_Rsq*O23</f>
        <v>2.9615876575054E-011</v>
      </c>
      <c r="U23" s="37" t="n">
        <f aca="false">L_kT4*L_Rh*O23</f>
        <v>2.25330276522745E-011</v>
      </c>
      <c r="V23" s="37" t="n">
        <f aca="false">L_kT4*p_Rv*P23</f>
        <v>3.8966734093425E-008</v>
      </c>
      <c r="W23" s="37" t="n">
        <f aca="false">L_kT4/p_Rb*Q23/R23</f>
        <v>8.50514313006667E-008</v>
      </c>
      <c r="X23" s="37" t="n">
        <f aca="false">p_en^2*(1+p_fc/B23)/R23</f>
        <v>1.24707402171971E-010</v>
      </c>
      <c r="Y23" s="37" t="n">
        <f aca="false">p_in^2*Q23/R23</f>
        <v>1.29134875326539E-008</v>
      </c>
      <c r="Z23" s="37" t="n">
        <f aca="false">p_eo^2/L_G^2/R23</f>
        <v>1.50148243243102E-011</v>
      </c>
      <c r="AA23" s="37" t="n">
        <f aca="false">SUM(S23:Z23)</f>
        <v>1.37124787850153E-007</v>
      </c>
      <c r="AB23" s="47" t="n">
        <f aca="false">10*LOG10(AA23/L_PREF^2)</f>
        <v>25.3505597734539</v>
      </c>
      <c r="AC23" s="47" t="n">
        <f aca="false">10*LOG10(S23/L_PREF^2)</f>
        <v>-25.0038415440184</v>
      </c>
      <c r="AD23" s="47" t="n">
        <f aca="false">10*LOG10(T23/L_PREF^2)</f>
        <v>-11.3053539984906</v>
      </c>
      <c r="AE23" s="47" t="n">
        <f aca="false">10*LOG10(U23/L_PREF^2)</f>
        <v>-12.4924044166653</v>
      </c>
      <c r="AF23" s="47" t="n">
        <f aca="false">10*LOG10(V23/L_PREF^2)</f>
        <v>19.8863401660379</v>
      </c>
      <c r="AG23" s="47" t="n">
        <f aca="false">10*LOG10(W23/L_PREF^2)</f>
        <v>23.2762163527143</v>
      </c>
      <c r="AH23" s="47" t="n">
        <f aca="false">10*LOG10(X23/L_PREF^2)</f>
        <v>-5.06167758963839</v>
      </c>
      <c r="AI23" s="47" t="n">
        <f aca="false">10*LOG10(Y23/L_PREF^2)</f>
        <v>15.0898355625552</v>
      </c>
      <c r="AJ23" s="47" t="n">
        <f aca="false">10*LOG10(Z23/L_PREF^2)</f>
        <v>-14.2553973607362</v>
      </c>
      <c r="AK23" s="47" t="n">
        <f aca="false">10*LOG10(R23/$R$6)</f>
        <v>-7.03231168568983</v>
      </c>
      <c r="AL23" s="37" t="n">
        <f aca="false">(12194^2*B23^4/((B23^2+20.6^2)*SQRT((B23^2+107.7^2)*(B23^2+737.9^2))*(B23^2+12194^2))*1.2589254)^2</f>
        <v>8.74286266544947E-007</v>
      </c>
      <c r="AM23" s="37" t="n">
        <v>0</v>
      </c>
      <c r="AN23" s="37" t="n">
        <v>0</v>
      </c>
      <c r="AO23" s="37" t="n">
        <v>0</v>
      </c>
      <c r="AP23" s="37" t="n">
        <v>0</v>
      </c>
      <c r="AQ23" s="37" t="n">
        <v>0</v>
      </c>
      <c r="AR23" s="37" t="n">
        <v>0</v>
      </c>
      <c r="AS23" s="37" t="n">
        <v>0</v>
      </c>
      <c r="AT23" s="37" t="n">
        <v>0</v>
      </c>
      <c r="AU23" s="37" t="n">
        <v>0</v>
      </c>
      <c r="AV23" s="37" t="n">
        <v>0</v>
      </c>
      <c r="AW23" s="37" t="n">
        <v>0</v>
      </c>
      <c r="AX23" s="37" t="n">
        <v>0</v>
      </c>
      <c r="AY23" s="37" t="n">
        <v>0</v>
      </c>
      <c r="AZ23" s="37" t="n">
        <v>0</v>
      </c>
      <c r="BA23" s="37" t="n">
        <v>0</v>
      </c>
      <c r="BB23" s="37" t="n">
        <v>0</v>
      </c>
      <c r="BC23" s="37" t="n">
        <v>0</v>
      </c>
      <c r="BD23" s="37" t="n">
        <v>0</v>
      </c>
      <c r="BE23" s="37" t="n">
        <f aca="false">IF(B23&gt;2000,AK23,-999)</f>
        <v>-999</v>
      </c>
      <c r="BF23" s="37" t="n">
        <f aca="false">IF(AND(B23&lt;1000,AK23&gt;=-3),B23,1000000000)</f>
        <v>1000000000</v>
      </c>
    </row>
    <row r="24" customFormat="false" ht="15" hidden="false" customHeight="false" outlineLevel="0" collapsed="false">
      <c r="A24" s="5" t="n">
        <v>-15</v>
      </c>
      <c r="B24" s="47" t="n">
        <f aca="false">20*10^(A24/100)</f>
        <v>14.1589156876828</v>
      </c>
      <c r="C24" s="37" t="n">
        <f aca="false">2*PI()*B24</f>
        <v>88.9630910144429</v>
      </c>
      <c r="D24" s="37" t="n">
        <f aca="false">SQRT(L_Rp0^2+L_Rp1^2*C24)</f>
        <v>76755861.046365</v>
      </c>
      <c r="E24" s="5" t="str">
        <f aca="false">COMPLEX(D24,C24*L_Mp)</f>
        <v>76755861.046365+1314226.75976475i</v>
      </c>
      <c r="F24" s="5" t="str">
        <f aca="false">IMDIV(1,E24)</f>
        <v>1.30245026718733e-08-2.23007724891049e-10i</v>
      </c>
      <c r="G24" s="5" t="str">
        <f aca="false">COMPLEX(0,C24*L_Cf)</f>
        <v>9.40711547154942e-14i</v>
      </c>
      <c r="H24" s="5" t="str">
        <f aca="false">COMPLEX(0,C24*L_Cbv)</f>
        <v>9.40711547154942e-13i</v>
      </c>
      <c r="I24" s="5" t="str">
        <f aca="false">COMPLEX(L_Rsq+L_Rh,C24*(L_Md+L_Mh)-1/(C24*L_Cd))</f>
        <v>552400610.124532-12948945917837.1i</v>
      </c>
      <c r="J24" s="5" t="str">
        <f aca="false">IMDIV(1,I24)</f>
        <v>3.29446816140505e-18+7.72263630202239e-14i</v>
      </c>
      <c r="K24" s="5" t="str">
        <f aca="false">IMSUM(F24,G24,H24)</f>
        <v>1.30245026718733e-08-2.21972942189179e-10i</v>
      </c>
      <c r="L24" s="5" t="str">
        <f aca="false">IMSUM(IMPRODUCT(IMSUM(F24,G24),H24),IMPRODUCT(IMSUM(J24,L_Yv),K24))</f>
        <v>2.62758878636584e-20+1.28141884152164e-20i</v>
      </c>
      <c r="M24" s="37" t="n">
        <f aca="false">IMABS(IMDIV(IMPRODUCT(J24,F24,H24),L24))^2</f>
        <v>1.04789498950628E-027</v>
      </c>
      <c r="N24" s="5" t="str">
        <f aca="false">IMDIV(IMPRODUCT(L_Yv,K24,E24),H24)</f>
        <v>0.000168862894301993-2.12604733743356i</v>
      </c>
      <c r="O24" s="37" t="n">
        <f aca="false">IMABS(IMSUM(1,IMPRODUCT(E24,G24),N24))^2</f>
        <v>5.52038408575768</v>
      </c>
      <c r="P24" s="37" t="n">
        <f aca="false">IMABS(N24)^2</f>
        <v>4.52007730952301</v>
      </c>
      <c r="Q24" s="37" t="n">
        <f aca="false">p_Rb^2/(1+(C24*p_Rb*L_Ctot)^2)</f>
        <v>2.08278145116767E+019</v>
      </c>
      <c r="R24" s="37" t="n">
        <f aca="false">M24*L_Kt^2*Q24</f>
        <v>4.38024991790192E-006</v>
      </c>
      <c r="S24" s="37" t="n">
        <f aca="false">L_kT4*D24</f>
        <v>1.2638328387666E-012</v>
      </c>
      <c r="T24" s="37" t="n">
        <f aca="false">L_kT4*L_Rsq*O24</f>
        <v>2.85154964294875E-011</v>
      </c>
      <c r="U24" s="37" t="n">
        <f aca="false">L_kT4*L_Rh*O24</f>
        <v>2.16958112968771E-011</v>
      </c>
      <c r="V24" s="37" t="n">
        <f aca="false">L_kT4*p_Rv*P24</f>
        <v>3.72129376158531E-008</v>
      </c>
      <c r="W24" s="37" t="n">
        <f aca="false">L_kT4/p_Rb*Q24/R24</f>
        <v>7.82929935656495E-008</v>
      </c>
      <c r="X24" s="37" t="n">
        <f aca="false">p_en^2*(1+p_fc/B24)/R24</f>
        <v>1.17804240386002E-010</v>
      </c>
      <c r="Y24" s="37" t="n">
        <f aca="false">p_in^2*Q24/R24</f>
        <v>1.18873437030124E-008</v>
      </c>
      <c r="Z24" s="37" t="n">
        <f aca="false">p_eo^2/L_G^2/R24</f>
        <v>1.44730846154117E-011</v>
      </c>
      <c r="AA24" s="37" t="n">
        <f aca="false">SUM(S24:Z24)</f>
        <v>1.27577027350082E-007</v>
      </c>
      <c r="AB24" s="47" t="n">
        <f aca="false">10*LOG10(AA24/L_PREF^2)</f>
        <v>25.0371248718489</v>
      </c>
      <c r="AC24" s="47" t="n">
        <f aca="false">10*LOG10(S24/L_PREF^2)</f>
        <v>-25.0037035567439</v>
      </c>
      <c r="AD24" s="47" t="n">
        <f aca="false">10*LOG10(T24/L_PREF^2)</f>
        <v>-11.469790546595</v>
      </c>
      <c r="AE24" s="47" t="n">
        <f aca="false">10*LOG10(U24/L_PREF^2)</f>
        <v>-12.6568409647697</v>
      </c>
      <c r="AF24" s="47" t="n">
        <f aca="false">10*LOG10(V24/L_PREF^2)</f>
        <v>19.6863396356317</v>
      </c>
      <c r="AG24" s="47" t="n">
        <f aca="false">10*LOG10(W24/L_PREF^2)</f>
        <v>22.9166290748701</v>
      </c>
      <c r="AH24" s="47" t="n">
        <f aca="false">10*LOG10(X24/L_PREF^2)</f>
        <v>-5.30899068083184</v>
      </c>
      <c r="AI24" s="47" t="n">
        <f aca="false">10*LOG10(Y24/L_PREF^2)</f>
        <v>14.7302482847109</v>
      </c>
      <c r="AJ24" s="47" t="n">
        <f aca="false">10*LOG10(Z24/L_PREF^2)</f>
        <v>-14.4149889015463</v>
      </c>
      <c r="AK24" s="47" t="n">
        <f aca="false">10*LOG10(R24/$R$6)</f>
        <v>-6.87272014487971</v>
      </c>
      <c r="AL24" s="37" t="n">
        <f aca="false">(12194^2*B24^4/((B24^2+20.6^2)*SQRT((B24^2+107.7^2)*(B24^2+737.9^2))*(B24^2+12194^2))*1.2589254)^2</f>
        <v>1.0201874848483E-006</v>
      </c>
      <c r="AM24" s="37" t="n">
        <v>0</v>
      </c>
      <c r="AN24" s="37" t="n">
        <v>0</v>
      </c>
      <c r="AO24" s="37" t="n">
        <v>0</v>
      </c>
      <c r="AP24" s="37" t="n">
        <v>0</v>
      </c>
      <c r="AQ24" s="37" t="n">
        <v>0</v>
      </c>
      <c r="AR24" s="37" t="n">
        <v>0</v>
      </c>
      <c r="AS24" s="37" t="n">
        <v>0</v>
      </c>
      <c r="AT24" s="37" t="n">
        <v>0</v>
      </c>
      <c r="AU24" s="37" t="n">
        <v>0</v>
      </c>
      <c r="AV24" s="37" t="n">
        <v>0</v>
      </c>
      <c r="AW24" s="37" t="n">
        <v>0</v>
      </c>
      <c r="AX24" s="37" t="n">
        <v>0</v>
      </c>
      <c r="AY24" s="37" t="n">
        <v>0</v>
      </c>
      <c r="AZ24" s="37" t="n">
        <v>0</v>
      </c>
      <c r="BA24" s="37" t="n">
        <v>0</v>
      </c>
      <c r="BB24" s="37" t="n">
        <v>0</v>
      </c>
      <c r="BC24" s="37" t="n">
        <v>0</v>
      </c>
      <c r="BD24" s="37" t="n">
        <v>0</v>
      </c>
      <c r="BE24" s="37" t="n">
        <f aca="false">IF(B24&gt;2000,AK24,-999)</f>
        <v>-999</v>
      </c>
      <c r="BF24" s="37" t="n">
        <f aca="false">IF(AND(B24&lt;1000,AK24&gt;=-3),B24,1000000000)</f>
        <v>1000000000</v>
      </c>
    </row>
    <row r="25" customFormat="false" ht="15" hidden="false" customHeight="false" outlineLevel="0" collapsed="false">
      <c r="A25" s="5" t="n">
        <v>-14</v>
      </c>
      <c r="B25" s="47" t="n">
        <f aca="false">20*10^(A25/100)</f>
        <v>14.4887192014998</v>
      </c>
      <c r="C25" s="37" t="n">
        <f aca="false">2*PI()*B25</f>
        <v>91.0353076067143</v>
      </c>
      <c r="D25" s="37" t="n">
        <f aca="false">SQRT(L_Rp0^2+L_Rp1^2*C25)</f>
        <v>76758356.4764974</v>
      </c>
      <c r="E25" s="5" t="str">
        <f aca="false">COMPLEX(D25,C25*L_Mp)</f>
        <v>76758356.4764974+1344839.03353511i</v>
      </c>
      <c r="F25" s="5" t="str">
        <f aca="false">IMDIV(1,E25)</f>
        <v>1.3023899609029e-08-2.28184257285756e-10i</v>
      </c>
      <c r="G25" s="5" t="str">
        <f aca="false">COMPLEX(0,C25*L_Cf)</f>
        <v>9.62623533961238e-14i</v>
      </c>
      <c r="H25" s="5" t="str">
        <f aca="false">COMPLEX(0,C25*L_Cbv)</f>
        <v>9.62623533961238e-13i</v>
      </c>
      <c r="I25" s="5" t="str">
        <f aca="false">COMPLEX(L_Rsq+L_Rh,C25*(L_Md+L_Mh)-1/(C25*L_Cd))</f>
        <v>552400610.124532-12654191907615.7i</v>
      </c>
      <c r="J25" s="5" t="str">
        <f aca="false">IMDIV(1,I25)</f>
        <v>3.44973167057368e-18+7.90251961875601e-14i</v>
      </c>
      <c r="K25" s="5" t="str">
        <f aca="false">IMSUM(F25,G25,H25)</f>
        <v>1.3023899609029e-08-2.27125371398399e-10i</v>
      </c>
      <c r="L25" s="5" t="str">
        <f aca="false">IMSUM(IMPRODUCT(IMSUM(F25,G25),H25),IMPRODUCT(IMSUM(J25,L_Yv),K25))</f>
        <v>2.62853556457868e-20+1.31120769630121e-20i</v>
      </c>
      <c r="M25" s="37" t="n">
        <f aca="false">IMABS(IMDIV(IMPRODUCT(J25,F25,H25),L25))^2</f>
        <v>1.13795727154204E-027</v>
      </c>
      <c r="N25" s="5" t="str">
        <f aca="false">IMDIV(IMPRODUCT(L_Yv,K25,E25),H25)</f>
        <v>0.000168868384248246-2.07765245849307i</v>
      </c>
      <c r="O25" s="37" t="n">
        <f aca="false">IMABS(IMSUM(1,IMPRODUCT(E25,G25),N25))^2</f>
        <v>5.3169465413646</v>
      </c>
      <c r="P25" s="37" t="n">
        <f aca="false">IMABS(N25)^2</f>
        <v>4.31663976679883</v>
      </c>
      <c r="Q25" s="37" t="n">
        <f aca="false">p_Rb^2/(1+(C25*p_Rb*L_Ctot)^2)</f>
        <v>1.98904270870881E+019</v>
      </c>
      <c r="R25" s="37" t="n">
        <f aca="false">M25*L_Kt^2*Q25</f>
        <v>4.54263129785857E-006</v>
      </c>
      <c r="S25" s="37" t="n">
        <f aca="false">L_kT4*D25</f>
        <v>1.26387392757083E-012</v>
      </c>
      <c r="T25" s="37" t="n">
        <f aca="false">L_kT4*L_Rsq*O25</f>
        <v>2.74646415468116E-011</v>
      </c>
      <c r="U25" s="37" t="n">
        <f aca="false">L_kT4*L_Rh*O25</f>
        <v>2.08962758831657E-011</v>
      </c>
      <c r="V25" s="37" t="n">
        <f aca="false">L_kT4*p_Rv*P25</f>
        <v>3.55380749823827E-008</v>
      </c>
      <c r="W25" s="37" t="n">
        <f aca="false">L_kT4/p_Rb*Q25/R25</f>
        <v>7.20965872116757E-008</v>
      </c>
      <c r="X25" s="37" t="n">
        <f aca="false">p_en^2*(1+p_fc/B25)/R25</f>
        <v>1.11328199783972E-010</v>
      </c>
      <c r="Y25" s="37" t="n">
        <f aca="false">p_in^2*Q25/R25</f>
        <v>1.09465339485424E-008</v>
      </c>
      <c r="Z25" s="37" t="n">
        <f aca="false">p_eo^2/L_G^2/R25</f>
        <v>1.39557281983968E-011</v>
      </c>
      <c r="AA25" s="37" t="n">
        <f aca="false">SUM(S25:Z25)</f>
        <v>1.18756104861941E-007</v>
      </c>
      <c r="AB25" s="47" t="n">
        <f aca="false">10*LOG10(AA25/L_PREF^2)</f>
        <v>24.7259595319804</v>
      </c>
      <c r="AC25" s="47" t="n">
        <f aca="false">10*LOG10(S25/L_PREF^2)</f>
        <v>-25.0035623644095</v>
      </c>
      <c r="AD25" s="47" t="n">
        <f aca="false">10*LOG10(T25/L_PREF^2)</f>
        <v>-11.6328605610303</v>
      </c>
      <c r="AE25" s="47" t="n">
        <f aca="false">10*LOG10(U25/L_PREF^2)</f>
        <v>-12.819910979205</v>
      </c>
      <c r="AF25" s="47" t="n">
        <f aca="false">10*LOG10(V25/L_PREF^2)</f>
        <v>19.4863390802283</v>
      </c>
      <c r="AG25" s="47" t="n">
        <f aca="false">10*LOG10(W25/L_PREF^2)</f>
        <v>22.5585471596821</v>
      </c>
      <c r="AH25" s="47" t="n">
        <f aca="false">10*LOG10(X25/L_PREF^2)</f>
        <v>-5.55454804896796</v>
      </c>
      <c r="AI25" s="47" t="n">
        <f aca="false">10*LOG10(Y25/L_PREF^2)</f>
        <v>14.372166369523</v>
      </c>
      <c r="AJ25" s="47" t="n">
        <f aca="false">10*LOG10(Z25/L_PREF^2)</f>
        <v>-14.573074887839</v>
      </c>
      <c r="AK25" s="47" t="n">
        <f aca="false">10*LOG10(R25/$R$6)</f>
        <v>-6.71463415858701</v>
      </c>
      <c r="AL25" s="37" t="n">
        <f aca="false">(12194^2*B25^4/((B25^2+20.6^2)*SQRT((B25^2+107.7^2)*(B25^2+737.9^2))*(B25^2+12194^2))*1.2589254)^2</f>
        <v>1.18929400442264E-006</v>
      </c>
      <c r="AM25" s="37" t="n">
        <v>0</v>
      </c>
      <c r="AN25" s="37" t="n">
        <v>0</v>
      </c>
      <c r="AO25" s="37" t="n">
        <v>0</v>
      </c>
      <c r="AP25" s="37" t="n">
        <v>0</v>
      </c>
      <c r="AQ25" s="37" t="n">
        <v>0</v>
      </c>
      <c r="AR25" s="37" t="n">
        <v>0</v>
      </c>
      <c r="AS25" s="37" t="n">
        <v>0</v>
      </c>
      <c r="AT25" s="37" t="n">
        <v>0</v>
      </c>
      <c r="AU25" s="37" t="n">
        <v>0</v>
      </c>
      <c r="AV25" s="37" t="n">
        <v>0</v>
      </c>
      <c r="AW25" s="37" t="n">
        <v>0</v>
      </c>
      <c r="AX25" s="37" t="n">
        <v>0</v>
      </c>
      <c r="AY25" s="37" t="n">
        <v>0</v>
      </c>
      <c r="AZ25" s="37" t="n">
        <v>0</v>
      </c>
      <c r="BA25" s="37" t="n">
        <v>0</v>
      </c>
      <c r="BB25" s="37" t="n">
        <v>0</v>
      </c>
      <c r="BC25" s="37" t="n">
        <v>0</v>
      </c>
      <c r="BD25" s="37" t="n">
        <v>0</v>
      </c>
      <c r="BE25" s="37" t="n">
        <f aca="false">IF(B25&gt;2000,AK25,-999)</f>
        <v>-999</v>
      </c>
      <c r="BF25" s="37" t="n">
        <f aca="false">IF(AND(B25&lt;1000,AK25&gt;=-3),B25,1000000000)</f>
        <v>1000000000</v>
      </c>
    </row>
    <row r="26" customFormat="false" ht="15" hidden="false" customHeight="false" outlineLevel="0" collapsed="false">
      <c r="A26" s="5" t="n">
        <v>-13</v>
      </c>
      <c r="B26" s="47" t="n">
        <f aca="false">20*10^(A26/100)</f>
        <v>14.8262048260184</v>
      </c>
      <c r="C26" s="37" t="n">
        <f aca="false">2*PI()*B26</f>
        <v>93.1557923240736</v>
      </c>
      <c r="D26" s="37" t="n">
        <f aca="false">SQRT(L_Rp0^2+L_Rp1^2*C26)</f>
        <v>76760909.9486839</v>
      </c>
      <c r="E26" s="5" t="str">
        <f aca="false">COMPLEX(D26,C26*L_Mp)</f>
        <v>76760909.9486839+1376164.3587621i</v>
      </c>
      <c r="F26" s="5" t="str">
        <f aca="false">IMDIV(1,E26)</f>
        <v>1.30232782962215e-08-2.33480445157324e-10i</v>
      </c>
      <c r="G26" s="5" t="str">
        <f aca="false">COMPLEX(0,C26*L_Cf)</f>
        <v>9.85045916507069e-14i</v>
      </c>
      <c r="H26" s="5" t="str">
        <f aca="false">COMPLEX(0,C26*L_Cbv)</f>
        <v>9.8504591650707e-13i</v>
      </c>
      <c r="I26" s="5" t="str">
        <f aca="false">COMPLEX(L_Rsq+L_Rh,C26*(L_Md+L_Mh)-1/(C26*L_Cd))</f>
        <v>552400610.124532-12366147317441.9i</v>
      </c>
      <c r="J26" s="5" t="str">
        <f aca="false">IMDIV(1,I26)</f>
        <v>3.61231252427819e-18+8.08659295683872e-14i</v>
      </c>
      <c r="K26" s="5" t="str">
        <f aca="false">IMSUM(F26,G26,H26)</f>
        <v>1.30232782962215e-08-2.32396894649166e-10i</v>
      </c>
      <c r="L26" s="5" t="str">
        <f aca="false">IMSUM(IMPRODUCT(IMSUM(F26,G26),H26),IMPRODUCT(IMSUM(J26,L_Yv),K26))</f>
        <v>2.62952885550496e-20+1.34168719818913e-20i</v>
      </c>
      <c r="M26" s="37" t="n">
        <f aca="false">IMABS(IMDIV(IMPRODUCT(J26,F26,H26),L26))^2</f>
        <v>1.23532016413348E-027</v>
      </c>
      <c r="N26" s="5" t="str">
        <f aca="false">IMDIV(IMPRODUCT(L_Yv,K26,E26),H26)</f>
        <v>0.000168874001887255-2.03035917838706i</v>
      </c>
      <c r="O26" s="37" t="n">
        <f aca="false">IMABS(IMSUM(1,IMPRODUCT(E26,G26),N26))^2</f>
        <v>5.12266519435897</v>
      </c>
      <c r="P26" s="37" t="n">
        <f aca="false">IMABS(N26)^2</f>
        <v>4.12235842177901</v>
      </c>
      <c r="Q26" s="37" t="n">
        <f aca="false">p_Rb^2/(1+(C26*p_Rb*L_Ctot)^2)</f>
        <v>1.89952274058136E+019</v>
      </c>
      <c r="R26" s="37" t="n">
        <f aca="false">M26*L_Kt^2*Q26</f>
        <v>4.70935525072914E-006</v>
      </c>
      <c r="S26" s="37" t="n">
        <f aca="false">L_kT4*D26</f>
        <v>1.26391597207347E-012</v>
      </c>
      <c r="T26" s="37" t="n">
        <f aca="false">L_kT4*L_Rsq*O26</f>
        <v>2.64610829228478E-011</v>
      </c>
      <c r="U26" s="37" t="n">
        <f aca="false">L_kT4*L_Rh*O26</f>
        <v>2.01327254892697E-011</v>
      </c>
      <c r="V26" s="37" t="n">
        <f aca="false">L_kT4*p_Rv*P26</f>
        <v>3.39385935848158E-008</v>
      </c>
      <c r="W26" s="37" t="n">
        <f aca="false">L_kT4/p_Rb*Q26/R26</f>
        <v>6.64142285157635E-008</v>
      </c>
      <c r="X26" s="37" t="n">
        <f aca="false">p_en^2*(1+p_fc/B26)/R26</f>
        <v>1.05251801157406E-010</v>
      </c>
      <c r="Y26" s="37" t="n">
        <f aca="false">p_in^2*Q26/R26</f>
        <v>1.00837728279644E-008</v>
      </c>
      <c r="Z26" s="37" t="n">
        <f aca="false">p_eo^2/L_G^2/R26</f>
        <v>1.34616575567598E-011</v>
      </c>
      <c r="AA26" s="37" t="n">
        <f aca="false">SUM(S26:Z26)</f>
        <v>1.10603166111642E-007</v>
      </c>
      <c r="AB26" s="47" t="n">
        <f aca="false">10*LOG10(AA26/L_PREF^2)</f>
        <v>24.4170756787521</v>
      </c>
      <c r="AC26" s="47" t="n">
        <f aca="false">10*LOG10(S26/L_PREF^2)</f>
        <v>-25.0034178927863</v>
      </c>
      <c r="AD26" s="47" t="n">
        <f aca="false">10*LOG10(T26/L_PREF^2)</f>
        <v>-11.7945237756139</v>
      </c>
      <c r="AE26" s="47" t="n">
        <f aca="false">10*LOG10(U26/L_PREF^2)</f>
        <v>-12.9815741937886</v>
      </c>
      <c r="AF26" s="47" t="n">
        <f aca="false">10*LOG10(V26/L_PREF^2)</f>
        <v>19.2863384986497</v>
      </c>
      <c r="AG26" s="47" t="n">
        <f aca="false">10*LOG10(W26/L_PREF^2)</f>
        <v>22.2020114080969</v>
      </c>
      <c r="AH26" s="47" t="n">
        <f aca="false">10*LOG10(X26/L_PREF^2)</f>
        <v>-5.79830454743969</v>
      </c>
      <c r="AI26" s="47" t="n">
        <f aca="false">10*LOG10(Y26/L_PREF^2)</f>
        <v>14.0156306179378</v>
      </c>
      <c r="AJ26" s="47" t="n">
        <f aca="false">10*LOG10(Z26/L_PREF^2)</f>
        <v>-14.7296145273026</v>
      </c>
      <c r="AK26" s="47" t="n">
        <f aca="false">10*LOG10(R26/$R$6)</f>
        <v>-6.55809451912339</v>
      </c>
      <c r="AL26" s="37" t="n">
        <f aca="false">(12194^2*B26^4/((B26^2+20.6^2)*SQRT((B26^2+107.7^2)*(B26^2+737.9^2))*(B26^2+12194^2))*1.2589254)^2</f>
        <v>1.38507779908503E-006</v>
      </c>
      <c r="AM26" s="37" t="n">
        <v>0</v>
      </c>
      <c r="AN26" s="37" t="n">
        <v>0</v>
      </c>
      <c r="AO26" s="37" t="n">
        <v>0</v>
      </c>
      <c r="AP26" s="37" t="n">
        <v>0</v>
      </c>
      <c r="AQ26" s="37" t="n">
        <v>0</v>
      </c>
      <c r="AR26" s="37" t="n">
        <v>0</v>
      </c>
      <c r="AS26" s="37" t="n">
        <v>0</v>
      </c>
      <c r="AT26" s="37" t="n">
        <v>0</v>
      </c>
      <c r="AU26" s="37" t="n">
        <v>0</v>
      </c>
      <c r="AV26" s="37" t="n">
        <v>0</v>
      </c>
      <c r="AW26" s="37" t="n">
        <v>0</v>
      </c>
      <c r="AX26" s="37" t="n">
        <v>0</v>
      </c>
      <c r="AY26" s="37" t="n">
        <v>0</v>
      </c>
      <c r="AZ26" s="37" t="n">
        <v>0</v>
      </c>
      <c r="BA26" s="37" t="n">
        <v>0</v>
      </c>
      <c r="BB26" s="37" t="n">
        <v>0</v>
      </c>
      <c r="BC26" s="37" t="n">
        <v>0</v>
      </c>
      <c r="BD26" s="37" t="n">
        <v>0</v>
      </c>
      <c r="BE26" s="37" t="n">
        <f aca="false">IF(B26&gt;2000,AK26,-999)</f>
        <v>-999</v>
      </c>
      <c r="BF26" s="37" t="n">
        <f aca="false">IF(AND(B26&lt;1000,AK26&gt;=-3),B26,1000000000)</f>
        <v>1000000000</v>
      </c>
    </row>
    <row r="27" customFormat="false" ht="15" hidden="false" customHeight="false" outlineLevel="0" collapsed="false">
      <c r="A27" s="5" t="n">
        <v>-12</v>
      </c>
      <c r="B27" s="47" t="n">
        <f aca="false">20*10^(A27/100)</f>
        <v>15.1715515005837</v>
      </c>
      <c r="C27" s="37" t="n">
        <f aca="false">2*PI()*B27</f>
        <v>95.3256694755858</v>
      </c>
      <c r="D27" s="37" t="n">
        <f aca="false">SQRT(L_Rp0^2+L_Rp1^2*C27)</f>
        <v>76763522.8109485</v>
      </c>
      <c r="E27" s="5" t="str">
        <f aca="false">COMPLEX(D27,C27*L_Mp)</f>
        <v>76763522.8109485+1408219.3445478i</v>
      </c>
      <c r="F27" s="5" t="str">
        <f aca="false">IMDIV(1,E27)</f>
        <v>1.30226381119946e-08-2.38899026970407e-10i</v>
      </c>
      <c r="G27" s="5" t="str">
        <f aca="false">COMPLEX(0,C27*L_Cf)</f>
        <v>1.00799058343646e-13i</v>
      </c>
      <c r="H27" s="5" t="str">
        <f aca="false">COMPLEX(0,C27*L_Cbv)</f>
        <v>1.00799058343646e-12i</v>
      </c>
      <c r="I27" s="5" t="str">
        <f aca="false">COMPLEX(L_Rsq+L_Rh,C27*(L_Md+L_Mh)-1/(C27*L_Cd))</f>
        <v>552400610.124532-12084659422261i</v>
      </c>
      <c r="J27" s="5" t="str">
        <f aca="false">IMDIV(1,I27)</f>
        <v>3.78255557841789e-18+8.27495391445146e-14i</v>
      </c>
      <c r="K27" s="5" t="str">
        <f aca="false">IMSUM(F27,G27,H27)</f>
        <v>1.30226381119946e-08-2.37790237328627e-10i</v>
      </c>
      <c r="L27" s="5" t="str">
        <f aca="false">IMSUM(IMPRODUCT(IMSUM(F27,G27),H27),IMPRODUCT(IMSUM(J27,L_Yv),K27))</f>
        <v>2.63057088804704e-20+1.37287325164926e-20i</v>
      </c>
      <c r="M27" s="37" t="n">
        <f aca="false">IMABS(IMDIV(IMPRODUCT(J27,F27,H27),L27))^2</f>
        <v>1.34052343780819E-027</v>
      </c>
      <c r="N27" s="5" t="str">
        <f aca="false">IMDIV(IMPRODUCT(L_Yv,K27,E27),H27)</f>
        <v>0.000168879750184061-1.9841424215924i</v>
      </c>
      <c r="O27" s="37" t="n">
        <f aca="false">IMABS(IMSUM(1,IMPRODUCT(E27,G27),N27))^2</f>
        <v>4.93712794793971</v>
      </c>
      <c r="P27" s="37" t="n">
        <f aca="false">IMABS(N27)^2</f>
        <v>3.93682117768292</v>
      </c>
      <c r="Q27" s="37" t="n">
        <f aca="false">p_Rb^2/(1+(C27*p_Rb*L_Ctot)^2)</f>
        <v>1.81403168509728E+019</v>
      </c>
      <c r="R27" s="37" t="n">
        <f aca="false">M27*L_Kt^2*Q27</f>
        <v>4.8804144596053E-006</v>
      </c>
      <c r="S27" s="37" t="n">
        <f aca="false">L_kT4*D27</f>
        <v>1.26395899447056E-012</v>
      </c>
      <c r="T27" s="37" t="n">
        <f aca="false">L_kT4*L_Rsq*O27</f>
        <v>2.55026918751206E-011</v>
      </c>
      <c r="U27" s="37" t="n">
        <f aca="false">L_kT4*L_Rh*O27</f>
        <v>1.94035405223686E-011</v>
      </c>
      <c r="V27" s="37" t="n">
        <f aca="false">L_kT4*p_Rv*P27</f>
        <v>3.24111007086611E-008</v>
      </c>
      <c r="W27" s="37" t="n">
        <f aca="false">L_kT4/p_Rb*Q27/R27</f>
        <v>6.12020896889612E-008</v>
      </c>
      <c r="X27" s="37" t="n">
        <f aca="false">p_en^2*(1+p_fc/B27)/R27</f>
        <v>9.95493641696451E-011</v>
      </c>
      <c r="Y27" s="37" t="n">
        <f aca="false">p_in^2*Q27/R27</f>
        <v>9.29240590175199E-009</v>
      </c>
      <c r="Z27" s="37" t="n">
        <f aca="false">p_eo^2/L_G^2/R27</f>
        <v>1.29898245780486E-011</v>
      </c>
      <c r="AA27" s="37" t="n">
        <f aca="false">SUM(S27:Z27)</f>
        <v>1.03064305679514E-007</v>
      </c>
      <c r="AB27" s="47" t="n">
        <f aca="false">10*LOG10(AA27/L_PREF^2)</f>
        <v>24.110482905366</v>
      </c>
      <c r="AC27" s="47" t="n">
        <f aca="false">10*LOG10(S27/L_PREF^2)</f>
        <v>-25.0032700659365</v>
      </c>
      <c r="AD27" s="47" t="n">
        <f aca="false">10*LOG10(T27/L_PREF^2)</f>
        <v>-11.9547396756814</v>
      </c>
      <c r="AE27" s="47" t="n">
        <f aca="false">10*LOG10(U27/L_PREF^2)</f>
        <v>-13.1417900938561</v>
      </c>
      <c r="AF27" s="47" t="n">
        <f aca="false">10*LOG10(V27/L_PREF^2)</f>
        <v>19.0863378896622</v>
      </c>
      <c r="AG27" s="47" t="n">
        <f aca="false">10*LOG10(W27/L_PREF^2)</f>
        <v>21.8470625965569</v>
      </c>
      <c r="AH27" s="47" t="n">
        <f aca="false">10*LOG10(X27/L_PREF^2)</f>
        <v>-6.04021500831901</v>
      </c>
      <c r="AI27" s="47" t="n">
        <f aca="false">10*LOG10(Y27/L_PREF^2)</f>
        <v>13.6606818063977</v>
      </c>
      <c r="AJ27" s="47" t="n">
        <f aca="false">10*LOG10(Z27/L_PREF^2)</f>
        <v>-14.884567051741</v>
      </c>
      <c r="AK27" s="47" t="n">
        <f aca="false">10*LOG10(R27/$R$6)</f>
        <v>-6.40314199468502</v>
      </c>
      <c r="AL27" s="37" t="n">
        <f aca="false">(12194^2*B27^4/((B27^2+20.6^2)*SQRT((B27^2+107.7^2)*(B27^2+737.9^2))*(B27^2+12194^2))*1.2589254)^2</f>
        <v>1.61149090310787E-006</v>
      </c>
      <c r="AM27" s="37" t="n">
        <v>0</v>
      </c>
      <c r="AN27" s="37" t="n">
        <v>0</v>
      </c>
      <c r="AO27" s="37" t="n">
        <v>0</v>
      </c>
      <c r="AP27" s="37" t="n">
        <v>0</v>
      </c>
      <c r="AQ27" s="37" t="n">
        <v>0</v>
      </c>
      <c r="AR27" s="37" t="n">
        <v>0</v>
      </c>
      <c r="AS27" s="37" t="n">
        <v>0</v>
      </c>
      <c r="AT27" s="37" t="n">
        <v>0</v>
      </c>
      <c r="AU27" s="37" t="n">
        <v>0</v>
      </c>
      <c r="AV27" s="37" t="n">
        <v>0</v>
      </c>
      <c r="AW27" s="37" t="n">
        <v>0</v>
      </c>
      <c r="AX27" s="37" t="n">
        <v>0</v>
      </c>
      <c r="AY27" s="37" t="n">
        <v>0</v>
      </c>
      <c r="AZ27" s="37" t="n">
        <v>0</v>
      </c>
      <c r="BA27" s="37" t="n">
        <v>0</v>
      </c>
      <c r="BB27" s="37" t="n">
        <v>0</v>
      </c>
      <c r="BC27" s="37" t="n">
        <v>0</v>
      </c>
      <c r="BD27" s="37" t="n">
        <v>0</v>
      </c>
      <c r="BE27" s="37" t="n">
        <f aca="false">IF(B27&gt;2000,AK27,-999)</f>
        <v>-999</v>
      </c>
      <c r="BF27" s="37" t="n">
        <f aca="false">IF(AND(B27&lt;1000,AK27&gt;=-3),B27,1000000000)</f>
        <v>1000000000</v>
      </c>
    </row>
    <row r="28" customFormat="false" ht="15" hidden="false" customHeight="false" outlineLevel="0" collapsed="false">
      <c r="A28" s="5" t="n">
        <v>-11</v>
      </c>
      <c r="B28" s="47" t="n">
        <f aca="false">20*10^(A28/100)</f>
        <v>15.5249423325738</v>
      </c>
      <c r="C28" s="37" t="n">
        <f aca="false">2*PI()*B28</f>
        <v>97.5460895588383</v>
      </c>
      <c r="D28" s="37" t="n">
        <f aca="false">SQRT(L_Rp0^2+L_Rp1^2*C28)</f>
        <v>76766196.4425293</v>
      </c>
      <c r="E28" s="5" t="str">
        <f aca="false">COMPLEX(D28,C28*L_Mp)</f>
        <v>76766196.4425293+1441020.98686996i</v>
      </c>
      <c r="F28" s="5" t="str">
        <f aca="false">IMDIV(1,E28)</f>
        <v>1.30219784112941e-08-2.44442802311961e-10i</v>
      </c>
      <c r="G28" s="5" t="str">
        <f aca="false">COMPLEX(0,C28*L_Cf)</f>
        <v>1.03146970031552e-13i</v>
      </c>
      <c r="H28" s="5" t="str">
        <f aca="false">COMPLEX(0,C28*L_Cbv)</f>
        <v>1.03146970031552e-12i</v>
      </c>
      <c r="I28" s="5" t="str">
        <f aca="false">COMPLEX(L_Rsq+L_Rh,C28*(L_Md+L_Mh)-1/(C28*L_Cd))</f>
        <v>552400610.124532-11809578973465.2i</v>
      </c>
      <c r="J28" s="5" t="str">
        <f aca="false">IMDIV(1,I28)</f>
        <v>3.96082194145698e-18+8.46770236313189e-14i</v>
      </c>
      <c r="K28" s="5" t="str">
        <f aca="false">IMSUM(F28,G28,H28)</f>
        <v>1.30219784112941e-08-2.43308185641614e-10i</v>
      </c>
      <c r="L28" s="5" t="str">
        <f aca="false">IMSUM(IMPRODUCT(IMSUM(F28,G28),H28),IMPRODUCT(IMSUM(J28,L_Yv),K28))</f>
        <v>2.6316639964382e-20+1.40478212080887e-20i</v>
      </c>
      <c r="M28" s="37" t="n">
        <f aca="false">IMABS(IMDIV(IMPRODUCT(J28,F28,H28),L28))^2</f>
        <v>1.45414104313242E-027</v>
      </c>
      <c r="N28" s="5" t="str">
        <f aca="false">IMDIV(IMPRODUCT(L_Yv,K28,E28),H28)</f>
        <v>0.00016888563217353-1.9389776833729i</v>
      </c>
      <c r="O28" s="37" t="n">
        <f aca="false">IMABS(IMSUM(1,IMPRODUCT(E28,G28),N28))^2</f>
        <v>4.75994125271511</v>
      </c>
      <c r="P28" s="37" t="n">
        <f aca="false">IMABS(N28)^2</f>
        <v>3.75963448514049</v>
      </c>
      <c r="Q28" s="37" t="n">
        <f aca="false">p_Rb^2/(1+(C28*p_Rb*L_Ctot)^2)</f>
        <v>1.73238822448208E+019</v>
      </c>
      <c r="R28" s="37" t="n">
        <f aca="false">M28*L_Kt^2*Q28</f>
        <v>5.05579179450774E-006</v>
      </c>
      <c r="S28" s="37" t="n">
        <f aca="false">L_kT4*D28</f>
        <v>1.26400301747212E-012</v>
      </c>
      <c r="T28" s="37" t="n">
        <f aca="false">L_kT4*L_Rsq*O28</f>
        <v>2.45874355276384E-011</v>
      </c>
      <c r="U28" s="37" t="n">
        <f aca="false">L_kT4*L_Rh*O28</f>
        <v>1.87071742833187E-011</v>
      </c>
      <c r="V28" s="37" t="n">
        <f aca="false">L_kT4*p_Rv*P28</f>
        <v>3.09523563367343E-008</v>
      </c>
      <c r="W28" s="37" t="n">
        <f aca="false">L_kT4/p_Rb*Q28/R28</f>
        <v>5.64201361747964E-008</v>
      </c>
      <c r="X28" s="37" t="n">
        <f aca="false">p_en^2*(1+p_fc/B28)/R28</f>
        <v>9.41968886177545E-011</v>
      </c>
      <c r="Y28" s="37" t="n">
        <f aca="false">p_in^2*Q28/R28</f>
        <v>8.56635466260707E-009</v>
      </c>
      <c r="Z28" s="37" t="n">
        <f aca="false">p_eo^2/L_G^2/R28</f>
        <v>1.25392283296383E-011</v>
      </c>
      <c r="AA28" s="37" t="n">
        <f aca="false">SUM(S28:Z28)</f>
        <v>9.60901419039135E-008</v>
      </c>
      <c r="AB28" s="47" t="n">
        <f aca="false">10*LOG10(AA28/L_PREF^2)</f>
        <v>23.8061884341301</v>
      </c>
      <c r="AC28" s="47" t="n">
        <f aca="false">10*LOG10(S28/L_PREF^2)</f>
        <v>-25.0031188061741</v>
      </c>
      <c r="AD28" s="47" t="n">
        <f aca="false">10*LOG10(T28/L_PREF^2)</f>
        <v>-12.1134675719173</v>
      </c>
      <c r="AE28" s="47" t="n">
        <f aca="false">10*LOG10(U28/L_PREF^2)</f>
        <v>-13.300517990092</v>
      </c>
      <c r="AF28" s="47" t="n">
        <f aca="false">10*LOG10(V28/L_PREF^2)</f>
        <v>18.8863372519741</v>
      </c>
      <c r="AG28" s="47" t="n">
        <f aca="false">10*LOG10(W28/L_PREF^2)</f>
        <v>21.4937413869931</v>
      </c>
      <c r="AH28" s="47" t="n">
        <f aca="false">10*LOG10(X28/L_PREF^2)</f>
        <v>-6.28023433317001</v>
      </c>
      <c r="AI28" s="47" t="n">
        <f aca="false">10*LOG10(Y28/L_PREF^2)</f>
        <v>13.307360596834</v>
      </c>
      <c r="AJ28" s="47" t="n">
        <f aca="false">10*LOG10(Z28/L_PREF^2)</f>
        <v>-15.037891807098</v>
      </c>
      <c r="AK28" s="47" t="n">
        <f aca="false">10*LOG10(R28/$R$6)</f>
        <v>-6.24981723932796</v>
      </c>
      <c r="AL28" s="37" t="n">
        <f aca="false">(12194^2*B28^4/((B28^2+20.6^2)*SQRT((B28^2+107.7^2)*(B28^2+737.9^2))*(B28^2+12194^2))*1.2589254)^2</f>
        <v>1.87302521521256E-006</v>
      </c>
      <c r="AM28" s="37" t="n">
        <v>0</v>
      </c>
      <c r="AN28" s="37" t="n">
        <v>0</v>
      </c>
      <c r="AO28" s="37" t="n">
        <v>0</v>
      </c>
      <c r="AP28" s="37" t="n">
        <v>0</v>
      </c>
      <c r="AQ28" s="37" t="n">
        <v>0</v>
      </c>
      <c r="AR28" s="37" t="n">
        <v>0</v>
      </c>
      <c r="AS28" s="37" t="n">
        <v>0</v>
      </c>
      <c r="AT28" s="37" t="n">
        <v>0</v>
      </c>
      <c r="AU28" s="37" t="n">
        <v>0</v>
      </c>
      <c r="AV28" s="37" t="n">
        <v>0</v>
      </c>
      <c r="AW28" s="37" t="n">
        <v>0</v>
      </c>
      <c r="AX28" s="37" t="n">
        <v>0</v>
      </c>
      <c r="AY28" s="37" t="n">
        <v>0</v>
      </c>
      <c r="AZ28" s="37" t="n">
        <v>0</v>
      </c>
      <c r="BA28" s="37" t="n">
        <v>0</v>
      </c>
      <c r="BB28" s="37" t="n">
        <v>0</v>
      </c>
      <c r="BC28" s="37" t="n">
        <v>0</v>
      </c>
      <c r="BD28" s="37" t="n">
        <v>0</v>
      </c>
      <c r="BE28" s="37" t="n">
        <f aca="false">IF(B28&gt;2000,AK28,-999)</f>
        <v>-999</v>
      </c>
      <c r="BF28" s="37" t="n">
        <f aca="false">IF(AND(B28&lt;1000,AK28&gt;=-3),B28,1000000000)</f>
        <v>1000000000</v>
      </c>
    </row>
    <row r="29" customFormat="false" ht="15" hidden="false" customHeight="false" outlineLevel="0" collapsed="false">
      <c r="A29" s="5" t="n">
        <v>-10</v>
      </c>
      <c r="B29" s="47" t="n">
        <f aca="false">20*10^(A29/100)</f>
        <v>15.8865646944856</v>
      </c>
      <c r="C29" s="37" t="n">
        <f aca="false">2*PI()*B29</f>
        <v>99.8182298699501</v>
      </c>
      <c r="D29" s="37" t="n">
        <f aca="false">SQRT(L_Rp0^2+L_Rp1^2*C29)</f>
        <v>76768932.2545966</v>
      </c>
      <c r="E29" s="5" t="str">
        <f aca="false">COMPLEX(D29,C29*L_Mp)</f>
        <v>76768932.2545966+1474586.67759353i</v>
      </c>
      <c r="F29" s="5" t="str">
        <f aca="false">IMDIV(1,E29)</f>
        <v>1.3021298524498e-08-2.50114633163253e-10i</v>
      </c>
      <c r="G29" s="5" t="str">
        <f aca="false">COMPLEX(0,C29*L_Cf)</f>
        <v>1.0554957160828e-13i</v>
      </c>
      <c r="H29" s="5" t="str">
        <f aca="false">COMPLEX(0,C29*L_Cbv)</f>
        <v>1.0554957160828e-12i</v>
      </c>
      <c r="I29" s="5" t="str">
        <f aca="false">COMPLEX(L_Rsq+L_Rh,C29*(L_Md+L_Mh)-1/(C29*L_Cd))</f>
        <v>552400610.124532-11540760119759.4i</v>
      </c>
      <c r="J29" s="5" t="str">
        <f aca="false">IMDIV(1,I29)</f>
        <v>4.14748974038534e-18+8.66494050072823e-14i</v>
      </c>
      <c r="K29" s="5" t="str">
        <f aca="false">IMSUM(F29,G29,H29)</f>
        <v>1.3021298524498e-08-2.48953587875562e-10i</v>
      </c>
      <c r="L29" s="5" t="str">
        <f aca="false">IMSUM(IMPRODUCT(IMSUM(F29,G29),H29),IMPRODUCT(IMSUM(J29,L_Yv),K29))</f>
        <v>2.63281062516747e-20+1.43743043717293e-20i</v>
      </c>
      <c r="M29" s="37" t="n">
        <f aca="false">IMABS(IMDIV(IMPRODUCT(J29,F29,H29),L29))^2</f>
        <v>1.57678270610508E-027</v>
      </c>
      <c r="N29" s="5" t="str">
        <f aca="false">IMDIV(IMPRODUCT(L_Yv,K29,E29),H29)</f>
        <v>0.000168891650960081-1.89484101678654i</v>
      </c>
      <c r="O29" s="37" t="n">
        <f aca="false">IMABS(IMSUM(1,IMPRODUCT(E29,G29),N29))^2</f>
        <v>4.59072927193177</v>
      </c>
      <c r="P29" s="37" t="n">
        <f aca="false">IMABS(N29)^2</f>
        <v>3.59042250742104</v>
      </c>
      <c r="Q29" s="37" t="n">
        <f aca="false">p_Rb^2/(1+(C29*p_Rb*L_Ctot)^2)</f>
        <v>1.65441920044707E+019</v>
      </c>
      <c r="R29" s="37" t="n">
        <f aca="false">M29*L_Kt^2*Q29</f>
        <v>5.23545986666647E-006</v>
      </c>
      <c r="S29" s="37" t="n">
        <f aca="false">L_kT4*D29</f>
        <v>1.26404806431394E-012</v>
      </c>
      <c r="T29" s="37" t="n">
        <f aca="false">L_kT4*L_Rsq*O29</f>
        <v>2.37133724988896E-011</v>
      </c>
      <c r="U29" s="37" t="n">
        <f aca="false">L_kT4*L_Rh*O29</f>
        <v>1.80421496858966E-011</v>
      </c>
      <c r="V29" s="37" t="n">
        <f aca="false">L_kT4*p_Rv*P29</f>
        <v>2.95592662766455E-008</v>
      </c>
      <c r="W29" s="37" t="n">
        <f aca="false">L_kT4/p_Rb*Q29/R29</f>
        <v>5.20317957276126E-008</v>
      </c>
      <c r="X29" s="37" t="n">
        <f aca="false">p_en^2*(1+p_fc/B29)/R29</f>
        <v>8.91719435663235E-011</v>
      </c>
      <c r="Y29" s="37" t="n">
        <f aca="false">p_in^2*Q29/R29</f>
        <v>7.90006629112255E-009</v>
      </c>
      <c r="Z29" s="37" t="n">
        <f aca="false">p_eo^2/L_G^2/R29</f>
        <v>1.21089129346741E-011</v>
      </c>
      <c r="AA29" s="37" t="n">
        <f aca="false">SUM(S29:Z29)</f>
        <v>8.96354287221308E-008</v>
      </c>
      <c r="AB29" s="47" t="n">
        <f aca="false">10*LOG10(AA29/L_PREF^2)</f>
        <v>23.5041970870623</v>
      </c>
      <c r="AC29" s="47" t="n">
        <f aca="false">10*LOG10(S29/L_PREF^2)</f>
        <v>-25.002964034026</v>
      </c>
      <c r="AD29" s="47" t="n">
        <f aca="false">10*LOG10(T29/L_PREF^2)</f>
        <v>-12.2706666790643</v>
      </c>
      <c r="AE29" s="47" t="n">
        <f aca="false">10*LOG10(U29/L_PREF^2)</f>
        <v>-13.457717097239</v>
      </c>
      <c r="AF29" s="47" t="n">
        <f aca="false">10*LOG10(V29/L_PREF^2)</f>
        <v>18.6863365842328</v>
      </c>
      <c r="AG29" s="47" t="n">
        <f aca="false">10*LOG10(W29/L_PREF^2)</f>
        <v>21.1420882325029</v>
      </c>
      <c r="AH29" s="47" t="n">
        <f aca="false">10*LOG10(X29/L_PREF^2)</f>
        <v>-6.51831758823917</v>
      </c>
      <c r="AI29" s="47" t="n">
        <f aca="false">10*LOG10(Y29/L_PREF^2)</f>
        <v>12.9557074423437</v>
      </c>
      <c r="AJ29" s="47" t="n">
        <f aca="false">10*LOG10(Z29/L_PREF^2)</f>
        <v>-15.1895483477973</v>
      </c>
      <c r="AK29" s="47" t="n">
        <f aca="false">10*LOG10(R29/$R$6)</f>
        <v>-6.09816069862866</v>
      </c>
      <c r="AL29" s="37" t="n">
        <f aca="false">(12194^2*B29^4/((B29^2+20.6^2)*SQRT((B29^2+107.7^2)*(B29^2+737.9^2))*(B29^2+12194^2))*1.2589254)^2</f>
        <v>2.17477876361173E-006</v>
      </c>
      <c r="AM29" s="37" t="n">
        <v>0</v>
      </c>
      <c r="AN29" s="37" t="n">
        <v>0</v>
      </c>
      <c r="AO29" s="37" t="n">
        <v>0</v>
      </c>
      <c r="AP29" s="37" t="n">
        <v>0</v>
      </c>
      <c r="AQ29" s="37" t="n">
        <v>0</v>
      </c>
      <c r="AR29" s="37" t="n">
        <v>0</v>
      </c>
      <c r="AS29" s="37" t="n">
        <v>0</v>
      </c>
      <c r="AT29" s="37" t="n">
        <v>0</v>
      </c>
      <c r="AU29" s="37" t="n">
        <v>0</v>
      </c>
      <c r="AV29" s="37" t="n">
        <v>0</v>
      </c>
      <c r="AW29" s="37" t="n">
        <v>0</v>
      </c>
      <c r="AX29" s="37" t="n">
        <v>0</v>
      </c>
      <c r="AY29" s="37" t="n">
        <v>0</v>
      </c>
      <c r="AZ29" s="37" t="n">
        <v>0</v>
      </c>
      <c r="BA29" s="37" t="n">
        <v>0</v>
      </c>
      <c r="BB29" s="37" t="n">
        <v>0</v>
      </c>
      <c r="BC29" s="37" t="n">
        <v>0</v>
      </c>
      <c r="BD29" s="37" t="n">
        <v>0</v>
      </c>
      <c r="BE29" s="37" t="n">
        <f aca="false">IF(B29&gt;2000,AK29,-999)</f>
        <v>-999</v>
      </c>
      <c r="BF29" s="37" t="n">
        <f aca="false">IF(AND(B29&lt;1000,AK29&gt;=-3),B29,1000000000)</f>
        <v>1000000000</v>
      </c>
    </row>
    <row r="30" customFormat="false" ht="15" hidden="false" customHeight="false" outlineLevel="0" collapsed="false">
      <c r="A30" s="5" t="n">
        <v>-9</v>
      </c>
      <c r="B30" s="47" t="n">
        <f aca="false">20*10^(A30/100)</f>
        <v>16.256610323282</v>
      </c>
      <c r="C30" s="37" t="n">
        <f aca="false">2*PI()*B30</f>
        <v>102.143295127789</v>
      </c>
      <c r="D30" s="37" t="n">
        <f aca="false">SQRT(L_Rp0^2+L_Rp1^2*C30)</f>
        <v>76771731.6909881</v>
      </c>
      <c r="E30" s="5" t="str">
        <f aca="false">COMPLEX(D30,C30*L_Mp)</f>
        <v>76771731.690988+1508934.21369201i</v>
      </c>
      <c r="F30" s="5" t="str">
        <f aca="false">IMDIV(1,E30)</f>
        <v>1.30205977564058e-08-2.55917445192506e-10i</v>
      </c>
      <c r="G30" s="5" t="str">
        <f aca="false">COMPLEX(0,C30*L_Cf)</f>
        <v>1.08008136964988e-13i</v>
      </c>
      <c r="H30" s="5" t="str">
        <f aca="false">COMPLEX(0,C30*L_Cbv)</f>
        <v>1.08008136964988e-12i</v>
      </c>
      <c r="I30" s="5" t="str">
        <f aca="false">COMPLEX(L_Rsq+L_Rh,C30*(L_Md+L_Mh)-1/(C30*L_Cd))</f>
        <v>552400610.124532-11278060329829.1i</v>
      </c>
      <c r="J30" s="5" t="str">
        <f aca="false">IMDIV(1,I30)</f>
        <v>4.34295492277766e-18+8.86677290558617e-14i</v>
      </c>
      <c r="K30" s="5" t="str">
        <f aca="false">IMSUM(F30,G30,H30)</f>
        <v>1.30205977564058e-08-2.54729355685891e-10i</v>
      </c>
      <c r="L30" s="5" t="str">
        <f aca="false">IMSUM(IMPRODUCT(IMSUM(F30,G30),H30),IMPRODUCT(IMSUM(J30,L_Yv),K30))</f>
        <v>2.63401333413175e-20+1.47083520747594e-20i</v>
      </c>
      <c r="M30" s="37" t="n">
        <f aca="false">IMABS(IMDIV(IMPRODUCT(J30,F30,H30),L30))^2</f>
        <v>1.70909554992319E-027</v>
      </c>
      <c r="N30" s="5" t="str">
        <f aca="false">IMDIV(IMPRODUCT(L_Yv,K30,E30),H30)</f>
        <v>0.000168897809720069-1.85170901998848i</v>
      </c>
      <c r="O30" s="37" t="n">
        <f aca="false">IMABS(IMSUM(1,IMPRODUCT(E30,G30),N30))^2</f>
        <v>4.42913308427438</v>
      </c>
      <c r="P30" s="37" t="n">
        <f aca="false">IMABS(N30)^2</f>
        <v>3.42882632323317</v>
      </c>
      <c r="Q30" s="37" t="n">
        <f aca="false">p_Rb^2/(1+(C30*p_Rb*L_Ctot)^2)</f>
        <v>1.57995924705397E+019</v>
      </c>
      <c r="R30" s="37" t="n">
        <f aca="false">M30*L_Kt^2*Q30</f>
        <v>5.419380614674E-006</v>
      </c>
      <c r="S30" s="37" t="n">
        <f aca="false">L_kT4*D30</f>
        <v>1.2640941587697E-012</v>
      </c>
      <c r="T30" s="37" t="n">
        <f aca="false">L_kT4*L_Rsq*O30</f>
        <v>2.28786487839127E-011</v>
      </c>
      <c r="U30" s="37" t="n">
        <f aca="false">L_kT4*L_Rh*O30</f>
        <v>1.74070561237015E-011</v>
      </c>
      <c r="V30" s="37" t="n">
        <f aca="false">L_kT4*p_Rv*P30</f>
        <v>2.82288755976025E-008</v>
      </c>
      <c r="W30" s="37" t="n">
        <f aca="false">L_kT4/p_Rb*Q30/R30</f>
        <v>4.8003656480516E-008</v>
      </c>
      <c r="X30" s="37" t="n">
        <f aca="false">p_en^2*(1+p_fc/B30)/R30</f>
        <v>8.44535638299128E-011</v>
      </c>
      <c r="Y30" s="37" t="n">
        <f aca="false">p_in^2*Q30/R30</f>
        <v>7.28846781298185E-009</v>
      </c>
      <c r="Z30" s="37" t="n">
        <f aca="false">p_eo^2/L_G^2/R30</f>
        <v>1.16979655436617E-011</v>
      </c>
      <c r="AA30" s="37" t="n">
        <f aca="false">SUM(S30:Z30)</f>
        <v>8.36587012195404E-008</v>
      </c>
      <c r="AB30" s="47" t="n">
        <f aca="false">10*LOG10(AA30/L_PREF^2)</f>
        <v>23.2045112665553</v>
      </c>
      <c r="AC30" s="47" t="n">
        <f aca="false">10*LOG10(S30/L_PREF^2)</f>
        <v>-25.0028056681903</v>
      </c>
      <c r="AD30" s="47" t="n">
        <f aca="false">10*LOG10(T30/L_PREF^2)</f>
        <v>-12.4262961994033</v>
      </c>
      <c r="AE30" s="47" t="n">
        <f aca="false">10*LOG10(U30/L_PREF^2)</f>
        <v>-13.6133466175781</v>
      </c>
      <c r="AF30" s="47" t="n">
        <f aca="false">10*LOG10(V30/L_PREF^2)</f>
        <v>18.4863358850221</v>
      </c>
      <c r="AG30" s="47" t="n">
        <f aca="false">10*LOG10(W30/L_PREF^2)</f>
        <v>20.7921432789826</v>
      </c>
      <c r="AH30" s="47" t="n">
        <f aca="false">10*LOG10(X30/L_PREF^2)</f>
        <v>-6.75442010375245</v>
      </c>
      <c r="AI30" s="47" t="n">
        <f aca="false">10*LOG10(Y30/L_PREF^2)</f>
        <v>12.6057624888234</v>
      </c>
      <c r="AJ30" s="47" t="n">
        <f aca="false">10*LOG10(Z30/L_PREF^2)</f>
        <v>-15.3394965351246</v>
      </c>
      <c r="AK30" s="47" t="n">
        <f aca="false">10*LOG10(R30/$R$6)</f>
        <v>-5.94821251130142</v>
      </c>
      <c r="AL30" s="37" t="n">
        <f aca="false">(12194^2*B30^4/((B30^2+20.6^2)*SQRT((B30^2+107.7^2)*(B30^2+737.9^2))*(B30^2+12194^2))*1.2589254)^2</f>
        <v>2.52252900163463E-006</v>
      </c>
      <c r="AM30" s="37" t="n">
        <v>0</v>
      </c>
      <c r="AN30" s="37" t="n">
        <v>0</v>
      </c>
      <c r="AO30" s="37" t="n">
        <v>0</v>
      </c>
      <c r="AP30" s="37" t="n">
        <v>0</v>
      </c>
      <c r="AQ30" s="37" t="n">
        <v>0</v>
      </c>
      <c r="AR30" s="37" t="n">
        <v>0</v>
      </c>
      <c r="AS30" s="37" t="n">
        <v>0</v>
      </c>
      <c r="AT30" s="37" t="n">
        <v>0</v>
      </c>
      <c r="AU30" s="37" t="n">
        <v>0</v>
      </c>
      <c r="AV30" s="37" t="n">
        <v>0</v>
      </c>
      <c r="AW30" s="37" t="n">
        <v>0</v>
      </c>
      <c r="AX30" s="37" t="n">
        <v>0</v>
      </c>
      <c r="AY30" s="37" t="n">
        <v>0</v>
      </c>
      <c r="AZ30" s="37" t="n">
        <v>0</v>
      </c>
      <c r="BA30" s="37" t="n">
        <v>0</v>
      </c>
      <c r="BB30" s="37" t="n">
        <v>0</v>
      </c>
      <c r="BC30" s="37" t="n">
        <v>0</v>
      </c>
      <c r="BD30" s="37" t="n">
        <v>0</v>
      </c>
      <c r="BE30" s="37" t="n">
        <f aca="false">IF(B30&gt;2000,AK30,-999)</f>
        <v>-999</v>
      </c>
      <c r="BF30" s="37" t="n">
        <f aca="false">IF(AND(B30&lt;1000,AK30&gt;=-3),B30,1000000000)</f>
        <v>1000000000</v>
      </c>
    </row>
    <row r="31" customFormat="false" ht="15" hidden="false" customHeight="false" outlineLevel="0" collapsed="false">
      <c r="A31" s="5" t="n">
        <v>-8</v>
      </c>
      <c r="B31" s="47" t="n">
        <f aca="false">20*10^(A31/100)</f>
        <v>16.6352754220534</v>
      </c>
      <c r="C31" s="37" t="n">
        <f aca="false">2*PI()*B31</f>
        <v>104.522518112732</v>
      </c>
      <c r="D31" s="37" t="n">
        <f aca="false">SQRT(L_Rp0^2+L_Rp1^2*C31)</f>
        <v>76774596.2289595</v>
      </c>
      <c r="E31" s="5" t="str">
        <f aca="false">COMPLEX(D31,C31*L_Mp)</f>
        <v>76774596.2289595+1544081.80668371i</v>
      </c>
      <c r="F31" s="5" t="str">
        <f aca="false">IMDIV(1,E31)</f>
        <v>1.30198753851843e-08-2.61854229068143e-10i</v>
      </c>
      <c r="G31" s="5" t="str">
        <f aca="false">COMPLEX(0,C31*L_Cf)</f>
        <v>1.10523969665572e-13i</v>
      </c>
      <c r="H31" s="5" t="str">
        <f aca="false">COMPLEX(0,C31*L_Cbv)</f>
        <v>1.10523969665572e-12i</v>
      </c>
      <c r="I31" s="5" t="str">
        <f aca="false">COMPLEX(L_Rsq+L_Rh,C31*(L_Md+L_Mh)-1/(C31*L_Cd))</f>
        <v>552400610.124532-11021340316768.4i</v>
      </c>
      <c r="J31" s="5" t="str">
        <f aca="false">IMDIV(1,I31)</f>
        <v>4.54763209665253e-18+9.07330659199804e-14i</v>
      </c>
      <c r="K31" s="5" t="str">
        <f aca="false">IMSUM(F31,G31,H31)</f>
        <v>1.30198753851843e-08-2.60638465401822e-10i</v>
      </c>
      <c r="L31" s="5" t="str">
        <f aca="false">IMSUM(IMPRODUCT(IMSUM(F31,G31),H31),IMPRODUCT(IMSUM(J31,L_Yv),K31))</f>
        <v>2.6352748040259e-20+1.50501382167188e-20i</v>
      </c>
      <c r="M31" s="37" t="n">
        <f aca="false">IMABS(IMDIV(IMPRODUCT(J31,F31,H31),L31))^2</f>
        <v>1.85176574056284E-027</v>
      </c>
      <c r="N31" s="5" t="str">
        <f aca="false">IMDIV(IMPRODUCT(L_Yv,K31,E31),H31)</f>
        <v>0.000168904111703655-1.80955882382307i</v>
      </c>
      <c r="O31" s="37" t="n">
        <f aca="false">IMABS(IMSUM(1,IMPRODUCT(E31,G31),N31))^2</f>
        <v>4.27480992254539</v>
      </c>
      <c r="P31" s="37" t="n">
        <f aca="false">IMABS(N31)^2</f>
        <v>3.27450316540453</v>
      </c>
      <c r="Q31" s="37" t="n">
        <f aca="false">p_Rb^2/(1+(C31*p_Rb*L_Ctot)^2)</f>
        <v>1.50885044009429E+019</v>
      </c>
      <c r="R31" s="37" t="n">
        <f aca="false">M31*L_Kt^2*Q31</f>
        <v>5.60750492812566E-006</v>
      </c>
      <c r="S31" s="37" t="n">
        <f aca="false">L_kT4*D31</f>
        <v>1.26414132516334E-012</v>
      </c>
      <c r="T31" s="37" t="n">
        <f aca="false">L_kT4*L_Rsq*O31</f>
        <v>2.20814938217021E-011</v>
      </c>
      <c r="U31" s="37" t="n">
        <f aca="false">L_kT4*L_Rh*O31</f>
        <v>1.68005464780687E-011</v>
      </c>
      <c r="V31" s="37" t="n">
        <f aca="false">L_kT4*p_Rv*P31</f>
        <v>2.69583623626055E-008</v>
      </c>
      <c r="W31" s="37" t="n">
        <f aca="false">L_kT4/p_Rb*Q31/R31</f>
        <v>4.43051914579404E-008</v>
      </c>
      <c r="X31" s="37" t="n">
        <f aca="false">p_en^2*(1+p_fc/B31)/R31</f>
        <v>8.00221533157994E-011</v>
      </c>
      <c r="Y31" s="37" t="n">
        <f aca="false">p_in^2*Q31/R31</f>
        <v>6.72692427128472E-009</v>
      </c>
      <c r="Z31" s="37" t="n">
        <f aca="false">p_eo^2/L_G^2/R31</f>
        <v>1.13055143974051E-011</v>
      </c>
      <c r="AA31" s="37" t="n">
        <f aca="false">SUM(S31:Z31)</f>
        <v>7.81219519411688E-008</v>
      </c>
      <c r="AB31" s="47" t="n">
        <f aca="false">10*LOG10(AA31/L_PREF^2)</f>
        <v>22.9071309462795</v>
      </c>
      <c r="AC31" s="47" t="n">
        <f aca="false">10*LOG10(S31/L_PREF^2)</f>
        <v>-25.002643625496</v>
      </c>
      <c r="AD31" s="47" t="n">
        <f aca="false">10*LOG10(T31/L_PREF^2)</f>
        <v>-12.5803154108524</v>
      </c>
      <c r="AE31" s="47" t="n">
        <f aca="false">10*LOG10(U31/L_PREF^2)</f>
        <v>-13.7673658290271</v>
      </c>
      <c r="AF31" s="47" t="n">
        <f aca="false">10*LOG10(V31/L_PREF^2)</f>
        <v>18.2863351528586</v>
      </c>
      <c r="AG31" s="47" t="n">
        <f aca="false">10*LOG10(W31/L_PREF^2)</f>
        <v>20.4439462630456</v>
      </c>
      <c r="AH31" s="47" t="n">
        <f aca="false">10*LOG10(X31/L_PREF^2)</f>
        <v>-6.98849757699292</v>
      </c>
      <c r="AI31" s="47" t="n">
        <f aca="false">10*LOG10(Y31/L_PREF^2)</f>
        <v>12.2575654728865</v>
      </c>
      <c r="AJ31" s="47" t="n">
        <f aca="false">10*LOG10(Z31/L_PREF^2)</f>
        <v>-15.4876966393255</v>
      </c>
      <c r="AK31" s="47" t="n">
        <f aca="false">10*LOG10(R31/$R$6)</f>
        <v>-5.80001240710049</v>
      </c>
      <c r="AL31" s="37" t="n">
        <f aca="false">(12194^2*B31^4/((B31^2+20.6^2)*SQRT((B31^2+107.7^2)*(B31^2+737.9^2))*(B31^2+12194^2))*1.2589254)^2</f>
        <v>2.92281374061625E-006</v>
      </c>
      <c r="AM31" s="37" t="n">
        <v>0</v>
      </c>
      <c r="AN31" s="37" t="n">
        <v>0</v>
      </c>
      <c r="AO31" s="37" t="n">
        <v>0</v>
      </c>
      <c r="AP31" s="37" t="n">
        <v>0</v>
      </c>
      <c r="AQ31" s="37" t="n">
        <v>0</v>
      </c>
      <c r="AR31" s="37" t="n">
        <v>0</v>
      </c>
      <c r="AS31" s="37" t="n">
        <v>0</v>
      </c>
      <c r="AT31" s="37" t="n">
        <v>0</v>
      </c>
      <c r="AU31" s="37" t="n">
        <v>0</v>
      </c>
      <c r="AV31" s="37" t="n">
        <v>0</v>
      </c>
      <c r="AW31" s="37" t="n">
        <v>0</v>
      </c>
      <c r="AX31" s="37" t="n">
        <v>0</v>
      </c>
      <c r="AY31" s="37" t="n">
        <v>0</v>
      </c>
      <c r="AZ31" s="37" t="n">
        <v>0</v>
      </c>
      <c r="BA31" s="37" t="n">
        <v>0</v>
      </c>
      <c r="BB31" s="37" t="n">
        <v>0</v>
      </c>
      <c r="BC31" s="37" t="n">
        <v>0</v>
      </c>
      <c r="BD31" s="37" t="n">
        <v>0</v>
      </c>
      <c r="BE31" s="37" t="n">
        <f aca="false">IF(B31&gt;2000,AK31,-999)</f>
        <v>-999</v>
      </c>
      <c r="BF31" s="37" t="n">
        <f aca="false">IF(AND(B31&lt;1000,AK31&gt;=-3),B31,1000000000)</f>
        <v>1000000000</v>
      </c>
    </row>
    <row r="32" customFormat="false" ht="15" hidden="false" customHeight="false" outlineLevel="0" collapsed="false">
      <c r="A32" s="5" t="n">
        <v>-7</v>
      </c>
      <c r="B32" s="47" t="n">
        <f aca="false">20*10^(A32/100)</f>
        <v>17.0227607640475</v>
      </c>
      <c r="C32" s="37" t="n">
        <f aca="false">2*PI()*B32</f>
        <v>106.957160320297</v>
      </c>
      <c r="D32" s="37" t="n">
        <f aca="false">SQRT(L_Rp0^2+L_Rp1^2*C32)</f>
        <v>76777527.379954</v>
      </c>
      <c r="E32" s="5" t="str">
        <f aca="false">COMPLEX(D32,C32*L_Mp)</f>
        <v>76777527.379954+1580048.09228764i</v>
      </c>
      <c r="F32" s="5" t="str">
        <f aca="false">IMDIV(1,E32)</f>
        <v>1.30191306612679e-08-2.67928041792484e-10i</v>
      </c>
      <c r="G32" s="5" t="str">
        <f aca="false">COMPLEX(0,C32*L_Cf)</f>
        <v>1.13098403637831e-13i</v>
      </c>
      <c r="H32" s="5" t="str">
        <f aca="false">COMPLEX(0,C32*L_Cbv)</f>
        <v>1.13098403637831e-12i</v>
      </c>
      <c r="I32" s="5" t="str">
        <f aca="false">COMPLEX(L_Rsq+L_Rh,C32*(L_Md+L_Mh)-1/(C32*L_Cd))</f>
        <v>552400610.124532-10770463964228.4i</v>
      </c>
      <c r="J32" s="5" t="str">
        <f aca="false">IMDIV(1,I32)</f>
        <v>4.76195540991292e-18+9.28465106694346e-14i</v>
      </c>
      <c r="K32" s="5" t="str">
        <f aca="false">IMSUM(F32,G32,H32)</f>
        <v>1.30191306612679e-08-2.66683959352468e-10i</v>
      </c>
      <c r="L32" s="5" t="str">
        <f aca="false">IMSUM(IMPRODUCT(IMSUM(F32,G32),H32),IMPRODUCT(IMSUM(J32,L_Yv),K32))</f>
        <v>2.63659784198092e-20+1.53998406106235e-20i</v>
      </c>
      <c r="M32" s="37" t="n">
        <f aca="false">IMABS(IMDIV(IMPRODUCT(J32,F32,H32),L32))^2</f>
        <v>2.00552015371219E-027</v>
      </c>
      <c r="N32" s="5" t="str">
        <f aca="false">IMDIV(IMPRODUCT(L_Yv,K32,E32),H32)</f>
        <v>0.000168910560235826-1.76836807969838i</v>
      </c>
      <c r="O32" s="37" t="n">
        <f aca="false">IMABS(IMSUM(1,IMPRODUCT(E32,G32),N32))^2</f>
        <v>4.12743244661004</v>
      </c>
      <c r="P32" s="37" t="n">
        <f aca="false">IMABS(N32)^2</f>
        <v>3.12712569382691</v>
      </c>
      <c r="Q32" s="37" t="n">
        <f aca="false">p_Rb^2/(1+(C32*p_Rb*L_Ctot)^2)</f>
        <v>1.44094196224108E+019</v>
      </c>
      <c r="R32" s="37" t="n">
        <f aca="false">M32*L_Kt^2*Q32</f>
        <v>5.79977231439939E-006</v>
      </c>
      <c r="S32" s="37" t="n">
        <f aca="false">L_kT4*D32</f>
        <v>1.2641895883817E-012</v>
      </c>
      <c r="T32" s="37" t="n">
        <f aca="false">L_kT4*L_Rsq*O32</f>
        <v>2.13202167396122E-011</v>
      </c>
      <c r="U32" s="37" t="n">
        <f aca="false">L_kT4*L_Rh*O32</f>
        <v>1.6221334260652E-011</v>
      </c>
      <c r="V32" s="37" t="n">
        <f aca="false">L_kT4*p_Rv*P32</f>
        <v>2.57450316427425E-008</v>
      </c>
      <c r="W32" s="37" t="n">
        <f aca="false">L_kT4/p_Rb*Q32/R32</f>
        <v>4.0908507211474E-008</v>
      </c>
      <c r="X32" s="37" t="n">
        <f aca="false">p_en^2*(1+p_fc/B32)/R32</f>
        <v>7.58593947711224E-011</v>
      </c>
      <c r="Y32" s="37" t="n">
        <f aca="false">p_in^2*Q32/R32</f>
        <v>6.21120056154437E-009</v>
      </c>
      <c r="Z32" s="37" t="n">
        <f aca="false">p_eo^2/L_G^2/R32</f>
        <v>1.09307269771692E-011</v>
      </c>
      <c r="AA32" s="37" t="n">
        <f aca="false">SUM(S32:Z32)</f>
        <v>7.29903352780978E-008</v>
      </c>
      <c r="AB32" s="47" t="n">
        <f aca="false">10*LOG10(AA32/L_PREF^2)</f>
        <v>22.6120536724091</v>
      </c>
      <c r="AC32" s="47" t="n">
        <f aca="false">10*LOG10(S32/L_PREF^2)</f>
        <v>-25.0024778208594</v>
      </c>
      <c r="AD32" s="47" t="n">
        <f aca="false">10*LOG10(T32/L_PREF^2)</f>
        <v>-12.7326837594814</v>
      </c>
      <c r="AE32" s="47" t="n">
        <f aca="false">10*LOG10(U32/L_PREF^2)</f>
        <v>-13.9197341776561</v>
      </c>
      <c r="AF32" s="47" t="n">
        <f aca="false">10*LOG10(V32/L_PREF^2)</f>
        <v>18.0863343861894</v>
      </c>
      <c r="AG32" s="47" t="n">
        <f aca="false">10*LOG10(W32/L_PREF^2)</f>
        <v>20.0975364066007</v>
      </c>
      <c r="AH32" s="47" t="n">
        <f aca="false">10*LOG10(X32/L_PREF^2)</f>
        <v>-7.2205061787828</v>
      </c>
      <c r="AI32" s="47" t="n">
        <f aca="false">10*LOG10(Y32/L_PREF^2)</f>
        <v>11.9111556164415</v>
      </c>
      <c r="AJ32" s="47" t="n">
        <f aca="false">10*LOG10(Z32/L_PREF^2)</f>
        <v>-15.6341094450416</v>
      </c>
      <c r="AK32" s="47" t="n">
        <f aca="false">10*LOG10(R32/$R$6)</f>
        <v>-5.65359960138436</v>
      </c>
      <c r="AL32" s="37" t="n">
        <f aca="false">(12194^2*B32^4/((B32^2+20.6^2)*SQRT((B32^2+107.7^2)*(B32^2+737.9^2))*(B32^2+12194^2))*1.2589254)^2</f>
        <v>3.38302036559153E-006</v>
      </c>
      <c r="AM32" s="37" t="n">
        <v>0</v>
      </c>
      <c r="AN32" s="37" t="n">
        <v>0</v>
      </c>
      <c r="AO32" s="37" t="n">
        <v>0</v>
      </c>
      <c r="AP32" s="37" t="n">
        <v>0</v>
      </c>
      <c r="AQ32" s="37" t="n">
        <v>0</v>
      </c>
      <c r="AR32" s="37" t="n">
        <v>0</v>
      </c>
      <c r="AS32" s="37" t="n">
        <v>0</v>
      </c>
      <c r="AT32" s="37" t="n">
        <v>0</v>
      </c>
      <c r="AU32" s="37" t="n">
        <v>0</v>
      </c>
      <c r="AV32" s="37" t="n">
        <v>0</v>
      </c>
      <c r="AW32" s="37" t="n">
        <v>0</v>
      </c>
      <c r="AX32" s="37" t="n">
        <v>0</v>
      </c>
      <c r="AY32" s="37" t="n">
        <v>0</v>
      </c>
      <c r="AZ32" s="37" t="n">
        <v>0</v>
      </c>
      <c r="BA32" s="37" t="n">
        <v>0</v>
      </c>
      <c r="BB32" s="37" t="n">
        <v>0</v>
      </c>
      <c r="BC32" s="37" t="n">
        <v>0</v>
      </c>
      <c r="BD32" s="37" t="n">
        <v>0</v>
      </c>
      <c r="BE32" s="37" t="n">
        <f aca="false">IF(B32&gt;2000,AK32,-999)</f>
        <v>-999</v>
      </c>
      <c r="BF32" s="37" t="n">
        <f aca="false">IF(AND(B32&lt;1000,AK32&gt;=-3),B32,1000000000)</f>
        <v>1000000000</v>
      </c>
    </row>
    <row r="33" customFormat="false" ht="15" hidden="false" customHeight="false" outlineLevel="0" collapsed="false">
      <c r="A33" s="5" t="n">
        <v>-6</v>
      </c>
      <c r="B33" s="47" t="n">
        <f aca="false">20*10^(A33/100)</f>
        <v>17.4192717991216</v>
      </c>
      <c r="C33" s="37" t="n">
        <f aca="false">2*PI()*B33</f>
        <v>109.448512630009</v>
      </c>
      <c r="D33" s="37" t="n">
        <f aca="false">SQRT(L_Rp0^2+L_Rp1^2*C33)</f>
        <v>76780526.6903872</v>
      </c>
      <c r="E33" s="5" t="str">
        <f aca="false">COMPLEX(D33,C33*L_Mp)</f>
        <v>76780526.6903872+1616852.14030452i</v>
      </c>
      <c r="F33" s="5" t="str">
        <f aca="false">IMDIV(1,E33)</f>
        <v>1.30183628062123e-08-2.74142008055805e-10i</v>
      </c>
      <c r="G33" s="5" t="str">
        <f aca="false">COMPLEX(0,C33*L_Cf)</f>
        <v>1.15732803880732e-13i</v>
      </c>
      <c r="H33" s="5" t="str">
        <f aca="false">COMPLEX(0,C33*L_Cbv)</f>
        <v>1.15732803880732e-12i</v>
      </c>
      <c r="I33" s="5" t="str">
        <f aca="false">COMPLEX(L_Rsq+L_Rh,C33*(L_Md+L_Mh)-1/(C33*L_Cd))</f>
        <v>552400610.124532-10525298254246.2i</v>
      </c>
      <c r="J33" s="5" t="str">
        <f aca="false">IMDIV(1,I33)</f>
        <v>4.98637947123374e-18+9.50091838815202e-14i</v>
      </c>
      <c r="K33" s="5" t="str">
        <f aca="false">IMSUM(F33,G33,H33)</f>
        <v>1.30183628062123e-08-2.72868947213117e-10i</v>
      </c>
      <c r="L33" s="5" t="str">
        <f aca="false">IMSUM(IMPRODUCT(IMSUM(F33,G33),H33),IMPRODUCT(IMSUM(J33,L_Yv),K33))</f>
        <v>2.6379853874622e-20+1.57576410656332e-20i</v>
      </c>
      <c r="M33" s="37" t="n">
        <f aca="false">IMABS(IMDIV(IMPRODUCT(J33,F33,H33),L33))^2</f>
        <v>2.17112806076176E-027</v>
      </c>
      <c r="N33" s="5" t="str">
        <f aca="false">IMDIV(IMPRODUCT(L_Yv,K33,E33),H33)</f>
        <v>0.000168917158718907-1.72811494773667i</v>
      </c>
      <c r="O33" s="37" t="n">
        <f aca="false">IMABS(IMSUM(1,IMPRODUCT(E33,G33),N33))^2</f>
        <v>3.98668804906401</v>
      </c>
      <c r="P33" s="37" t="n">
        <f aca="false">IMABS(N33)^2</f>
        <v>2.98638130112392</v>
      </c>
      <c r="Q33" s="37" t="n">
        <f aca="false">p_Rb^2/(1+(C33*p_Rb*L_Ctot)^2)</f>
        <v>1.3760897832639E+019</v>
      </c>
      <c r="R33" s="37" t="n">
        <f aca="false">M33*L_Kt^2*Q33</f>
        <v>5.99611061418345E-006</v>
      </c>
      <c r="S33" s="37" t="n">
        <f aca="false">L_kT4*D33</f>
        <v>1.26423897388748E-012</v>
      </c>
      <c r="T33" s="37" t="n">
        <f aca="false">L_kT4*L_Rsq*O33</f>
        <v>2.05932027667894E-011</v>
      </c>
      <c r="U33" s="37" t="n">
        <f aca="false">L_kT4*L_Rh*O33</f>
        <v>1.56681908846088E-011</v>
      </c>
      <c r="V33" s="37" t="n">
        <f aca="false">L_kT4*p_Rv*P33</f>
        <v>2.45863098008831E-008</v>
      </c>
      <c r="W33" s="37" t="n">
        <f aca="false">L_kT4/p_Rb*Q33/R33</f>
        <v>3.77881144616158E-008</v>
      </c>
      <c r="X33" s="37" t="n">
        <f aca="false">p_en^2*(1+p_fc/B33)/R33</f>
        <v>7.19481655089099E-011</v>
      </c>
      <c r="Y33" s="37" t="n">
        <f aca="false">p_in^2*Q33/R33</f>
        <v>5.73742660787827E-009</v>
      </c>
      <c r="Z33" s="37" t="n">
        <f aca="false">p_eo^2/L_G^2/R33</f>
        <v>1.05728082381412E-011</v>
      </c>
      <c r="AA33" s="37" t="n">
        <f aca="false">SUM(S33:Z33)</f>
        <v>6.82318974767495E-008</v>
      </c>
      <c r="AB33" s="47" t="n">
        <f aca="false">10*LOG10(AA33/L_PREF^2)</f>
        <v>22.3192745751641</v>
      </c>
      <c r="AC33" s="47" t="n">
        <f aca="false">10*LOG10(S33/L_PREF^2)</f>
        <v>-25.0023081672416</v>
      </c>
      <c r="AD33" s="47" t="n">
        <f aca="false">10*LOG10(T33/L_PREF^2)</f>
        <v>-12.8833609561939</v>
      </c>
      <c r="AE33" s="47" t="n">
        <f aca="false">10*LOG10(U33/L_PREF^2)</f>
        <v>-14.0704113743686</v>
      </c>
      <c r="AF33" s="47" t="n">
        <f aca="false">10*LOG10(V33/L_PREF^2)</f>
        <v>17.8863335833884</v>
      </c>
      <c r="AG33" s="47" t="n">
        <f aca="false">10*LOG10(W33/L_PREF^2)</f>
        <v>19.7529523085247</v>
      </c>
      <c r="AH33" s="47" t="n">
        <f aca="false">10*LOG10(X33/L_PREF^2)</f>
        <v>-7.45040266293899</v>
      </c>
      <c r="AI33" s="47" t="n">
        <f aca="false">10*LOG10(Y33/L_PREF^2)</f>
        <v>11.5665715183656</v>
      </c>
      <c r="AJ33" s="47" t="n">
        <f aca="false">10*LOG10(Z33/L_PREF^2)</f>
        <v>-15.7786963596517</v>
      </c>
      <c r="AK33" s="47" t="n">
        <f aca="false">10*LOG10(R33/$R$6)</f>
        <v>-5.50901268677435</v>
      </c>
      <c r="AL33" s="37" t="n">
        <f aca="false">(12194^2*B33^4/((B33^2+20.6^2)*SQRT((B33^2+107.7^2)*(B33^2+737.9^2))*(B33^2+12194^2))*1.2589254)^2</f>
        <v>3.91148402005178E-006</v>
      </c>
      <c r="AM33" s="37" t="n">
        <v>0</v>
      </c>
      <c r="AN33" s="37" t="n">
        <v>0</v>
      </c>
      <c r="AO33" s="37" t="n">
        <v>0</v>
      </c>
      <c r="AP33" s="37" t="n">
        <v>0</v>
      </c>
      <c r="AQ33" s="37" t="n">
        <v>0</v>
      </c>
      <c r="AR33" s="37" t="n">
        <v>0</v>
      </c>
      <c r="AS33" s="37" t="n">
        <v>0</v>
      </c>
      <c r="AT33" s="37" t="n">
        <v>0</v>
      </c>
      <c r="AU33" s="37" t="n">
        <v>0</v>
      </c>
      <c r="AV33" s="37" t="n">
        <v>0</v>
      </c>
      <c r="AW33" s="37" t="n">
        <v>0</v>
      </c>
      <c r="AX33" s="37" t="n">
        <v>0</v>
      </c>
      <c r="AY33" s="37" t="n">
        <v>0</v>
      </c>
      <c r="AZ33" s="37" t="n">
        <v>0</v>
      </c>
      <c r="BA33" s="37" t="n">
        <v>0</v>
      </c>
      <c r="BB33" s="37" t="n">
        <v>0</v>
      </c>
      <c r="BC33" s="37" t="n">
        <v>0</v>
      </c>
      <c r="BD33" s="37" t="n">
        <v>0</v>
      </c>
      <c r="BE33" s="37" t="n">
        <f aca="false">IF(B33&gt;2000,AK33,-999)</f>
        <v>-999</v>
      </c>
      <c r="BF33" s="37" t="n">
        <f aca="false">IF(AND(B33&lt;1000,AK33&gt;=-3),B33,1000000000)</f>
        <v>1000000000</v>
      </c>
    </row>
    <row r="34" customFormat="false" ht="15" hidden="false" customHeight="false" outlineLevel="0" collapsed="false">
      <c r="A34" s="5" t="n">
        <v>-5</v>
      </c>
      <c r="B34" s="47" t="n">
        <f aca="false">20*10^(A34/100)</f>
        <v>17.8250187626749</v>
      </c>
      <c r="C34" s="37" t="n">
        <f aca="false">2*PI()*B34</f>
        <v>111.997895989839</v>
      </c>
      <c r="D34" s="37" t="n">
        <f aca="false">SQRT(L_Rp0^2+L_Rp1^2*C34)</f>
        <v>76783595.7424512</v>
      </c>
      <c r="E34" s="5" t="str">
        <f aca="false">COMPLEX(D34,C34*L_Mp)</f>
        <v>76783595.7424512+1654513.46472776i</v>
      </c>
      <c r="F34" s="5" t="str">
        <f aca="false">IMDIV(1,E34)</f>
        <v>1.30175710114984e-08-2.8049932161052e-10i</v>
      </c>
      <c r="G34" s="5" t="str">
        <f aca="false">COMPLEX(0,C34*L_Cf)</f>
        <v>1.18428567188156e-13i</v>
      </c>
      <c r="H34" s="5" t="str">
        <f aca="false">COMPLEX(0,C34*L_Cbv)</f>
        <v>1.18428567188156e-12i</v>
      </c>
      <c r="I34" s="5" t="str">
        <f aca="false">COMPLEX(L_Rsq+L_Rh,C34*(L_Md+L_Mh)-1/(C34*L_Cd))</f>
        <v>552400610.124532-10285713196717.1i</v>
      </c>
      <c r="J34" s="5" t="str">
        <f aca="false">IMDIV(1,I34)</f>
        <v>5.2213803143495e-18+9.7222232235182e-14i</v>
      </c>
      <c r="K34" s="5" t="str">
        <f aca="false">IMSUM(F34,G34,H34)</f>
        <v>1.30175710114984e-08-2.7919660737145e-10i</v>
      </c>
      <c r="L34" s="5" t="str">
        <f aca="false">IMSUM(IMPRODUCT(IMSUM(F34,G34),H34),IMPRODUCT(IMSUM(J34,L_Yv),K34))</f>
        <v>2.63944051843875e-20+1.61237254711016e-20i</v>
      </c>
      <c r="M34" s="37" t="n">
        <f aca="false">IMABS(IMDIV(IMPRODUCT(J34,F34,H34),L34))^2</f>
        <v>2.34940283180977E-027</v>
      </c>
      <c r="N34" s="5" t="str">
        <f aca="false">IMDIV(IMPRODUCT(L_Yv,K34,E34),H34)</f>
        <v>0.000168923910633254-1.68877808519457i</v>
      </c>
      <c r="O34" s="37" t="n">
        <f aca="false">IMABS(IMSUM(1,IMPRODUCT(E34,G34),N34))^2</f>
        <v>3.85227819215109</v>
      </c>
      <c r="P34" s="37" t="n">
        <f aca="false">IMABS(N34)^2</f>
        <v>2.85197144956873</v>
      </c>
      <c r="Q34" s="37" t="n">
        <f aca="false">p_Rb^2/(1+(C34*p_Rb*L_Ctot)^2)</f>
        <v>1.31415635462965E+019</v>
      </c>
      <c r="R34" s="37" t="n">
        <f aca="false">M34*L_Kt^2*Q34</f>
        <v>6.19643577123506E-006</v>
      </c>
      <c r="S34" s="37" t="n">
        <f aca="false">L_kT4*D34</f>
        <v>1.26428950773245E-012</v>
      </c>
      <c r="T34" s="37" t="n">
        <f aca="false">L_kT4*L_Rsq*O34</f>
        <v>1.98989098090264E-011</v>
      </c>
      <c r="U34" s="37" t="n">
        <f aca="false">L_kT4*L_Rh*O34</f>
        <v>1.51399430586022E-011</v>
      </c>
      <c r="V34" s="37" t="n">
        <f aca="false">L_kT4*p_Rv*P34</f>
        <v>2.34797390326483E-008</v>
      </c>
      <c r="W34" s="37" t="n">
        <f aca="false">L_kT4/p_Rb*Q34/R34</f>
        <v>3.49207188141904E-008</v>
      </c>
      <c r="X34" s="37" t="n">
        <f aca="false">p_en^2*(1+p_fc/B34)/R34</f>
        <v>6.827245871578E-011</v>
      </c>
      <c r="Y34" s="37" t="n">
        <f aca="false">p_in^2*Q34/R34</f>
        <v>5.30206558716463E-009</v>
      </c>
      <c r="Z34" s="37" t="n">
        <f aca="false">p_eo^2/L_G^2/R34</f>
        <v>1.02309989224352E-011</v>
      </c>
      <c r="AA34" s="37" t="n">
        <f aca="false">SUM(S34:Z34)</f>
        <v>6.38173300340168E-008</v>
      </c>
      <c r="AB34" s="47" t="n">
        <f aca="false">10*LOG10(AA34/L_PREF^2)</f>
        <v>22.028786390568</v>
      </c>
      <c r="AC34" s="47" t="n">
        <f aca="false">10*LOG10(S34/L_PREF^2)</f>
        <v>-25.0021345756037</v>
      </c>
      <c r="AD34" s="47" t="n">
        <f aca="false">10*LOG10(T34/L_PREF^2)</f>
        <v>-13.0323070772698</v>
      </c>
      <c r="AE34" s="47" t="n">
        <f aca="false">10*LOG10(U34/L_PREF^2)</f>
        <v>-14.2193574954445</v>
      </c>
      <c r="AF34" s="47" t="n">
        <f aca="false">10*LOG10(V34/L_PREF^2)</f>
        <v>17.6863327427527</v>
      </c>
      <c r="AG34" s="47" t="n">
        <f aca="false">10*LOG10(W34/L_PREF^2)</f>
        <v>19.4102318339123</v>
      </c>
      <c r="AH34" s="47" t="n">
        <f aca="false">10*LOG10(X34/L_PREF^2)</f>
        <v>-7.67814447822001</v>
      </c>
      <c r="AI34" s="47" t="n">
        <f aca="false">10*LOG10(Y34/L_PREF^2)</f>
        <v>11.2238510437532</v>
      </c>
      <c r="AJ34" s="47" t="n">
        <f aca="false">10*LOG10(Z34/L_PREF^2)</f>
        <v>-15.9214195240348</v>
      </c>
      <c r="AK34" s="47" t="n">
        <f aca="false">10*LOG10(R34/$R$6)</f>
        <v>-5.36628952239117</v>
      </c>
      <c r="AL34" s="37" t="n">
        <f aca="false">(12194^2*B34^4/((B34^2+20.6^2)*SQRT((B34^2+107.7^2)*(B34^2+737.9^2))*(B34^2+12194^2))*1.2589254)^2</f>
        <v>4.51759548875551E-006</v>
      </c>
      <c r="AM34" s="37" t="n">
        <v>0</v>
      </c>
      <c r="AN34" s="37" t="n">
        <v>0</v>
      </c>
      <c r="AO34" s="37" t="n">
        <v>0</v>
      </c>
      <c r="AP34" s="37" t="n">
        <v>0</v>
      </c>
      <c r="AQ34" s="37" t="n">
        <v>0</v>
      </c>
      <c r="AR34" s="37" t="n">
        <v>0</v>
      </c>
      <c r="AS34" s="37" t="n">
        <v>0</v>
      </c>
      <c r="AT34" s="37" t="n">
        <v>0</v>
      </c>
      <c r="AU34" s="37" t="n">
        <v>0</v>
      </c>
      <c r="AV34" s="37" t="n">
        <v>0</v>
      </c>
      <c r="AW34" s="37" t="n">
        <v>0</v>
      </c>
      <c r="AX34" s="37" t="n">
        <v>0</v>
      </c>
      <c r="AY34" s="37" t="n">
        <v>0</v>
      </c>
      <c r="AZ34" s="37" t="n">
        <v>0</v>
      </c>
      <c r="BA34" s="37" t="n">
        <v>0</v>
      </c>
      <c r="BB34" s="37" t="n">
        <v>0</v>
      </c>
      <c r="BC34" s="37" t="n">
        <v>0</v>
      </c>
      <c r="BD34" s="37" t="n">
        <v>0</v>
      </c>
      <c r="BE34" s="37" t="n">
        <f aca="false">IF(B34&gt;2000,AK34,-999)</f>
        <v>-999</v>
      </c>
      <c r="BF34" s="37" t="n">
        <f aca="false">IF(AND(B34&lt;1000,AK34&gt;=-3),B34,1000000000)</f>
        <v>1000000000</v>
      </c>
    </row>
    <row r="35" customFormat="false" ht="15" hidden="false" customHeight="false" outlineLevel="0" collapsed="false">
      <c r="A35" s="5" t="n">
        <v>-4</v>
      </c>
      <c r="B35" s="47" t="n">
        <f aca="false">20*10^(A35/100)</f>
        <v>18.2402167871182</v>
      </c>
      <c r="C35" s="37" t="n">
        <f aca="false">2*PI()*B35</f>
        <v>114.606662116592</v>
      </c>
      <c r="D35" s="37" t="n">
        <f aca="false">SQRT(L_Rp0^2+L_Rp1^2*C35)</f>
        <v>76786736.1549366</v>
      </c>
      <c r="E35" s="5" t="str">
        <f aca="false">COMPLEX(D35,C35*L_Mp)</f>
        <v>76786736.1549366+1693052.03409006i</v>
      </c>
      <c r="F35" s="5" t="str">
        <f aca="false">IMDIV(1,E35)</f>
        <v>1.30167544372855e-08-2.8700324666528e-10i</v>
      </c>
      <c r="G35" s="5" t="str">
        <f aca="false">COMPLEX(0,C35*L_Cf)</f>
        <v>1.21187122889491e-13i</v>
      </c>
      <c r="H35" s="5" t="str">
        <f aca="false">COMPLEX(0,C35*L_Cbv)</f>
        <v>1.21187122889491e-12i</v>
      </c>
      <c r="I35" s="5" t="str">
        <f aca="false">COMPLEX(L_Rsq+L_Rh,C35*(L_Md+L_Mh)-1/(C35*L_Cd))</f>
        <v>552400610.124532-10051581760472.5i</v>
      </c>
      <c r="J35" s="5" t="str">
        <f aca="false">IMDIV(1,I35)</f>
        <v>5.46745640778697e-18+9.94868291189989e-14i</v>
      </c>
      <c r="K35" s="5" t="str">
        <f aca="false">IMSUM(F35,G35,H35)</f>
        <v>1.30167544372855e-08-2.85670188313496e-10i</v>
      </c>
      <c r="L35" s="5" t="str">
        <f aca="false">IMSUM(IMPRODUCT(IMSUM(F35,G35),H35),IMPRODUCT(IMSUM(J35,L_Yv),K35))</f>
        <v>2.64096645783631e-20+1.64982838820064e-20i</v>
      </c>
      <c r="M35" s="37" t="n">
        <f aca="false">IMABS(IMDIV(IMPRODUCT(J35,F35,H35),L35))^2</f>
        <v>2.54120365398115E-027</v>
      </c>
      <c r="N35" s="5" t="str">
        <f aca="false">IMDIV(IMPRODUCT(L_Yv,K35,E35),H35)</f>
        <v>0.000168930819540797-1.65033663514684i</v>
      </c>
      <c r="O35" s="37" t="n">
        <f aca="false">IMABS(IMSUM(1,IMPRODUCT(E35,G35),N35))^2</f>
        <v>3.72391777452447</v>
      </c>
      <c r="P35" s="37" t="n">
        <f aca="false">IMABS(N35)^2</f>
        <v>2.72361103784542</v>
      </c>
      <c r="Q35" s="37" t="n">
        <f aca="false">p_Rb^2/(1+(C35*p_Rb*L_Ctot)^2)</f>
        <v>1.25501031784245E+019</v>
      </c>
      <c r="R35" s="37" t="n">
        <f aca="false">M35*L_Kt^2*Q35</f>
        <v>6.40065166163509E-006</v>
      </c>
      <c r="S35" s="37" t="n">
        <f aca="false">L_kT4*D35</f>
        <v>1.26434121657099E-012</v>
      </c>
      <c r="T35" s="37" t="n">
        <f aca="false">L_kT4*L_Rsq*O35</f>
        <v>1.92358651777728E-011</v>
      </c>
      <c r="U35" s="37" t="n">
        <f aca="false">L_kT4*L_Rh*O35</f>
        <v>1.46354702980926E-011</v>
      </c>
      <c r="V35" s="37" t="n">
        <f aca="false">L_kT4*p_Rv*P35</f>
        <v>2.24229721530772E-008</v>
      </c>
      <c r="W35" s="37" t="n">
        <f aca="false">L_kT4/p_Rb*Q35/R35</f>
        <v>3.22850297898635E-008</v>
      </c>
      <c r="X35" s="37" t="n">
        <f aca="false">p_en^2*(1+p_fc/B35)/R35</f>
        <v>6.48173099705659E-011</v>
      </c>
      <c r="Y35" s="37" t="n">
        <f aca="false">p_in^2*Q35/R35</f>
        <v>4.90188493370476E-009</v>
      </c>
      <c r="Z35" s="37" t="n">
        <f aca="false">p_eo^2/L_G^2/R35</f>
        <v>9.90457394806105E-012</v>
      </c>
      <c r="AA35" s="37" t="n">
        <f aca="false">SUM(S35:Z35)</f>
        <v>5.97197444372565E-008</v>
      </c>
      <c r="AB35" s="47" t="n">
        <f aca="false">10*LOG10(AA35/L_PREF^2)</f>
        <v>21.7405794922324</v>
      </c>
      <c r="AC35" s="47" t="n">
        <f aca="false">10*LOG10(S35/L_PREF^2)</f>
        <v>-25.0019569548619</v>
      </c>
      <c r="AD35" s="47" t="n">
        <f aca="false">10*LOG10(T35/L_PREF^2)</f>
        <v>-13.1794826684148</v>
      </c>
      <c r="AE35" s="47" t="n">
        <f aca="false">10*LOG10(U35/L_PREF^2)</f>
        <v>-14.3665330865895</v>
      </c>
      <c r="AF35" s="47" t="n">
        <f aca="false">10*LOG10(V35/L_PREF^2)</f>
        <v>17.4863318624992</v>
      </c>
      <c r="AG35" s="47" t="n">
        <f aca="false">10*LOG10(W35/L_PREF^2)</f>
        <v>19.0694120014387</v>
      </c>
      <c r="AH35" s="47" t="n">
        <f aca="false">10*LOG10(X35/L_PREF^2)</f>
        <v>-7.90368988222971</v>
      </c>
      <c r="AI35" s="47" t="n">
        <f aca="false">10*LOG10(Y35/L_PREF^2)</f>
        <v>10.8830312112796</v>
      </c>
      <c r="AJ35" s="47" t="n">
        <f aca="false">10*LOG10(Z35/L_PREF^2)</f>
        <v>-16.0622419252212</v>
      </c>
      <c r="AK35" s="47" t="n">
        <f aca="false">10*LOG10(R35/$R$6)</f>
        <v>-5.22546712120484</v>
      </c>
      <c r="AL35" s="37" t="n">
        <f aca="false">(12194^2*B35^4/((B35^2+20.6^2)*SQRT((B35^2+107.7^2)*(B35^2+737.9^2))*(B35^2+12194^2))*1.2589254)^2</f>
        <v>5.21191955251814E-006</v>
      </c>
      <c r="AM35" s="37" t="n">
        <v>0</v>
      </c>
      <c r="AN35" s="37" t="n">
        <v>0</v>
      </c>
      <c r="AO35" s="37" t="n">
        <v>0</v>
      </c>
      <c r="AP35" s="37" t="n">
        <v>0</v>
      </c>
      <c r="AQ35" s="37" t="n">
        <v>0</v>
      </c>
      <c r="AR35" s="37" t="n">
        <v>0</v>
      </c>
      <c r="AS35" s="37" t="n">
        <v>0</v>
      </c>
      <c r="AT35" s="37" t="n">
        <v>0</v>
      </c>
      <c r="AU35" s="37" t="n">
        <v>0</v>
      </c>
      <c r="AV35" s="37" t="n">
        <v>0</v>
      </c>
      <c r="AW35" s="37" t="n">
        <v>0</v>
      </c>
      <c r="AX35" s="37" t="n">
        <v>0</v>
      </c>
      <c r="AY35" s="37" t="n">
        <v>0</v>
      </c>
      <c r="AZ35" s="37" t="n">
        <v>0</v>
      </c>
      <c r="BA35" s="37" t="n">
        <v>0</v>
      </c>
      <c r="BB35" s="37" t="n">
        <v>0</v>
      </c>
      <c r="BC35" s="37" t="n">
        <v>0</v>
      </c>
      <c r="BD35" s="37" t="n">
        <v>0</v>
      </c>
      <c r="BE35" s="37" t="n">
        <f aca="false">IF(B35&gt;2000,AK35,-999)</f>
        <v>-999</v>
      </c>
      <c r="BF35" s="37" t="n">
        <f aca="false">IF(AND(B35&lt;1000,AK35&gt;=-3),B35,1000000000)</f>
        <v>1000000000</v>
      </c>
    </row>
    <row r="36" customFormat="false" ht="15" hidden="false" customHeight="false" outlineLevel="0" collapsed="false">
      <c r="A36" s="5" t="n">
        <v>-3</v>
      </c>
      <c r="B36" s="47" t="n">
        <f aca="false">20*10^(A36/100)</f>
        <v>18.6650860159398</v>
      </c>
      <c r="C36" s="37" t="n">
        <f aca="false">2*PI()*B36</f>
        <v>117.276194212596</v>
      </c>
      <c r="D36" s="37" t="n">
        <f aca="false">SQRT(L_Rp0^2+L_Rp1^2*C36)</f>
        <v>76789949.584073</v>
      </c>
      <c r="E36" s="5" t="str">
        <f aca="false">COMPLEX(D36,C36*L_Mp)</f>
        <v>76789949.584073+1732488.28205104i</v>
      </c>
      <c r="F36" s="5" t="str">
        <f aca="false">IMDIV(1,E36)</f>
        <v>1.30159122111102e-08-2.93657119298729e-10i</v>
      </c>
      <c r="G36" s="5" t="str">
        <f aca="false">COMPLEX(0,C36*L_Cf)</f>
        <v>1.24009933607483e-13i</v>
      </c>
      <c r="H36" s="5" t="str">
        <f aca="false">COMPLEX(0,C36*L_Cbv)</f>
        <v>1.24009933607483e-12i</v>
      </c>
      <c r="I36" s="5" t="str">
        <f aca="false">COMPLEX(L_Rsq+L_Rh,C36*(L_Md+L_Mh)-1/(C36*L_Cd))</f>
        <v>552400610.124532-9822779805925.67i</v>
      </c>
      <c r="J36" s="5" t="str">
        <f aca="false">IMDIV(1,I36)</f>
        <v>5.72512971218647e-18+1.01804175253341e-13i</v>
      </c>
      <c r="K36" s="5" t="str">
        <f aca="false">IMSUM(F36,G36,H36)</f>
        <v>1.30159122111102e-08-2.92293010029047e-10i</v>
      </c>
      <c r="L36" s="5" t="str">
        <f aca="false">IMSUM(IMPRODUCT(IMSUM(F36,G36),H36),IMPRODUCT(IMSUM(J36,L_Yv),K36))</f>
        <v>2.64256658028641e-20+1.68815106057545e-20i</v>
      </c>
      <c r="M36" s="37" t="n">
        <f aca="false">IMABS(IMDIV(IMPRODUCT(J36,F36,H36),L36))^2</f>
        <v>2.74743726379534E-027</v>
      </c>
      <c r="N36" s="5" t="str">
        <f aca="false">IMDIV(IMPRODUCT(L_Yv,K36,E36),H36)</f>
        <v>0.000168937889084845-1.61277021542786i</v>
      </c>
      <c r="O36" s="37" t="n">
        <f aca="false">IMABS(IMSUM(1,IMPRODUCT(E36,G36),N36))^2</f>
        <v>3.60133452650879</v>
      </c>
      <c r="P36" s="37" t="n">
        <f aca="false">IMABS(N36)^2</f>
        <v>2.60102779631124</v>
      </c>
      <c r="Q36" s="37" t="n">
        <f aca="false">p_Rb^2/(1+(C36*p_Rb*L_Ctot)^2)</f>
        <v>1.19852622590472E+019</v>
      </c>
      <c r="R36" s="37" t="n">
        <f aca="false">M36*L_Kt^2*Q36</f>
        <v>6.60864998749893E-006</v>
      </c>
      <c r="S36" s="37" t="n">
        <f aca="false">L_kT4*D36</f>
        <v>1.26439412767397E-012</v>
      </c>
      <c r="T36" s="37" t="n">
        <f aca="false">L_kT4*L_Rsq*O36</f>
        <v>1.86026624663665E-011</v>
      </c>
      <c r="U36" s="37" t="n">
        <f aca="false">L_kT4*L_Rh*O36</f>
        <v>1.41537025486405E-011</v>
      </c>
      <c r="V36" s="37" t="n">
        <f aca="false">L_kT4*p_Rv*P36</f>
        <v>2.14137676179358E-008</v>
      </c>
      <c r="W36" s="37" t="n">
        <f aca="false">L_kT4/p_Rb*Q36/R36</f>
        <v>2.98615865599627E-008</v>
      </c>
      <c r="X36" s="37" t="n">
        <f aca="false">p_en^2*(1+p_fc/B36)/R36</f>
        <v>6.15687286277393E-011</v>
      </c>
      <c r="Y36" s="37" t="n">
        <f aca="false">p_in^2*Q36/R36</f>
        <v>4.53392988042898E-009</v>
      </c>
      <c r="Z36" s="37" t="n">
        <f aca="false">p_eo^2/L_G^2/R36</f>
        <v>9.59284087042971E-012</v>
      </c>
      <c r="AA36" s="37" t="n">
        <f aca="false">SUM(S36:Z36)</f>
        <v>5.59144663869683E-008</v>
      </c>
      <c r="AB36" s="47" t="n">
        <f aca="false">10*LOG10(AA36/L_PREF^2)</f>
        <v>21.454641932888</v>
      </c>
      <c r="AC36" s="47" t="n">
        <f aca="false">10*LOG10(S36/L_PREF^2)</f>
        <v>-25.0017752118408</v>
      </c>
      <c r="AD36" s="47" t="n">
        <f aca="false">10*LOG10(T36/L_PREF^2)</f>
        <v>-13.3248488519063</v>
      </c>
      <c r="AE36" s="47" t="n">
        <f aca="false">10*LOG10(U36/L_PREF^2)</f>
        <v>-14.511899270081</v>
      </c>
      <c r="AF36" s="47" t="n">
        <f aca="false">10*LOG10(V36/L_PREF^2)</f>
        <v>17.2863309407608</v>
      </c>
      <c r="AG36" s="47" t="n">
        <f aca="false">10*LOG10(W36/L_PREF^2)</f>
        <v>18.7305288694156</v>
      </c>
      <c r="AH36" s="47" t="n">
        <f aca="false">10*LOG10(X36/L_PREF^2)</f>
        <v>-8.12699805669859</v>
      </c>
      <c r="AI36" s="47" t="n">
        <f aca="false">10*LOG10(Y36/L_PREF^2)</f>
        <v>10.5441480792565</v>
      </c>
      <c r="AJ36" s="47" t="n">
        <f aca="false">10*LOG10(Z36/L_PREF^2)</f>
        <v>-16.2011275103473</v>
      </c>
      <c r="AK36" s="47" t="n">
        <f aca="false">10*LOG10(R36/$R$6)</f>
        <v>-5.0865815360787</v>
      </c>
      <c r="AL36" s="37" t="n">
        <f aca="false">(12194^2*B36^4/((B36^2+20.6^2)*SQRT((B36^2+107.7^2)*(B36^2+737.9^2))*(B36^2+12194^2))*1.2589254)^2</f>
        <v>6.00632463622861E-006</v>
      </c>
      <c r="AM36" s="37" t="n">
        <v>0</v>
      </c>
      <c r="AN36" s="37" t="n">
        <v>0</v>
      </c>
      <c r="AO36" s="37" t="n">
        <v>0</v>
      </c>
      <c r="AP36" s="37" t="n">
        <v>0</v>
      </c>
      <c r="AQ36" s="37" t="n">
        <v>0</v>
      </c>
      <c r="AR36" s="37" t="n">
        <v>0</v>
      </c>
      <c r="AS36" s="37" t="n">
        <v>0</v>
      </c>
      <c r="AT36" s="37" t="n">
        <v>0</v>
      </c>
      <c r="AU36" s="37" t="n">
        <v>0</v>
      </c>
      <c r="AV36" s="37" t="n">
        <v>0</v>
      </c>
      <c r="AW36" s="37" t="n">
        <v>0</v>
      </c>
      <c r="AX36" s="37" t="n">
        <v>0</v>
      </c>
      <c r="AY36" s="37" t="n">
        <v>0</v>
      </c>
      <c r="AZ36" s="37" t="n">
        <v>0</v>
      </c>
      <c r="BA36" s="37" t="n">
        <v>0</v>
      </c>
      <c r="BB36" s="37" t="n">
        <v>0</v>
      </c>
      <c r="BC36" s="37" t="n">
        <v>0</v>
      </c>
      <c r="BD36" s="37" t="n">
        <v>0</v>
      </c>
      <c r="BE36" s="37" t="n">
        <f aca="false">IF(B36&gt;2000,AK36,-999)</f>
        <v>-999</v>
      </c>
      <c r="BF36" s="37" t="n">
        <f aca="false">IF(AND(B36&lt;1000,AK36&gt;=-3),B36,1000000000)</f>
        <v>1000000000</v>
      </c>
    </row>
    <row r="37" customFormat="false" ht="15" hidden="false" customHeight="false" outlineLevel="0" collapsed="false">
      <c r="A37" s="5" t="n">
        <v>-2</v>
      </c>
      <c r="B37" s="47" t="n">
        <f aca="false">20*10^(A37/100)</f>
        <v>19.0998517204287</v>
      </c>
      <c r="C37" s="37" t="n">
        <f aca="false">2*PI()*B37</f>
        <v>120.007907699106</v>
      </c>
      <c r="D37" s="37" t="n">
        <f aca="false">SQRT(L_Rp0^2+L_Rp1^2*C37)</f>
        <v>76793237.7243881</v>
      </c>
      <c r="E37" s="5" t="str">
        <f aca="false">COMPLEX(D37,C37*L_Mp)</f>
        <v>76793237.7243881+1772843.11823135i</v>
      </c>
      <c r="F37" s="5" t="str">
        <f aca="false">IMDIV(1,E37)</f>
        <v>1.30150434265305e-08-3.0046434889252e-10i</v>
      </c>
      <c r="G37" s="5" t="str">
        <f aca="false">COMPLEX(0,C37*L_Cf)</f>
        <v>1.26898496033738e-13i</v>
      </c>
      <c r="H37" s="5" t="str">
        <f aca="false">COMPLEX(0,C37*L_Cbv)</f>
        <v>1.26898496033739e-12i</v>
      </c>
      <c r="I37" s="5" t="str">
        <f aca="false">COMPLEX(L_Rsq+L_Rh,C37*(L_Md+L_Mh)-1/(C37*L_Cd))</f>
        <v>552400610.124532-9599186019251.82i</v>
      </c>
      <c r="J37" s="5" t="str">
        <f aca="false">IMDIV(1,I37)</f>
        <v>5.99494678745188e-18+1.04175499327007e-13i</v>
      </c>
      <c r="K37" s="5" t="str">
        <f aca="false">IMSUM(F37,G37,H37)</f>
        <v>1.30150434265305e-08-2.99068465436149e-10i</v>
      </c>
      <c r="L37" s="5" t="str">
        <f aca="false">IMSUM(IMPRODUCT(IMSUM(F37,G37),H37),IMPRODUCT(IMSUM(J37,L_Yv),K37))</f>
        <v>2.64424441918528e-20+1.72736042903549e-20i</v>
      </c>
      <c r="M37" s="37" t="n">
        <f aca="false">IMABS(IMDIV(IMPRODUCT(J37,F37,H37),L37))^2</f>
        <v>2.96905969284588E-027</v>
      </c>
      <c r="N37" s="5" t="str">
        <f aca="false">IMDIV(IMPRODUCT(L_Yv,K37,E37),H37)</f>
        <v>0.000168945122993621-1.57605890782464i</v>
      </c>
      <c r="O37" s="37" t="n">
        <f aca="false">IMABS(IMSUM(1,IMPRODUCT(E37,G37),N37))^2</f>
        <v>3.48426843257953</v>
      </c>
      <c r="P37" s="37" t="n">
        <f aca="false">IMABS(N37)^2</f>
        <v>2.48396170947585</v>
      </c>
      <c r="Q37" s="37" t="n">
        <f aca="false">p_Rb^2/(1+(C37*p_Rb*L_Ctot)^2)</f>
        <v>1.14458427730939E+019</v>
      </c>
      <c r="R37" s="37" t="n">
        <f aca="false">M37*L_Kt^2*Q37</f>
        <v>6.8203102396919E-006</v>
      </c>
      <c r="S37" s="37" t="n">
        <f aca="false">L_kT4*D37</f>
        <v>1.26444826894281E-012</v>
      </c>
      <c r="T37" s="37" t="n">
        <f aca="false">L_kT4*L_Rsq*O37</f>
        <v>1.79979585668559E-011</v>
      </c>
      <c r="U37" s="37" t="n">
        <f aca="false">L_kT4*L_Rh*O37</f>
        <v>1.36936179161773E-011</v>
      </c>
      <c r="V37" s="37" t="n">
        <f aca="false">L_kT4*p_Rv*P37</f>
        <v>2.04499847690984E-008</v>
      </c>
      <c r="W37" s="37" t="n">
        <f aca="false">L_kT4/p_Rb*Q37/R37</f>
        <v>2.76325989230121E-008</v>
      </c>
      <c r="X37" s="37" t="n">
        <f aca="false">p_en^2*(1+p_fc/B37)/R37</f>
        <v>5.85136337426076E-011</v>
      </c>
      <c r="Y37" s="37" t="n">
        <f aca="false">p_in^2*Q37/R37</f>
        <v>4.19549931412319E-009</v>
      </c>
      <c r="Z37" s="37" t="n">
        <f aca="false">p_eo^2/L_G^2/R37</f>
        <v>9.29513841313301E-012</v>
      </c>
      <c r="AA37" s="37" t="n">
        <f aca="false">SUM(S37:Z37)</f>
        <v>5.23788478031413E-008</v>
      </c>
      <c r="AB37" s="47" t="n">
        <f aca="false">10*LOG10(AA37/L_PREF^2)</f>
        <v>21.1709594953022</v>
      </c>
      <c r="AC37" s="47" t="n">
        <f aca="false">10*LOG10(S37/L_PREF^2)</f>
        <v>-25.0015892512263</v>
      </c>
      <c r="AD37" s="47" t="n">
        <f aca="false">10*LOG10(T37/L_PREF^2)</f>
        <v>-13.4683674363735</v>
      </c>
      <c r="AE37" s="47" t="n">
        <f aca="false">10*LOG10(U37/L_PREF^2)</f>
        <v>-14.6554178545482</v>
      </c>
      <c r="AF37" s="47" t="n">
        <f aca="false">10*LOG10(V37/L_PREF^2)</f>
        <v>17.0863299755824</v>
      </c>
      <c r="AG37" s="47" t="n">
        <f aca="false">10*LOG10(W37/L_PREF^2)</f>
        <v>18.3936174211706</v>
      </c>
      <c r="AH37" s="47" t="n">
        <f aca="false">10*LOG10(X37/L_PREF^2)</f>
        <v>-8.34802922351391</v>
      </c>
      <c r="AI37" s="47" t="n">
        <f aca="false">10*LOG10(Y37/L_PREF^2)</f>
        <v>10.2072366310114</v>
      </c>
      <c r="AJ37" s="47" t="n">
        <f aca="false">10*LOG10(Z37/L_PREF^2)</f>
        <v>-16.3380413012889</v>
      </c>
      <c r="AK37" s="47" t="n">
        <f aca="false">10*LOG10(R37/$R$6)</f>
        <v>-4.94966774513715</v>
      </c>
      <c r="AL37" s="37" t="n">
        <f aca="false">(12194^2*B37^4/((B37^2+20.6^2)*SQRT((B37^2+107.7^2)*(B37^2+737.9^2))*(B37^2+12194^2))*1.2589254)^2</f>
        <v>6.91412462125568E-006</v>
      </c>
      <c r="AM37" s="37" t="n">
        <v>0</v>
      </c>
      <c r="AN37" s="37" t="n">
        <v>0</v>
      </c>
      <c r="AO37" s="37" t="n">
        <v>0</v>
      </c>
      <c r="AP37" s="37" t="n">
        <v>0</v>
      </c>
      <c r="AQ37" s="37" t="n">
        <v>0</v>
      </c>
      <c r="AR37" s="37" t="n">
        <v>0</v>
      </c>
      <c r="AS37" s="37" t="n">
        <v>0</v>
      </c>
      <c r="AT37" s="37" t="n">
        <v>0</v>
      </c>
      <c r="AU37" s="37" t="n">
        <v>0</v>
      </c>
      <c r="AV37" s="37" t="n">
        <v>0</v>
      </c>
      <c r="AW37" s="37" t="n">
        <v>0</v>
      </c>
      <c r="AX37" s="37" t="n">
        <v>0</v>
      </c>
      <c r="AY37" s="37" t="n">
        <v>0</v>
      </c>
      <c r="AZ37" s="37" t="n">
        <v>0</v>
      </c>
      <c r="BA37" s="37" t="n">
        <v>0</v>
      </c>
      <c r="BB37" s="37" t="n">
        <v>0</v>
      </c>
      <c r="BC37" s="37" t="n">
        <v>0</v>
      </c>
      <c r="BD37" s="37" t="n">
        <v>0</v>
      </c>
      <c r="BE37" s="37" t="n">
        <f aca="false">IF(B37&gt;2000,AK37,-999)</f>
        <v>-999</v>
      </c>
      <c r="BF37" s="37" t="n">
        <f aca="false">IF(AND(B37&lt;1000,AK37&gt;=-3),B37,1000000000)</f>
        <v>1000000000</v>
      </c>
    </row>
    <row r="38" customFormat="false" ht="15" hidden="false" customHeight="false" outlineLevel="0" collapsed="false">
      <c r="A38" s="5" t="n">
        <v>-1</v>
      </c>
      <c r="B38" s="47" t="n">
        <f aca="false">20*10^(A38/100)</f>
        <v>19.5447444191162</v>
      </c>
      <c r="C38" s="37" t="n">
        <f aca="false">2*PI()*B38</f>
        <v>122.803250966771</v>
      </c>
      <c r="D38" s="37" t="n">
        <f aca="false">SQRT(L_Rp0^2+L_Rp1^2*C38)</f>
        <v>76796602.3095873</v>
      </c>
      <c r="E38" s="5" t="str">
        <f aca="false">COMPLEX(D38,C38*L_Mp)</f>
        <v>76796602.3095873+1814137.9392993i</v>
      </c>
      <c r="F38" s="5" t="str">
        <f aca="false">IMDIV(1,E38)</f>
        <v>1.30141471417108e-08-3.07428419583267e-10i</v>
      </c>
      <c r="G38" s="5" t="str">
        <f aca="false">COMPLEX(0,C38*L_Cf)</f>
        <v>1.29854341722292e-13i</v>
      </c>
      <c r="H38" s="5" t="str">
        <f aca="false">COMPLEX(0,C38*L_Cbv)</f>
        <v>1.29854341722292e-12i</v>
      </c>
      <c r="I38" s="5" t="str">
        <f aca="false">COMPLEX(L_Rsq+L_Rh,C38*(L_Md+L_Mh)-1/(C38*L_Cd))</f>
        <v>552400610.124532-9380681848065.62i</v>
      </c>
      <c r="J38" s="5" t="str">
        <f aca="false">IMDIV(1,I38)</f>
        <v>6.27747995208022e-18+1.06602058648703e-13i</v>
      </c>
      <c r="K38" s="5" t="str">
        <f aca="false">IMSUM(F38,G38,H38)</f>
        <v>1.30141471417108e-08-3.06000021824322e-10i</v>
      </c>
      <c r="L38" s="5" t="str">
        <f aca="false">IMSUM(IMPRODUCT(IMSUM(F38,G38),H38),IMPRODUCT(IMSUM(J38,L_Yv),K38))</f>
        <v>2.64600367407589e-20+1.76747680139449e-20i</v>
      </c>
      <c r="M38" s="37" t="n">
        <f aca="false">IMABS(IMDIV(IMPRODUCT(J38,F38,H38),L38))^2</f>
        <v>3.20707802668491E-027</v>
      </c>
      <c r="N38" s="5" t="str">
        <f aca="false">IMDIV(IMPRODUCT(L_Yv,K38,E38),H38)</f>
        <v>0.000168952525081089-1.54018324751596i</v>
      </c>
      <c r="O38" s="37" t="n">
        <f aca="false">IMABS(IMSUM(1,IMPRODUCT(E38,G38),N38))^2</f>
        <v>3.37247117983512</v>
      </c>
      <c r="P38" s="37" t="n">
        <f aca="false">IMABS(N38)^2</f>
        <v>2.37216446447376</v>
      </c>
      <c r="Q38" s="37" t="n">
        <f aca="false">p_Rb^2/(1+(C38*p_Rb*L_Ctot)^2)</f>
        <v>1.09307006199979E+019</v>
      </c>
      <c r="R38" s="37" t="n">
        <f aca="false">M38*L_Kt^2*Q38</f>
        <v>7.03549973360184E-006</v>
      </c>
      <c r="S38" s="37" t="n">
        <f aca="false">L_kT4*D38</f>
        <v>1.26450366892407E-012</v>
      </c>
      <c r="T38" s="37" t="n">
        <f aca="false">L_kT4*L_Rsq*O38</f>
        <v>1.74204708210876E-011</v>
      </c>
      <c r="U38" s="37" t="n">
        <f aca="false">L_kT4*L_Rh*O38</f>
        <v>1.32542404994302E-011</v>
      </c>
      <c r="V38" s="37" t="n">
        <f aca="false">L_kT4*p_Rv*P38</f>
        <v>1.95295792939261E-008</v>
      </c>
      <c r="W38" s="37" t="n">
        <f aca="false">L_kT4/p_Rb*Q38/R38</f>
        <v>2.55818021851179E-008</v>
      </c>
      <c r="X38" s="37" t="n">
        <f aca="false">p_en^2*(1+p_fc/B38)/R38</f>
        <v>5.56397942366826E-011</v>
      </c>
      <c r="Y38" s="37" t="n">
        <f aca="false">p_in^2*Q38/R38</f>
        <v>3.88412374169827E-009</v>
      </c>
      <c r="Z38" s="37" t="n">
        <f aca="false">p_eo^2/L_G^2/R38</f>
        <v>9.01083506487306E-012</v>
      </c>
      <c r="AA38" s="37" t="n">
        <f aca="false">SUM(S38:Z38)</f>
        <v>4.90920950650332E-008</v>
      </c>
      <c r="AB38" s="47" t="n">
        <f aca="false">10*LOG10(AA38/L_PREF^2)</f>
        <v>20.8895157521411</v>
      </c>
      <c r="AC38" s="47" t="n">
        <f aca="false">10*LOG10(S38/L_PREF^2)</f>
        <v>-25.0013989755172</v>
      </c>
      <c r="AD38" s="47" t="n">
        <f aca="false">10*LOG10(T38/L_PREF^2)</f>
        <v>-13.6100010287003</v>
      </c>
      <c r="AE38" s="47" t="n">
        <f aca="false">10*LOG10(U38/L_PREF^2)</f>
        <v>-14.797051446875</v>
      </c>
      <c r="AF38" s="47" t="n">
        <f aca="false">10*LOG10(V38/L_PREF^2)</f>
        <v>16.8863289649167</v>
      </c>
      <c r="AG38" s="47" t="n">
        <f aca="false">10*LOG10(W38/L_PREF^2)</f>
        <v>18.058711450415</v>
      </c>
      <c r="AH38" s="47" t="n">
        <f aca="false">10*LOG10(X38/L_PREF^2)</f>
        <v>-8.56674476083414</v>
      </c>
      <c r="AI38" s="47" t="n">
        <f aca="false">10*LOG10(Y38/L_PREF^2)</f>
        <v>9.87233066025588</v>
      </c>
      <c r="AJ38" s="47" t="n">
        <f aca="false">10*LOG10(Z38/L_PREF^2)</f>
        <v>-16.4729495093034</v>
      </c>
      <c r="AK38" s="47" t="n">
        <f aca="false">10*LOG10(R38/$R$6)</f>
        <v>-4.81475953712261</v>
      </c>
      <c r="AL38" s="37" t="n">
        <f aca="false">(12194^2*B38^4/((B38^2+20.6^2)*SQRT((B38^2+107.7^2)*(B38^2+737.9^2))*(B38^2+12194^2))*1.2589254)^2</f>
        <v>7.95023374611405E-006</v>
      </c>
      <c r="AM38" s="37" t="n">
        <v>0</v>
      </c>
      <c r="AN38" s="37" t="n">
        <v>0</v>
      </c>
      <c r="AO38" s="37" t="n">
        <v>0</v>
      </c>
      <c r="AP38" s="37" t="n">
        <v>0</v>
      </c>
      <c r="AQ38" s="37" t="n">
        <v>0</v>
      </c>
      <c r="AR38" s="37" t="n">
        <v>0</v>
      </c>
      <c r="AS38" s="37" t="n">
        <v>0</v>
      </c>
      <c r="AT38" s="37" t="n">
        <v>0</v>
      </c>
      <c r="AU38" s="37" t="n">
        <v>0</v>
      </c>
      <c r="AV38" s="37" t="n">
        <v>0</v>
      </c>
      <c r="AW38" s="37" t="n">
        <v>0</v>
      </c>
      <c r="AX38" s="37" t="n">
        <v>0</v>
      </c>
      <c r="AY38" s="37" t="n">
        <v>0</v>
      </c>
      <c r="AZ38" s="37" t="n">
        <v>0</v>
      </c>
      <c r="BA38" s="37" t="n">
        <v>0</v>
      </c>
      <c r="BB38" s="37" t="n">
        <v>0</v>
      </c>
      <c r="BC38" s="37" t="n">
        <v>0</v>
      </c>
      <c r="BD38" s="37" t="n">
        <v>0</v>
      </c>
      <c r="BE38" s="37" t="n">
        <f aca="false">IF(B38&gt;2000,AK38,-999)</f>
        <v>-999</v>
      </c>
      <c r="BF38" s="37" t="n">
        <f aca="false">IF(AND(B38&lt;1000,AK38&gt;=-3),B38,1000000000)</f>
        <v>1000000000</v>
      </c>
    </row>
    <row r="39" customFormat="false" ht="15" hidden="false" customHeight="false" outlineLevel="0" collapsed="false">
      <c r="A39" s="5" t="n">
        <v>0</v>
      </c>
      <c r="B39" s="47" t="n">
        <f aca="false">20*10^(A39/100)</f>
        <v>20</v>
      </c>
      <c r="C39" s="37" t="n">
        <f aca="false">2*PI()*B39</f>
        <v>125.663706143592</v>
      </c>
      <c r="D39" s="37" t="n">
        <f aca="false">SQRT(L_Rp0^2+L_Rp1^2*C39)</f>
        <v>76800045.113452</v>
      </c>
      <c r="E39" s="5" t="str">
        <f aca="false">COMPLEX(D39,C39*L_Mp)</f>
        <v>76800045.113452+1856394.64031562i</v>
      </c>
      <c r="F39" s="5" t="str">
        <f aca="false">IMDIV(1,E39)</f>
        <v>1.30132223779467e-08-3.14552891732927e-10i</v>
      </c>
      <c r="G39" s="5" t="str">
        <f aca="false">COMPLEX(0,C39*L_Cf)</f>
        <v>1.32879037901651e-13i</v>
      </c>
      <c r="H39" s="5" t="str">
        <f aca="false">COMPLEX(0,C39*L_Cbv)</f>
        <v>1.32879037901651e-12i</v>
      </c>
      <c r="I39" s="5" t="str">
        <f aca="false">COMPLEX(L_Rsq+L_Rh,C39*(L_Md+L_Mh)-1/(C39*L_Cd))</f>
        <v>552400610.124532-9167151438563.27i</v>
      </c>
      <c r="J39" s="5" t="str">
        <f aca="false">IMDIV(1,I39)</f>
        <v>6.57332849712834e-18+1.09085139813684e-13i</v>
      </c>
      <c r="K39" s="5" t="str">
        <f aca="false">IMSUM(F39,G39,H39)</f>
        <v>1.30132223779467e-08-3.13091222316009e-10i</v>
      </c>
      <c r="L39" s="5" t="str">
        <f aca="false">IMSUM(IMPRODUCT(IMSUM(F39,G39),H39),IMPRODUCT(IMSUM(J39,L_Yv),K39))</f>
        <v>2.64784821836791e-20+1.80852093756593e-20i</v>
      </c>
      <c r="M39" s="37" t="n">
        <f aca="false">IMABS(IMDIV(IMPRODUCT(J39,F39,H39),L39))^2</f>
        <v>3.46255217752483E-027</v>
      </c>
      <c r="N39" s="5" t="str">
        <f aca="false">IMDIV(IMPRODUCT(L_Yv,K39,E39),H39)</f>
        <v>0.000168960099249528-1.50512421275185i</v>
      </c>
      <c r="O39" s="37" t="n">
        <f aca="false">IMABS(IMSUM(1,IMPRODUCT(E39,G39),N39))^2</f>
        <v>3.26570563129218</v>
      </c>
      <c r="P39" s="37" t="n">
        <f aca="false">IMABS(N39)^2</f>
        <v>2.26539892435939</v>
      </c>
      <c r="Q39" s="37" t="n">
        <f aca="false">p_Rb^2/(1+(C39*p_Rb*L_Ctot)^2)</f>
        <v>1.04387431875888E+019</v>
      </c>
      <c r="R39" s="37" t="n">
        <f aca="false">M39*L_Kt^2*Q39</f>
        <v>7.25407372141746E-006</v>
      </c>
      <c r="S39" s="37" t="n">
        <f aca="false">L_kT4*D39</f>
        <v>1.26456035682416E-012</v>
      </c>
      <c r="T39" s="37" t="n">
        <f aca="false">L_kT4*L_Rsq*O39</f>
        <v>1.6868974300017E-011</v>
      </c>
      <c r="U39" s="37" t="n">
        <f aca="false">L_kT4*L_Rh*O39</f>
        <v>1.28346383199059E-011</v>
      </c>
      <c r="V39" s="37" t="n">
        <f aca="false">L_kT4*p_Rv*P39</f>
        <v>1.86505988890051E-008</v>
      </c>
      <c r="W39" s="37" t="n">
        <f aca="false">L_kT4/p_Rb*Q39/R39</f>
        <v>2.36943247248159E-008</v>
      </c>
      <c r="X39" s="37" t="n">
        <f aca="false">p_en^2*(1+p_fc/B39)/R39</f>
        <v>5.29357730217505E-011</v>
      </c>
      <c r="Y39" s="37" t="n">
        <f aca="false">p_in^2*Q39/R39</f>
        <v>3.59754518236033E-009</v>
      </c>
      <c r="Z39" s="37" t="n">
        <f aca="false">p_eo^2/L_G^2/R39</f>
        <v>8.73932773956657E-012</v>
      </c>
      <c r="AA39" s="37" t="n">
        <f aca="false">SUM(S39:Z39)</f>
        <v>4.60351120699193E-008</v>
      </c>
      <c r="AB39" s="47" t="n">
        <f aca="false">10*LOG10(AA39/L_PREF^2)</f>
        <v>20.6102921342658</v>
      </c>
      <c r="AC39" s="47" t="n">
        <f aca="false">10*LOG10(S39/L_PREF^2)</f>
        <v>-25.0012042849759</v>
      </c>
      <c r="AD39" s="47" t="n">
        <f aca="false">10*LOG10(T39/L_PREF^2)</f>
        <v>-13.7497131474863</v>
      </c>
      <c r="AE39" s="47" t="n">
        <f aca="false">10*LOG10(U39/L_PREF^2)</f>
        <v>-14.936763565661</v>
      </c>
      <c r="AF39" s="47" t="n">
        <f aca="false">10*LOG10(V39/L_PREF^2)</f>
        <v>16.6863279066201</v>
      </c>
      <c r="AG39" s="47" t="n">
        <f aca="false">10*LOG10(W39/L_PREF^2)</f>
        <v>17.7258434473066</v>
      </c>
      <c r="AH39" s="47" t="n">
        <f aca="false">10*LOG10(X39/L_PREF^2)</f>
        <v>-8.78310731858295</v>
      </c>
      <c r="AI39" s="47" t="n">
        <f aca="false">10*LOG10(Y39/L_PREF^2)</f>
        <v>9.53946265714745</v>
      </c>
      <c r="AJ39" s="47" t="n">
        <f aca="false">10*LOG10(Z39/L_PREF^2)</f>
        <v>-16.6058196489786</v>
      </c>
      <c r="AK39" s="47" t="n">
        <f aca="false">10*LOG10(R39/$R$6)</f>
        <v>-4.68188939744737</v>
      </c>
      <c r="AL39" s="37" t="n">
        <f aca="false">(12194^2*B39^4/((B39^2+20.6^2)*SQRT((B39^2+107.7^2)*(B39^2+737.9^2))*(B39^2+12194^2))*1.2589254)^2</f>
        <v>9.13133557495376E-006</v>
      </c>
      <c r="AM39" s="37" t="n">
        <v>0</v>
      </c>
      <c r="AN39" s="37" t="n">
        <v>0</v>
      </c>
      <c r="AO39" s="37" t="n">
        <v>0</v>
      </c>
      <c r="AP39" s="37" t="n">
        <v>0</v>
      </c>
      <c r="AQ39" s="37" t="n">
        <v>0</v>
      </c>
      <c r="AR39" s="37" t="n">
        <v>0</v>
      </c>
      <c r="AS39" s="37" t="n">
        <v>0</v>
      </c>
      <c r="AT39" s="37" t="n">
        <v>0</v>
      </c>
      <c r="AU39" s="37" t="n">
        <v>0</v>
      </c>
      <c r="AV39" s="37" t="n">
        <v>0</v>
      </c>
      <c r="AW39" s="37" t="n">
        <v>0</v>
      </c>
      <c r="AX39" s="37" t="n">
        <v>0</v>
      </c>
      <c r="AY39" s="37" t="n">
        <v>0</v>
      </c>
      <c r="AZ39" s="37" t="n">
        <v>0</v>
      </c>
      <c r="BA39" s="37" t="n">
        <v>0</v>
      </c>
      <c r="BB39" s="37" t="n">
        <v>0</v>
      </c>
      <c r="BC39" s="37" t="n">
        <v>0</v>
      </c>
      <c r="BD39" s="37" t="n">
        <v>0</v>
      </c>
      <c r="BE39" s="37" t="n">
        <f aca="false">IF(B39&gt;2000,AK39,-999)</f>
        <v>-999</v>
      </c>
      <c r="BF39" s="37" t="n">
        <f aca="false">IF(AND(B39&lt;1000,AK39&gt;=-3),B39,1000000000)</f>
        <v>1000000000</v>
      </c>
    </row>
    <row r="40" customFormat="false" ht="15" hidden="false" customHeight="false" outlineLevel="0" collapsed="false">
      <c r="A40" s="5" t="n">
        <v>1</v>
      </c>
      <c r="B40" s="47" t="n">
        <f aca="false">20*10^(A40/100)</f>
        <v>20.4658598456151</v>
      </c>
      <c r="C40" s="37" t="n">
        <f aca="false">2*PI()*B40</f>
        <v>128.590789880765</v>
      </c>
      <c r="D40" s="37" t="n">
        <f aca="false">SQRT(L_Rp0^2+L_Rp1^2*C40)</f>
        <v>76803567.9507591</v>
      </c>
      <c r="E40" s="5" t="str">
        <f aca="false">COMPLEX(D40,C40*L_Mp)</f>
        <v>76803567.9507591+1899635.62634253i</v>
      </c>
      <c r="F40" s="5" t="str">
        <f aca="false">IMDIV(1,E40)</f>
        <v>1.30122681181267e-08-3.2184140341712e-10i</v>
      </c>
      <c r="G40" s="5" t="str">
        <f aca="false">COMPLEX(0,C40*L_Cf)</f>
        <v>1.35974188305769e-13i</v>
      </c>
      <c r="H40" s="5" t="str">
        <f aca="false">COMPLEX(0,C40*L_Cbv)</f>
        <v>1.35974188305769e-12i</v>
      </c>
      <c r="I40" s="5" t="str">
        <f aca="false">COMPLEX(L_Rsq+L_Rh,C40*(L_Md+L_Mh)-1/(C40*L_Cd))</f>
        <v>552400610.124532-8958481574095.24i</v>
      </c>
      <c r="J40" s="5" t="str">
        <f aca="false">IMDIV(1,I40)</f>
        <v>6.88311995739248e-18+1.11626059385935e-13i</v>
      </c>
      <c r="K40" s="5" t="str">
        <f aca="false">IMSUM(F40,G40,H40)</f>
        <v>1.30122681181267e-08-3.20345687345757e-10i</v>
      </c>
      <c r="L40" s="5" t="str">
        <f aca="false">IMSUM(IMPRODUCT(IMSUM(F40,G40),H40),IMPRODUCT(IMSUM(J40,L_Yv),K40))</f>
        <v>2.6497821074105e-20+1.85051405878236e-20i</v>
      </c>
      <c r="M40" s="37" t="n">
        <f aca="false">IMABS(IMDIV(IMPRODUCT(J40,F40,H40),L40))^2</f>
        <v>3.73659667218777E-027</v>
      </c>
      <c r="N40" s="5" t="str">
        <f aca="false">IMDIV(IMPRODUCT(L_Yv,K40,E40),H40)</f>
        <v>0.000168967849491775-1.47086321476801i</v>
      </c>
      <c r="O40" s="37" t="n">
        <f aca="false">IMABS(IMSUM(1,IMPRODUCT(E40,G40),N40))^2</f>
        <v>3.16374532288593</v>
      </c>
      <c r="P40" s="37" t="n">
        <f aca="false">IMABS(N40)^2</f>
        <v>2.16343862510782</v>
      </c>
      <c r="Q40" s="37" t="n">
        <f aca="false">p_Rb^2/(1+(C40*p_Rb*L_Ctot)^2)</f>
        <v>9.96892703513872E+018</v>
      </c>
      <c r="R40" s="37" t="n">
        <f aca="false">M40*L_Kt^2*Q40</f>
        <v>7.47587558367992E-006</v>
      </c>
      <c r="S40" s="37" t="n">
        <f aca="false">L_kT4*D40</f>
        <v>1.26461836252449E-012</v>
      </c>
      <c r="T40" s="37" t="n">
        <f aca="false">L_kT4*L_Rsq*O40</f>
        <v>1.6342299205469E-011</v>
      </c>
      <c r="U40" s="37" t="n">
        <f aca="false">L_kT4*L_Rh*O40</f>
        <v>1.2433921345038E-011</v>
      </c>
      <c r="V40" s="37" t="n">
        <f aca="false">L_kT4*p_Rv*P40</f>
        <v>1.78111791190492E-008</v>
      </c>
      <c r="W40" s="37" t="n">
        <f aca="false">L_kT4/p_Rb*Q40/R40</f>
        <v>2.19565671300712E-008</v>
      </c>
      <c r="X40" s="37" t="n">
        <f aca="false">p_en^2*(1+p_fc/B40)/R40</f>
        <v>5.03908748198328E-011</v>
      </c>
      <c r="Y40" s="37" t="n">
        <f aca="false">p_in^2*Q40/R40</f>
        <v>3.33369881679853E-009</v>
      </c>
      <c r="Z40" s="37" t="n">
        <f aca="false">p_eo^2/L_G^2/R40</f>
        <v>8.48004049677331E-012</v>
      </c>
      <c r="AA40" s="37" t="n">
        <f aca="false">SUM(S40:Z40)</f>
        <v>4.31903568201486E-008</v>
      </c>
      <c r="AB40" s="47" t="n">
        <f aca="false">10*LOG10(AA40/L_PREF^2)</f>
        <v>20.3332680068854</v>
      </c>
      <c r="AC40" s="47" t="n">
        <f aca="false">10*LOG10(S40/L_PREF^2)</f>
        <v>-25.001005077578</v>
      </c>
      <c r="AD40" s="47" t="n">
        <f aca="false">10*LOG10(T40/L_PREF^2)</f>
        <v>-13.8874683374584</v>
      </c>
      <c r="AE40" s="47" t="n">
        <f aca="false">10*LOG10(U40/L_PREF^2)</f>
        <v>-15.0745187556332</v>
      </c>
      <c r="AF40" s="47" t="n">
        <f aca="false">10*LOG10(V40/L_PREF^2)</f>
        <v>16.4863267984477</v>
      </c>
      <c r="AG40" s="47" t="n">
        <f aca="false">10*LOG10(W40/L_PREF^2)</f>
        <v>17.3950444859358</v>
      </c>
      <c r="AH40" s="47" t="n">
        <f aca="false">10*LOG10(X40/L_PREF^2)</f>
        <v>-8.99708093259392</v>
      </c>
      <c r="AI40" s="47" t="n">
        <f aca="false">10*LOG10(Y40/L_PREF^2)</f>
        <v>9.20866369577663</v>
      </c>
      <c r="AJ40" s="47" t="n">
        <f aca="false">10*LOG10(Z40/L_PREF^2)</f>
        <v>-16.7366206507559</v>
      </c>
      <c r="AK40" s="47" t="n">
        <f aca="false">10*LOG10(R40/$R$6)</f>
        <v>-4.55108839567011</v>
      </c>
      <c r="AL40" s="37" t="n">
        <f aca="false">(12194^2*B40^4/((B40^2+20.6^2)*SQRT((B40^2+107.7^2)*(B40^2+737.9^2))*(B40^2+12194^2))*1.2589254)^2</f>
        <v>1.04760670722889E-005</v>
      </c>
      <c r="AM40" s="37" t="n">
        <f aca="false">0.5*(B40-B39)*(S40*AL40+S39*AL39)</f>
        <v>5.7755793713493E-018</v>
      </c>
      <c r="AN40" s="37" t="n">
        <f aca="false">0.5*(B40-B39)*(T40*AL40+T39*AL39)</f>
        <v>7.57579621850761E-017</v>
      </c>
      <c r="AO40" s="37" t="n">
        <f aca="false">0.5*(B40-B39)*(U40*AL40+U39*AL39)</f>
        <v>5.76399031266279E-017</v>
      </c>
      <c r="AP40" s="37" t="n">
        <f aca="false">0.5*(B40-B39)*(V40*AL40+V39*AL39)</f>
        <v>8.3131754054005E-014</v>
      </c>
      <c r="AQ40" s="37" t="n">
        <f aca="false">0.5*(B40-B39)*(W40*AL40+W39*AL39)</f>
        <v>1.03975095942211E-013</v>
      </c>
      <c r="AR40" s="37" t="n">
        <f aca="false">0.5*(B40-B39)*(X40*AL40+X39*AL39)</f>
        <v>2.35555623458204E-016</v>
      </c>
      <c r="AS40" s="37" t="n">
        <f aca="false">0.5*(B40-B39)*(Y40*AL40+Y39*AL39)</f>
        <v>1.57866961745735E-014</v>
      </c>
      <c r="AT40" s="37" t="n">
        <f aca="false">0.5*(B40-B39)*(Z40*AL40+Z39*AL39)</f>
        <v>3.92811175409053E-017</v>
      </c>
      <c r="AU40" s="37" t="n">
        <f aca="false">0.5*(B40-B39)*(AA40*AL40+AA39*AL39)</f>
        <v>2.03307556356471E-013</v>
      </c>
      <c r="AV40" s="37" t="n">
        <f aca="false">0.5*(B40-B39)*(S40+S39)</f>
        <v>5.89121403864355E-013</v>
      </c>
      <c r="AW40" s="37" t="n">
        <f aca="false">0.5*(B40-B39)*(T40+T39)</f>
        <v>7.73589937397299E-012</v>
      </c>
      <c r="AX40" s="37" t="n">
        <f aca="false">0.5*(B40-B39)*(U40+U39)</f>
        <v>5.88580365221313E-012</v>
      </c>
      <c r="AY40" s="37" t="n">
        <f aca="false">0.5*(B40-B39)*(V40+V39)</f>
        <v>8.49303913684178E-009</v>
      </c>
      <c r="AZ40" s="37" t="n">
        <f aca="false">0.5*(B40-B39)*(W40+W39)</f>
        <v>1.06334587158543E-008</v>
      </c>
      <c r="BA40" s="37" t="n">
        <f aca="false">0.5*(B40-B39)*(X40+X39)</f>
        <v>2.4067868105702E-011</v>
      </c>
      <c r="BB40" s="37" t="n">
        <f aca="false">0.5*(B40-B39)*(Y40+Y39)</f>
        <v>1.61449412968431E-009</v>
      </c>
      <c r="BC40" s="37" t="n">
        <f aca="false">0.5*(B40-B39)*(Z40+Z39)</f>
        <v>4.01090611408527E-012</v>
      </c>
      <c r="BD40" s="37" t="n">
        <f aca="false">0.5*(B40-B39)*(AA40+AA39)</f>
        <v>2.07832815810302E-008</v>
      </c>
      <c r="BE40" s="37" t="n">
        <f aca="false">IF(B40&gt;2000,AK40,-999)</f>
        <v>-999</v>
      </c>
      <c r="BF40" s="37" t="n">
        <f aca="false">IF(AND(B40&lt;1000,AK40&gt;=-3),B40,1000000000)</f>
        <v>1000000000</v>
      </c>
    </row>
    <row r="41" customFormat="false" ht="15" hidden="false" customHeight="false" outlineLevel="0" collapsed="false">
      <c r="A41" s="5" t="n">
        <v>2</v>
      </c>
      <c r="B41" s="47" t="n">
        <f aca="false">20*10^(A41/100)</f>
        <v>20.942570961018</v>
      </c>
      <c r="C41" s="37" t="n">
        <f aca="false">2*PI()*B41</f>
        <v>131.586054156834</v>
      </c>
      <c r="D41" s="37" t="n">
        <f aca="false">SQRT(L_Rp0^2+L_Rp1^2*C41)</f>
        <v>76807172.6782208</v>
      </c>
      <c r="E41" s="5" t="str">
        <f aca="false">COMPLEX(D41,C41*L_Mp)</f>
        <v>76807172.6782208+1943883.82432317i</v>
      </c>
      <c r="F41" s="5" t="str">
        <f aca="false">IMDIV(1,E41)</f>
        <v>1.30112833051271e-08-3.29297671930768e-10i</v>
      </c>
      <c r="G41" s="5" t="str">
        <f aca="false">COMPLEX(0,C41*L_Cf)</f>
        <v>1.39141434024357e-13i</v>
      </c>
      <c r="H41" s="5" t="str">
        <f aca="false">COMPLEX(0,C41*L_Cbv)</f>
        <v>1.39141434024357e-12i</v>
      </c>
      <c r="I41" s="5" t="str">
        <f aca="false">COMPLEX(L_Rsq+L_Rh,C41*(L_Md+L_Mh)-1/(C41*L_Cd))</f>
        <v>552400610.124532-8754561615137.32i</v>
      </c>
      <c r="J41" s="5" t="str">
        <f aca="false">IMDIV(1,I41)</f>
        <v>7.20751144249686e-18+1.14226164596236e-13i</v>
      </c>
      <c r="K41" s="5" t="str">
        <f aca="false">IMSUM(F41,G41,H41)</f>
        <v>1.30112833051271e-08-3.277671161565e-10i</v>
      </c>
      <c r="L41" s="5" t="str">
        <f aca="false">IMSUM(IMPRODUCT(IMSUM(F41,G41),H41),IMPRODUCT(IMSUM(J41,L_Yv),K41))</f>
        <v>2.65180958693335e-20+1.89347785694471e-20i</v>
      </c>
      <c r="M41" s="37" t="n">
        <f aca="false">IMABS(IMDIV(IMPRODUCT(J41,F41,H41),L41))^2</f>
        <v>4.03038245763177E-027</v>
      </c>
      <c r="N41" s="5" t="str">
        <f aca="false">IMDIV(IMPRODUCT(L_Yv,K41,E41),H41)</f>
        <v>0.000168975779892202-1.43738208792981i</v>
      </c>
      <c r="O41" s="37" t="n">
        <f aca="false">IMABS(IMSUM(1,IMPRODUCT(E41,G41),N41))^2</f>
        <v>3.06637398310971</v>
      </c>
      <c r="P41" s="37" t="n">
        <f aca="false">IMABS(N41)^2</f>
        <v>2.06606729525428</v>
      </c>
      <c r="Q41" s="37" t="n">
        <f aca="false">p_Rb^2/(1+(C41*p_Rb*L_Ctot)^2)</f>
        <v>9.52025568065281E+018</v>
      </c>
      <c r="R41" s="37" t="n">
        <f aca="false">M41*L_Kt^2*Q41</f>
        <v>7.70073710209511E-006</v>
      </c>
      <c r="S41" s="37" t="n">
        <f aca="false">L_kT4*D41</f>
        <v>1.26467771659698E-012</v>
      </c>
      <c r="T41" s="37" t="n">
        <f aca="false">L_kT4*L_Rsq*O41</f>
        <v>1.58393283888393E-011</v>
      </c>
      <c r="U41" s="37" t="n">
        <f aca="false">L_kT4*L_Rh*O41</f>
        <v>1.20512396003096E-011</v>
      </c>
      <c r="V41" s="37" t="n">
        <f aca="false">L_kT4*p_Rv*P41</f>
        <v>1.70095394621835E-008</v>
      </c>
      <c r="W41" s="37" t="n">
        <f aca="false">L_kT4/p_Rb*Q41/R41</f>
        <v>2.03560918928521E-008</v>
      </c>
      <c r="X41" s="37" t="n">
        <f aca="false">p_en^2*(1+p_fc/B41)/R41</f>
        <v>4.79950974337644E-011</v>
      </c>
      <c r="Y41" s="37" t="n">
        <f aca="false">p_in^2*Q41/R41</f>
        <v>3.09069623934528E-009</v>
      </c>
      <c r="Z41" s="37" t="n">
        <f aca="false">p_eo^2/L_G^2/R41</f>
        <v>8.23242331973607E-012</v>
      </c>
      <c r="AA41" s="37" t="n">
        <f aca="false">SUM(S41:Z41)</f>
        <v>4.05417103608401E-008</v>
      </c>
      <c r="AB41" s="47" t="n">
        <f aca="false">10*LOG10(AA41/L_PREF^2)</f>
        <v>20.0584207529361</v>
      </c>
      <c r="AC41" s="47" t="n">
        <f aca="false">10*LOG10(S41/L_PREF^2)</f>
        <v>-25.0008012489604</v>
      </c>
      <c r="AD41" s="47" t="n">
        <f aca="false">10*LOG10(T41/L_PREF^2)</f>
        <v>-14.0232322841822</v>
      </c>
      <c r="AE41" s="47" t="n">
        <f aca="false">10*LOG10(U41/L_PREF^2)</f>
        <v>-15.210282702357</v>
      </c>
      <c r="AF41" s="47" t="n">
        <f aca="false">10*LOG10(V41/L_PREF^2)</f>
        <v>16.2863256380489</v>
      </c>
      <c r="AG41" s="47" t="n">
        <f aca="false">10*LOG10(W41/L_PREF^2)</f>
        <v>17.0663441139936</v>
      </c>
      <c r="AH41" s="47" t="n">
        <f aca="false">10*LOG10(X41/L_PREF^2)</f>
        <v>-9.20863113664945</v>
      </c>
      <c r="AI41" s="47" t="n">
        <f aca="false">10*LOG10(Y41/L_PREF^2)</f>
        <v>8.87996332383441</v>
      </c>
      <c r="AJ41" s="47" t="n">
        <f aca="false">10*LOG10(Z41/L_PREF^2)</f>
        <v>-16.865322971272</v>
      </c>
      <c r="AK41" s="47" t="n">
        <f aca="false">10*LOG10(R41/$R$6)</f>
        <v>-4.42238607515396</v>
      </c>
      <c r="AL41" s="37" t="n">
        <f aca="false">(12194^2*B41^4/((B41^2+20.6^2)*SQRT((B41^2+107.7^2)*(B41^2+737.9^2))*(B41^2+12194^2))*1.2589254)^2</f>
        <v>1.20052188845406E-005</v>
      </c>
      <c r="AM41" s="37" t="n">
        <f aca="false">0.5*(B41-B40)*(S41*AL41+S40*AL40)</f>
        <v>6.77667722972995E-018</v>
      </c>
      <c r="AN41" s="37" t="n">
        <f aca="false">0.5*(B41-B40)*(T41*AL41+T40*AL40)</f>
        <v>8.61315986856197E-017</v>
      </c>
      <c r="AO41" s="37" t="n">
        <f aca="false">0.5*(B41-B40)*(U41*AL41+U40*AL40)</f>
        <v>6.55326101862692E-017</v>
      </c>
      <c r="AP41" s="37" t="n">
        <f aca="false">0.5*(B41-B40)*(V41*AL41+V40*AL40)</f>
        <v>9.31480055879817E-014</v>
      </c>
      <c r="AQ41" s="37" t="n">
        <f aca="false">0.5*(B41-B40)*(W41*AL41+W40*AL40)</f>
        <v>1.13075354274417E-013</v>
      </c>
      <c r="AR41" s="37" t="n">
        <f aca="false">0.5*(B41-B40)*(X41*AL41+X40*AL40)</f>
        <v>2.63165948259778E-016</v>
      </c>
      <c r="AS41" s="37" t="n">
        <f aca="false">0.5*(B41-B40)*(Y41*AL41+Y40*AL40)</f>
        <v>1.71684021696371E-014</v>
      </c>
      <c r="AT41" s="37" t="n">
        <f aca="false">0.5*(B41-B40)*(Z41*AL41+Z40*AL40)</f>
        <v>4.47320723698757E-017</v>
      </c>
      <c r="AU41" s="37" t="n">
        <f aca="false">0.5*(B41-B40)*(AA41*AL41+AA40*AL40)</f>
        <v>2.23858100938767E-013</v>
      </c>
      <c r="AV41" s="37" t="n">
        <f aca="false">0.5*(B41-B40)*(S41+S40)</f>
        <v>6.02871777531101E-013</v>
      </c>
      <c r="AW41" s="37" t="n">
        <f aca="false">0.5*(B41-B40)*(T41+T40)</f>
        <v>7.67066979298189E-012</v>
      </c>
      <c r="AX41" s="37" t="n">
        <f aca="false">0.5*(B41-B40)*(U41+U40)</f>
        <v>5.83617419253822E-012</v>
      </c>
      <c r="AY41" s="37" t="n">
        <f aca="false">0.5*(B41-B40)*(V41+V40)</f>
        <v>8.29971179699514E-009</v>
      </c>
      <c r="AZ41" s="37" t="n">
        <f aca="false">0.5*(B41-B40)*(W41+W40)</f>
        <v>1.00854574392404E-008</v>
      </c>
      <c r="BA41" s="37" t="n">
        <f aca="false">0.5*(B41-B40)*(X41+X40)</f>
        <v>2.34508432865061E-011</v>
      </c>
      <c r="BB41" s="37" t="n">
        <f aca="false">0.5*(B41-B40)*(Y41+Y40)</f>
        <v>1.53129026650163E-009</v>
      </c>
      <c r="BC41" s="37" t="n">
        <f aca="false">0.5*(B41-B40)*(Z41+Z40)</f>
        <v>3.98350863354948E-012</v>
      </c>
      <c r="BD41" s="37" t="n">
        <f aca="false">0.5*(B41-B40)*(AA41+AA40)</f>
        <v>1.99580035704203E-008</v>
      </c>
      <c r="BE41" s="37" t="n">
        <f aca="false">IF(B41&gt;2000,AK41,-999)</f>
        <v>-999</v>
      </c>
      <c r="BF41" s="37" t="n">
        <f aca="false">IF(AND(B41&lt;1000,AK41&gt;=-3),B41,1000000000)</f>
        <v>1000000000</v>
      </c>
    </row>
    <row r="42" customFormat="false" ht="15" hidden="false" customHeight="false" outlineLevel="0" collapsed="false">
      <c r="A42" s="5" t="n">
        <v>3</v>
      </c>
      <c r="B42" s="47" t="n">
        <f aca="false">20*10^(A42/100)</f>
        <v>21.4303861047521</v>
      </c>
      <c r="C42" s="37" t="n">
        <f aca="false">2*PI()*B42</f>
        <v>134.651087100564</v>
      </c>
      <c r="D42" s="37" t="n">
        <f aca="false">SQRT(L_Rp0^2+L_Rp1^2*C42)</f>
        <v>76810861.1954452</v>
      </c>
      <c r="E42" s="5" t="str">
        <f aca="false">COMPLEX(D42,C42*L_Mp)</f>
        <v>76810861.1954452+1989162.69523781i</v>
      </c>
      <c r="F42" s="5" t="str">
        <f aca="false">IMDIV(1,E42)</f>
        <v>1.30102668401394e-08-3.36925495310415e-10i</v>
      </c>
      <c r="G42" s="5" t="str">
        <f aca="false">COMPLEX(0,C42*L_Cf)</f>
        <v>1.42382454373019e-13i</v>
      </c>
      <c r="H42" s="5" t="str">
        <f aca="false">COMPLEX(0,C42*L_Cbv)</f>
        <v>1.42382454373019e-12i</v>
      </c>
      <c r="I42" s="5" t="str">
        <f aca="false">COMPLEX(L_Rsq+L_Rh,C42*(L_Md+L_Mh)-1/(C42*L_Cd))</f>
        <v>552400610.124532-8555283440628.06i</v>
      </c>
      <c r="J42" s="5" t="str">
        <f aca="false">IMDIV(1,I42)</f>
        <v>7.54719103071468e-18+1.1688683405649e-13i</v>
      </c>
      <c r="K42" s="5" t="str">
        <f aca="false">IMSUM(F42,G42,H42)</f>
        <v>1.30102668401394e-08-3.35359288312312e-10i</v>
      </c>
      <c r="L42" s="5" t="str">
        <f aca="false">IMSUM(IMPRODUCT(IMSUM(F42,G42),H42),IMPRODUCT(IMSUM(J42,L_Yv),K42))</f>
        <v>2.65393510187286e-20+1.93743450409983e-20i</v>
      </c>
      <c r="M42" s="37" t="n">
        <f aca="false">IMABS(IMDIV(IMPRODUCT(J42,F42,H42),L42))^2</f>
        <v>4.34513872736512E-027</v>
      </c>
      <c r="N42" s="5" t="str">
        <f aca="false">IMDIV(IMPRODUCT(L_Yv,K42,E42),H42)</f>
        <v>0.000168983894629806-1.40466308010063i</v>
      </c>
      <c r="O42" s="37" t="n">
        <f aca="false">IMABS(IMSUM(1,IMPRODUCT(E42,G42),N42))^2</f>
        <v>2.97338507427407</v>
      </c>
      <c r="P42" s="37" t="n">
        <f aca="false">IMABS(N42)^2</f>
        <v>1.97307839715335</v>
      </c>
      <c r="Q42" s="37" t="n">
        <f aca="false">p_Rb^2/(1+(C42*p_Rb*L_Ctot)^2)</f>
        <v>9.0917774877157E+018</v>
      </c>
      <c r="R42" s="37" t="n">
        <f aca="false">M42*L_Kt^2*Q42</f>
        <v>7.92847881474948E-006</v>
      </c>
      <c r="S42" s="37" t="n">
        <f aca="false">L_kT4*D42</f>
        <v>1.26473845031986E-012</v>
      </c>
      <c r="T42" s="37" t="n">
        <f aca="false">L_kT4*L_Rsq*O42</f>
        <v>1.53589949814727E-011</v>
      </c>
      <c r="U42" s="37" t="n">
        <f aca="false">L_kT4*L_Rh*O42</f>
        <v>1.16857813663426E-011</v>
      </c>
      <c r="V42" s="37" t="n">
        <f aca="false">L_kT4*p_Rv*P42</f>
        <v>1.6243979533218E-008</v>
      </c>
      <c r="W42" s="37" t="n">
        <f aca="false">L_kT4/p_Rb*Q42/R42</f>
        <v>1.88815227357867E-008</v>
      </c>
      <c r="X42" s="37" t="n">
        <f aca="false">p_en^2*(1+p_fc/B42)/R42</f>
        <v>4.57390862393943E-011</v>
      </c>
      <c r="Y42" s="37" t="n">
        <f aca="false">p_in^2*Q42/R42</f>
        <v>2.86681017259014E-009</v>
      </c>
      <c r="Z42" s="37" t="n">
        <f aca="false">p_eo^2/L_G^2/R42</f>
        <v>7.9959509484352E-012</v>
      </c>
      <c r="AA42" s="37" t="n">
        <f aca="false">SUM(S42:Z42)</f>
        <v>3.80743569935808E-008</v>
      </c>
      <c r="AB42" s="47" t="n">
        <f aca="false">10*LOG10(AA42/L_PREF^2)</f>
        <v>19.7857258630066</v>
      </c>
      <c r="AC42" s="47" t="n">
        <f aca="false">10*LOG10(S42/L_PREF^2)</f>
        <v>-25.0005926923688</v>
      </c>
      <c r="AD42" s="47" t="n">
        <f aca="false">10*LOG10(T42/L_PREF^2)</f>
        <v>-14.1569719283824</v>
      </c>
      <c r="AE42" s="47" t="n">
        <f aca="false">10*LOG10(U42/L_PREF^2)</f>
        <v>-15.3440223465572</v>
      </c>
      <c r="AF42" s="47" t="n">
        <f aca="false">10*LOG10(V42/L_PREF^2)</f>
        <v>16.0863244229624</v>
      </c>
      <c r="AG42" s="47" t="n">
        <f aca="false">10*LOG10(W42/L_PREF^2)</f>
        <v>16.7397702453887</v>
      </c>
      <c r="AH42" s="47" t="n">
        <f aca="false">10*LOG10(X42/L_PREF^2)</f>
        <v>-9.4177250716464</v>
      </c>
      <c r="AI42" s="47" t="n">
        <f aca="false">10*LOG10(Y42/L_PREF^2)</f>
        <v>8.55338945522955</v>
      </c>
      <c r="AJ42" s="47" t="n">
        <f aca="false">10*LOG10(Z42/L_PREF^2)</f>
        <v>-16.9918987007514</v>
      </c>
      <c r="AK42" s="47" t="n">
        <f aca="false">10*LOG10(R42/$R$6)</f>
        <v>-4.29581034567463</v>
      </c>
      <c r="AL42" s="37" t="n">
        <f aca="false">(12194^2*B42^4/((B42^2+20.6^2)*SQRT((B42^2+107.7^2)*(B42^2+737.9^2))*(B42^2+12194^2))*1.2589254)^2</f>
        <v>1.37419529945336E-005</v>
      </c>
      <c r="AM42" s="37" t="n">
        <f aca="false">0.5*(B42-B41)*(S42*AL42+S41*AL41)</f>
        <v>7.9422913199516E-018</v>
      </c>
      <c r="AN42" s="37" t="n">
        <f aca="false">0.5*(B42-B41)*(T42*AL42+T41*AL41)</f>
        <v>9.78599109385783E-017</v>
      </c>
      <c r="AO42" s="37" t="n">
        <f aca="false">0.5*(B42-B41)*(U42*AL42+U41*AL41)</f>
        <v>7.44560125931063E-017</v>
      </c>
      <c r="AP42" s="37" t="n">
        <f aca="false">0.5*(B42-B41)*(V42*AL42+V41*AL41)</f>
        <v>1.04252742101791E-013</v>
      </c>
      <c r="AQ42" s="37" t="n">
        <f aca="false">0.5*(B42-B41)*(W42*AL42+W41*AL41)</f>
        <v>1.22892424395687E-013</v>
      </c>
      <c r="AR42" s="37" t="n">
        <f aca="false">0.5*(B42-B41)*(X42*AL42+X41*AL41)</f>
        <v>2.93844238157516E-016</v>
      </c>
      <c r="AS42" s="37" t="n">
        <f aca="false">0.5*(B42-B41)*(Y42*AL42+Y41*AL41)</f>
        <v>1.86589427834694E-014</v>
      </c>
      <c r="AT42" s="37" t="n">
        <f aca="false">0.5*(B42-B41)*(Z42*AL42+Z41*AL41)</f>
        <v>5.09064434771213E-017</v>
      </c>
      <c r="AU42" s="37" t="n">
        <f aca="false">0.5*(B42-B41)*(AA42*AL42+AA41*AL41)</f>
        <v>2.46329118177434E-013</v>
      </c>
      <c r="AV42" s="37" t="n">
        <f aca="false">0.5*(B42-B41)*(S42+S41)</f>
        <v>6.16943755513992E-013</v>
      </c>
      <c r="AW42" s="37" t="n">
        <f aca="false">0.5*(B42-B41)*(T42+T41)</f>
        <v>7.60950729957637E-012</v>
      </c>
      <c r="AX42" s="37" t="n">
        <f aca="false">0.5*(B42-B41)*(U42+U41)</f>
        <v>5.7896391473338E-012</v>
      </c>
      <c r="AY42" s="37" t="n">
        <f aca="false">0.5*(B42-B41)*(V42+V41)</f>
        <v>8.11078507420379E-009</v>
      </c>
      <c r="AZ42" s="37" t="n">
        <f aca="false">0.5*(B42-B41)*(W42+W41)</f>
        <v>9.57035130992702E-009</v>
      </c>
      <c r="BA42" s="37" t="n">
        <f aca="false">0.5*(B42-B41)*(X42+X41)</f>
        <v>2.28624771406619E-011</v>
      </c>
      <c r="BB42" s="37" t="n">
        <f aca="false">0.5*(B42-B41)*(Y42+Y41)</f>
        <v>1.45308092331766E-009</v>
      </c>
      <c r="BC42" s="37" t="n">
        <f aca="false">0.5*(B42-B41)*(Z42+Z41)</f>
        <v>3.95822336309966E-012</v>
      </c>
      <c r="BD42" s="37" t="n">
        <f aca="false">0.5*(B42-B41)*(AA42+AA41)</f>
        <v>1.91750540981546E-008</v>
      </c>
      <c r="BE42" s="37" t="n">
        <f aca="false">IF(B42&gt;2000,AK42,-999)</f>
        <v>-999</v>
      </c>
      <c r="BF42" s="37" t="n">
        <f aca="false">IF(AND(B42&lt;1000,AK42&gt;=-3),B42,1000000000)</f>
        <v>1000000000</v>
      </c>
    </row>
    <row r="43" customFormat="false" ht="15" hidden="false" customHeight="false" outlineLevel="0" collapsed="false">
      <c r="A43" s="5" t="n">
        <v>4</v>
      </c>
      <c r="B43" s="47" t="n">
        <f aca="false">20*10^(A43/100)</f>
        <v>21.9295639228637</v>
      </c>
      <c r="C43" s="37" t="n">
        <f aca="false">2*PI()*B43</f>
        <v>137.787513832993</v>
      </c>
      <c r="D43" s="37" t="n">
        <f aca="false">SQRT(L_Rp0^2+L_Rp1^2*C43)</f>
        <v>76814635.4459196</v>
      </c>
      <c r="E43" s="5" t="str">
        <f aca="false">COMPLEX(D43,C43*L_Mp)</f>
        <v>76814635.4459196+2035496.24654315i</v>
      </c>
      <c r="F43" s="5" t="str">
        <f aca="false">IMDIV(1,E43)</f>
        <v>1.30092175809252e-08-3.44728753872424e-10i</v>
      </c>
      <c r="G43" s="5" t="str">
        <f aca="false">COMPLEX(0,C43*L_Cf)</f>
        <v>1.45698967783645e-13i</v>
      </c>
      <c r="H43" s="5" t="str">
        <f aca="false">COMPLEX(0,C43*L_Cbv)</f>
        <v>1.45698967783645e-12i</v>
      </c>
      <c r="I43" s="5" t="str">
        <f aca="false">COMPLEX(L_Rsq+L_Rh,C43*(L_Md+L_Mh)-1/(C43*L_Cd))</f>
        <v>552400610.124532-8360541390641.59i</v>
      </c>
      <c r="J43" s="5" t="str">
        <f aca="false">IMDIV(1,I43)</f>
        <v>7.90287922847808e-18+1.19609478490687e-13i</v>
      </c>
      <c r="K43" s="5" t="str">
        <f aca="false">IMSUM(F43,G43,H43)</f>
        <v>1.30092175809252e-08-3.43126065226804e-10i</v>
      </c>
      <c r="L43" s="5" t="str">
        <f aca="false">IMSUM(IMPRODUCT(IMSUM(F43,G43),H43),IMPRODUCT(IMSUM(J43,L_Yv),K43))</f>
        <v>2.65616330559976e-20+1.98240666204254e-20i</v>
      </c>
      <c r="M43" s="37" t="n">
        <f aca="false">IMABS(IMDIV(IMPRODUCT(J43,F43,H43),L43))^2</f>
        <v>4.68215477310912E-027</v>
      </c>
      <c r="N43" s="5" t="str">
        <f aca="false">IMDIV(IMPRODUCT(L_Yv,K43,E43),H43)</f>
        <v>0.000168992197981027-1.37268884322945i</v>
      </c>
      <c r="O43" s="37" t="n">
        <f aca="false">IMABS(IMSUM(1,IMPRODUCT(E43,G43),N43))^2</f>
        <v>2.88458135441271</v>
      </c>
      <c r="P43" s="37" t="n">
        <f aca="false">IMABS(N43)^2</f>
        <v>1.88427468888497</v>
      </c>
      <c r="Q43" s="37" t="n">
        <f aca="false">p_Rb^2/(1+(C43*p_Rb*L_Ctot)^2)</f>
        <v>8.68258364741569E+018</v>
      </c>
      <c r="R43" s="37" t="n">
        <f aca="false">M43*L_Kt^2*Q43</f>
        <v>8.15891045395606E-006</v>
      </c>
      <c r="S43" s="37" t="n">
        <f aca="false">L_kT4*D43</f>
        <v>1.26480059569386E-012</v>
      </c>
      <c r="T43" s="37" t="n">
        <f aca="false">L_kT4*L_Rsq*O43</f>
        <v>1.49002801316916E-011</v>
      </c>
      <c r="U43" s="37" t="n">
        <f aca="false">L_kT4*L_Rh*O43</f>
        <v>1.13367714571329E-011</v>
      </c>
      <c r="V43" s="37" t="n">
        <f aca="false">L_kT4*p_Rv*P43</f>
        <v>1.55128754769035E-008</v>
      </c>
      <c r="W43" s="37" t="n">
        <f aca="false">L_kT4/p_Rb*Q43/R43</f>
        <v>1.75224527266988E-008</v>
      </c>
      <c r="X43" s="37" t="n">
        <f aca="false">p_en^2*(1+p_fc/B43)/R43</f>
        <v>4.36140916856553E-011</v>
      </c>
      <c r="Y43" s="37" t="n">
        <f aca="false">p_in^2*Q43/R43</f>
        <v>2.66046051627081E-009</v>
      </c>
      <c r="Z43" s="37" t="n">
        <f aca="false">p_eo^2/L_G^2/R43</f>
        <v>7.77012176518073E-012</v>
      </c>
      <c r="AA43" s="37" t="n">
        <f aca="false">SUM(S43:Z43)</f>
        <v>3.57746747855084E-008</v>
      </c>
      <c r="AB43" s="47" t="n">
        <f aca="false">10*LOG10(AA43/L_PREF^2)</f>
        <v>19.5151570310941</v>
      </c>
      <c r="AC43" s="47" t="n">
        <f aca="false">10*LOG10(S43/L_PREF^2)</f>
        <v>-25.0003792986041</v>
      </c>
      <c r="AD43" s="47" t="n">
        <f aca="false">10*LOG10(T43/L_PREF^2)</f>
        <v>-14.288655579154</v>
      </c>
      <c r="AE43" s="47" t="n">
        <f aca="false">10*LOG10(U43/L_PREF^2)</f>
        <v>-15.4757059973288</v>
      </c>
      <c r="AF43" s="47" t="n">
        <f aca="false">10*LOG10(V43/L_PREF^2)</f>
        <v>15.886323150611</v>
      </c>
      <c r="AG43" s="47" t="n">
        <f aca="false">10*LOG10(W43/L_PREF^2)</f>
        <v>16.415349056591</v>
      </c>
      <c r="AH43" s="47" t="n">
        <f aca="false">10*LOG10(X43/L_PREF^2)</f>
        <v>-9.62433159111218</v>
      </c>
      <c r="AI43" s="47" t="n">
        <f aca="false">10*LOG10(Y43/L_PREF^2)</f>
        <v>8.22896826643188</v>
      </c>
      <c r="AJ43" s="47" t="n">
        <f aca="false">10*LOG10(Z43/L_PREF^2)</f>
        <v>-17.1163216666711</v>
      </c>
      <c r="AK43" s="47" t="n">
        <f aca="false">10*LOG10(R43/$R$6)</f>
        <v>-4.17138737975491</v>
      </c>
      <c r="AL43" s="37" t="n">
        <f aca="false">(12194^2*B43^4/((B43^2+20.6^2)*SQRT((B43^2+107.7^2)*(B43^2+737.9^2))*(B43^2+12194^2))*1.2589254)^2</f>
        <v>1.57120389841096E-005</v>
      </c>
      <c r="AM43" s="37" t="n">
        <f aca="false">0.5*(B43-B42)*(S43*AL43+S42*AL42)</f>
        <v>9.2978289550904E-018</v>
      </c>
      <c r="AN43" s="37" t="n">
        <f aca="false">0.5*(B43-B42)*(T43*AL43+T42*AL42)</f>
        <v>1.11111084371461E-016</v>
      </c>
      <c r="AO43" s="37" t="n">
        <f aca="false">0.5*(B43-B42)*(U43*AL43+U42*AL42)</f>
        <v>8.45380730255075E-017</v>
      </c>
      <c r="AP43" s="37" t="n">
        <f aca="false">0.5*(B43-B42)*(V43*AL43+V42*AL42)</f>
        <v>1.16548762637067E-013</v>
      </c>
      <c r="AQ43" s="37" t="n">
        <f aca="false">0.5*(B43-B42)*(W43*AL43+W42*AL42)</f>
        <v>1.3347577033417E-013</v>
      </c>
      <c r="AR43" s="37" t="n">
        <f aca="false">0.5*(B43-B42)*(X43*AL43+X42*AL42)</f>
        <v>3.27912574810301E-016</v>
      </c>
      <c r="AS43" s="37" t="n">
        <f aca="false">0.5*(B43-B42)*(Y43*AL43+Y42*AL42)</f>
        <v>2.0265828214324E-014</v>
      </c>
      <c r="AT43" s="37" t="n">
        <f aca="false">0.5*(B43-B42)*(Z43*AL43+Z42*AL42)</f>
        <v>5.78957510615383E-017</v>
      </c>
      <c r="AU43" s="37" t="n">
        <f aca="false">0.5*(B43-B42)*(AA43*AL43+AA42*AL42)</f>
        <v>2.70881116497785E-013</v>
      </c>
      <c r="AV43" s="37" t="n">
        <f aca="false">0.5*(B43-B42)*(S43+S42)</f>
        <v>6.3134489090858E-013</v>
      </c>
      <c r="AW43" s="37" t="n">
        <f aca="false">0.5*(B43-B42)*(T43+T42)</f>
        <v>7.55237946431358E-012</v>
      </c>
      <c r="AX43" s="37" t="n">
        <f aca="false">0.5*(B43-B42)*(U43+U42)</f>
        <v>5.74617384289046E-012</v>
      </c>
      <c r="AY43" s="37" t="n">
        <f aca="false">0.5*(B43-B42)*(V43+V42)</f>
        <v>7.92615879701901E-009</v>
      </c>
      <c r="AZ43" s="37" t="n">
        <f aca="false">0.5*(B43-B42)*(W43+W42)</f>
        <v>9.08602852097536E-009</v>
      </c>
      <c r="BA43" s="37" t="n">
        <f aca="false">0.5*(B43-B42)*(X43+X42)</f>
        <v>2.23015621989807E-011</v>
      </c>
      <c r="BB43" s="37" t="n">
        <f aca="false">0.5*(B43-B42)*(Y43+Y42)</f>
        <v>1.37954546128883E-009</v>
      </c>
      <c r="BC43" s="37" t="n">
        <f aca="false">0.5*(B43-B42)*(Z43+Z42)</f>
        <v>3.9350368886856E-012</v>
      </c>
      <c r="BD43" s="37" t="n">
        <f aca="false">0.5*(B43-B42)*(AA43+AA42)</f>
        <v>1.8431899276569E-008</v>
      </c>
      <c r="BE43" s="37" t="n">
        <f aca="false">IF(B43&gt;2000,AK43,-999)</f>
        <v>-999</v>
      </c>
      <c r="BF43" s="37" t="n">
        <f aca="false">IF(AND(B43&lt;1000,AK43&gt;=-3),B43,1000000000)</f>
        <v>1000000000</v>
      </c>
    </row>
    <row r="44" customFormat="false" ht="15" hidden="false" customHeight="false" outlineLevel="0" collapsed="false">
      <c r="A44" s="5" t="n">
        <v>5</v>
      </c>
      <c r="B44" s="47" t="n">
        <f aca="false">20*10^(A44/100)</f>
        <v>22.4403690860393</v>
      </c>
      <c r="C44" s="37" t="n">
        <f aca="false">2*PI()*B44</f>
        <v>140.996997329089</v>
      </c>
      <c r="D44" s="37" t="n">
        <f aca="false">SQRT(L_Rp0^2+L_Rp1^2*C44)</f>
        <v>76818497.4180152</v>
      </c>
      <c r="E44" s="5" t="str">
        <f aca="false">COMPLEX(D44,C44*L_Mp)</f>
        <v>76818497.4180152+2082909.04490138i</v>
      </c>
      <c r="F44" s="5" t="str">
        <f aca="false">IMDIV(1,E44)</f>
        <v>1.30081343399962e-08-3.52711411766252e-10i</v>
      </c>
      <c r="G44" s="5" t="str">
        <f aca="false">COMPLEX(0,C44*L_Cf)</f>
        <v>1.49092732715543e-13i</v>
      </c>
      <c r="H44" s="5" t="str">
        <f aca="false">COMPLEX(0,C44*L_Cbv)</f>
        <v>1.49092732715543e-12i</v>
      </c>
      <c r="I44" s="5" t="str">
        <f aca="false">COMPLEX(L_Rsq+L_Rh,C44*(L_Md+L_Mh)-1/(C44*L_Cd))</f>
        <v>552400610.124532-8170232210365.29i</v>
      </c>
      <c r="J44" s="5" t="str">
        <f aca="false">IMDIV(1,I44)</f>
        <v>8.2753304986731e-18+1.22395541482901e-13i</v>
      </c>
      <c r="K44" s="5" t="str">
        <f aca="false">IMSUM(F44,G44,H44)</f>
        <v>1.30081343399962e-08-3.51071391706381e-10i</v>
      </c>
      <c r="L44" s="5" t="str">
        <f aca="false">IMSUM(IMPRODUCT(IMSUM(F44,G44),H44),IMPRODUCT(IMSUM(J44,L_Yv),K44))</f>
        <v>2.65849906956627e-20+2.02841749203909e-20i</v>
      </c>
      <c r="M44" s="37" t="n">
        <f aca="false">IMABS(IMDIV(IMPRODUCT(J44,F44,H44),L44))^2</f>
        <v>5.04278186717647E-027</v>
      </c>
      <c r="N44" s="5" t="str">
        <f aca="false">IMDIV(IMPRODUCT(L_Yv,K44,E44),H44)</f>
        <v>0.000169000694319643-1.34144242415262i</v>
      </c>
      <c r="O44" s="37" t="n">
        <f aca="false">IMABS(IMSUM(1,IMPRODUCT(E44,G44),N44))^2</f>
        <v>2.79977445890544</v>
      </c>
      <c r="P44" s="37" t="n">
        <f aca="false">IMABS(N44)^2</f>
        <v>1.79946780587769</v>
      </c>
      <c r="Q44" s="37" t="n">
        <f aca="false">p_Rb^2/(1+(C44*p_Rb*L_Ctot)^2)</f>
        <v>8.29180625107026E+018</v>
      </c>
      <c r="R44" s="37" t="n">
        <f aca="false">M44*L_Kt^2*Q44</f>
        <v>8.39183146599173E-006</v>
      </c>
      <c r="S44" s="37" t="n">
        <f aca="false">L_kT4*D44</f>
        <v>1.26486418545874E-012</v>
      </c>
      <c r="T44" s="37" t="n">
        <f aca="false">L_kT4*L_Rsq*O44</f>
        <v>1.44622108436737E-011</v>
      </c>
      <c r="U44" s="37" t="n">
        <f aca="false">L_kT4*L_Rh*O44</f>
        <v>1.10034695757753E-011</v>
      </c>
      <c r="V44" s="37" t="n">
        <f aca="false">L_kT4*p_Rv*P44</f>
        <v>1.48146765235148E-008</v>
      </c>
      <c r="W44" s="37" t="n">
        <f aca="false">L_kT4/p_Rb*Q44/R44</f>
        <v>1.62693604109488E-008</v>
      </c>
      <c r="X44" s="37" t="n">
        <f aca="false">p_en^2*(1+p_fc/B44)/R44</f>
        <v>4.16119296029655E-011</v>
      </c>
      <c r="Y44" s="37" t="n">
        <f aca="false">p_in^2*Q44/R44</f>
        <v>2.4702016135194E-009</v>
      </c>
      <c r="Z44" s="37" t="n">
        <f aca="false">p_eo^2/L_G^2/R44</f>
        <v>7.55445673037626E-012</v>
      </c>
      <c r="AA44" s="37" t="n">
        <f aca="false">SUM(S44:Z44)</f>
        <v>3.36301354789213E-008</v>
      </c>
      <c r="AB44" s="47" t="n">
        <f aca="false">10*LOG10(AA44/L_PREF^2)</f>
        <v>19.2466862554449</v>
      </c>
      <c r="AC44" s="47" t="n">
        <f aca="false">10*LOG10(S44/L_PREF^2)</f>
        <v>-25.0001609559667</v>
      </c>
      <c r="AD44" s="47" t="n">
        <f aca="false">10*LOG10(T44/L_PREF^2)</f>
        <v>-14.4182530253167</v>
      </c>
      <c r="AE44" s="47" t="n">
        <f aca="false">10*LOG10(U44/L_PREF^2)</f>
        <v>-15.6053034434914</v>
      </c>
      <c r="AF44" s="47" t="n">
        <f aca="false">10*LOG10(V44/L_PREF^2)</f>
        <v>15.6863218182957</v>
      </c>
      <c r="AG44" s="47" t="n">
        <f aca="false">10*LOG10(W44/L_PREF^2)</f>
        <v>16.0931048874747</v>
      </c>
      <c r="AH44" s="47" t="n">
        <f aca="false">10*LOG10(X44/L_PREF^2)</f>
        <v>-9.82842136229803</v>
      </c>
      <c r="AI44" s="47" t="n">
        <f aca="false">10*LOG10(Y44/L_PREF^2)</f>
        <v>7.90672409731551</v>
      </c>
      <c r="AJ44" s="47" t="n">
        <f aca="false">10*LOG10(Z44/L_PREF^2)</f>
        <v>-17.2385675329265</v>
      </c>
      <c r="AK44" s="47" t="n">
        <f aca="false">10*LOG10(R44/$R$6)</f>
        <v>-4.04914151349946</v>
      </c>
      <c r="AL44" s="37" t="n">
        <f aca="false">(12194^2*B44^4/((B44^2+20.6^2)*SQRT((B44^2+107.7^2)*(B44^2+737.9^2))*(B44^2+12194^2))*1.2589254)^2</f>
        <v>1.79441102124689E-005</v>
      </c>
      <c r="AM44" s="37" t="n">
        <f aca="false">0.5*(B44-B43)*(S44*AL44+S43*AL43)</f>
        <v>1.08723496268976E-017</v>
      </c>
      <c r="AN44" s="37" t="n">
        <f aca="false">0.5*(B44-B43)*(T44*AL44+T43*AL43)</f>
        <v>1.26073172789576E-016</v>
      </c>
      <c r="AO44" s="37" t="n">
        <f aca="false">0.5*(B44-B43)*(U44*AL44+U43*AL43)</f>
        <v>9.5921870874839E-017</v>
      </c>
      <c r="AP44" s="37" t="n">
        <f aca="false">0.5*(B44-B43)*(V44*AL44+V43*AL43)</f>
        <v>1.3014679414979E-013</v>
      </c>
      <c r="AQ44" s="37" t="n">
        <f aca="false">0.5*(B44-B43)*(W44*AL44+W43*AL43)</f>
        <v>1.44877792918271E-013</v>
      </c>
      <c r="AR44" s="37" t="n">
        <f aca="false">0.5*(B44-B43)*(X44*AL44+X43*AL43)</f>
        <v>3.6572509560389E-016</v>
      </c>
      <c r="AS44" s="37" t="n">
        <f aca="false">0.5*(B44-B43)*(Y44*AL44+Y43*AL43)</f>
        <v>2.19970145592817E-014</v>
      </c>
      <c r="AT44" s="37" t="n">
        <f aca="false">0.5*(B44-B43)*(Z44*AL44+Z43*AL43)</f>
        <v>6.58025494747327E-017</v>
      </c>
      <c r="AU44" s="37" t="n">
        <f aca="false">0.5*(B44-B43)*(AA44*AL44+AA43*AL43)</f>
        <v>2.97685996665713E-013</v>
      </c>
      <c r="AV44" s="37" t="n">
        <f aca="false">0.5*(B44-B43)*(S44+S43)</f>
        <v>6.46082915658072E-013</v>
      </c>
      <c r="AW44" s="37" t="n">
        <f aca="false">0.5*(B44-B43)*(T44+T43)</f>
        <v>7.49925599695632E-012</v>
      </c>
      <c r="AX44" s="37" t="n">
        <f aca="false">0.5*(B44-B43)*(U44+U43)</f>
        <v>5.7057552330981E-012</v>
      </c>
      <c r="AY44" s="37" t="n">
        <f aca="false">0.5*(B44-B43)*(V44+V43)</f>
        <v>7.74573507414461E-009</v>
      </c>
      <c r="AZ44" s="37" t="n">
        <f aca="false">0.5*(B44-B43)*(W44+W43)</f>
        <v>8.63051631188721E-009</v>
      </c>
      <c r="BA44" s="37" t="n">
        <f aca="false">0.5*(B44-B43)*(X44+X43)</f>
        <v>2.17669458555692E-011</v>
      </c>
      <c r="BB44" s="37" t="n">
        <f aca="false">0.5*(B44-B43)*(Y44+Y43)</f>
        <v>1.3103843532031E-009</v>
      </c>
      <c r="BC44" s="37" t="n">
        <f aca="false">0.5*(B44-B43)*(Z44+Z43)</f>
        <v>3.9139369095099E-012</v>
      </c>
      <c r="BD44" s="37" t="n">
        <f aca="false">0.5*(B44-B43)*(AA44+AA43)</f>
        <v>1.77261677161457E-008</v>
      </c>
      <c r="BE44" s="37" t="n">
        <f aca="false">IF(B44&gt;2000,AK44,-999)</f>
        <v>-999</v>
      </c>
      <c r="BF44" s="37" t="n">
        <f aca="false">IF(AND(B44&lt;1000,AK44&gt;=-3),B44,1000000000)</f>
        <v>1000000000</v>
      </c>
    </row>
    <row r="45" customFormat="false" ht="15" hidden="false" customHeight="false" outlineLevel="0" collapsed="false">
      <c r="A45" s="5" t="n">
        <v>6</v>
      </c>
      <c r="B45" s="47" t="n">
        <f aca="false">20*10^(A45/100)</f>
        <v>22.9630724299377</v>
      </c>
      <c r="C45" s="37" t="n">
        <f aca="false">2*PI()*B45</f>
        <v>144.281239299485</v>
      </c>
      <c r="D45" s="37" t="n">
        <f aca="false">SQRT(L_Rp0^2+L_Rp1^2*C45)</f>
        <v>76822449.1460142</v>
      </c>
      <c r="E45" s="5" t="str">
        <f aca="false">COMPLEX(D45,C45*L_Mp)</f>
        <v>76822449.1460142+2131426.22920578i</v>
      </c>
      <c r="F45" s="5" t="str">
        <f aca="false">IMDIV(1,E45)</f>
        <v>1.30070158827173e-08-3.60877518541834e-10i</v>
      </c>
      <c r="G45" s="5" t="str">
        <f aca="false">COMPLEX(0,C45*L_Cf)</f>
        <v>1.52565548587803e-13i</v>
      </c>
      <c r="H45" s="5" t="str">
        <f aca="false">COMPLEX(0,C45*L_Cbv)</f>
        <v>1.52565548587803e-12i</v>
      </c>
      <c r="I45" s="5" t="str">
        <f aca="false">COMPLEX(L_Rsq+L_Rh,C45*(L_Md+L_Mh)-1/(C45*L_Cd))</f>
        <v>552400610.124532-7984254995352.73i</v>
      </c>
      <c r="J45" s="5" t="str">
        <f aca="false">IMDIV(1,I45)</f>
        <v>8.66533486096107e-18+1.25246500242705e-13i</v>
      </c>
      <c r="K45" s="5" t="str">
        <f aca="false">IMSUM(F45,G45,H45)</f>
        <v>1.30070158827173e-08-3.59199297507368e-10i</v>
      </c>
      <c r="L45" s="5" t="str">
        <f aca="false">IMSUM(IMPRODUCT(IMSUM(F45,G45),H45),IMPRODUCT(IMSUM(J45,L_Yv),K45))</f>
        <v>2.66094749339124e-20+2.0754906646685e-20i</v>
      </c>
      <c r="M45" s="37" t="n">
        <f aca="false">IMABS(IMDIV(IMPRODUCT(J45,F45,H45),L45))^2</f>
        <v>5.42843518218353E-027</v>
      </c>
      <c r="N45" s="5" t="str">
        <f aca="false">IMDIV(IMPRODUCT(L_Yv,K45,E45),H45)</f>
        <v>0.000169009388121239-1.31090725560517i</v>
      </c>
      <c r="O45" s="37" t="n">
        <f aca="false">IMABS(IMSUM(1,IMPRODUCT(E45,G45),N45))^2</f>
        <v>2.71878450093208</v>
      </c>
      <c r="P45" s="37" t="n">
        <f aca="false">IMABS(N45)^2</f>
        <v>1.71847786136245</v>
      </c>
      <c r="Q45" s="37" t="n">
        <f aca="false">p_Rb^2/(1+(C45*p_Rb*L_Ctot)^2)</f>
        <v>7.9186164496686E+018</v>
      </c>
      <c r="R45" s="37" t="n">
        <f aca="false">M45*L_Kt^2*Q45</f>
        <v>8.62703161098718E-006</v>
      </c>
      <c r="S45" s="37" t="n">
        <f aca="false">L_kT4*D45</f>
        <v>1.26492925311021E-012</v>
      </c>
      <c r="T45" s="37" t="n">
        <f aca="false">L_kT4*L_Rsq*O45</f>
        <v>1.40438579135991E-011</v>
      </c>
      <c r="U45" s="37" t="n">
        <f aca="false">L_kT4*L_Rh*O45</f>
        <v>1.06851687441963E-011</v>
      </c>
      <c r="V45" s="37" t="n">
        <f aca="false">L_kT4*p_Rv*P45</f>
        <v>1.41479016994632E-008</v>
      </c>
      <c r="W45" s="37" t="n">
        <f aca="false">L_kT4/p_Rb*Q45/R45</f>
        <v>1.5113533259117E-008</v>
      </c>
      <c r="X45" s="37" t="n">
        <f aca="false">p_en^2*(1+p_fc/B45)/R45</f>
        <v>3.97249441336787E-011</v>
      </c>
      <c r="Y45" s="37" t="n">
        <f aca="false">p_in^2*Q45/R45</f>
        <v>2.29471062780842E-009</v>
      </c>
      <c r="Z45" s="37" t="n">
        <f aca="false">p_eo^2/L_G^2/R45</f>
        <v>7.34849836619415E-012</v>
      </c>
      <c r="AA45" s="37" t="n">
        <f aca="false">SUM(S45:Z45)</f>
        <v>3.16292129847994E-008</v>
      </c>
      <c r="AB45" s="47" t="n">
        <f aca="false">10*LOG10(AA45/L_PREF^2)</f>
        <v>18.9802839437179</v>
      </c>
      <c r="AC45" s="47" t="n">
        <f aca="false">10*LOG10(S45/L_PREF^2)</f>
        <v>-24.9999375502012</v>
      </c>
      <c r="AD45" s="47" t="n">
        <f aca="false">10*LOG10(T45/L_PREF^2)</f>
        <v>-14.5457356441474</v>
      </c>
      <c r="AE45" s="47" t="n">
        <f aca="false">10*LOG10(U45/L_PREF^2)</f>
        <v>-15.7327860623221</v>
      </c>
      <c r="AF45" s="47" t="n">
        <f aca="false">10*LOG10(V45/L_PREF^2)</f>
        <v>15.4863204231906</v>
      </c>
      <c r="AG45" s="47" t="n">
        <f aca="false">10*LOG10(W45/L_PREF^2)</f>
        <v>15.7730601474223</v>
      </c>
      <c r="AH45" s="47" t="n">
        <f aca="false">10*LOG10(X45/L_PREF^2)</f>
        <v>-10.0299669620883</v>
      </c>
      <c r="AI45" s="47" t="n">
        <f aca="false">10*LOG10(Y45/L_PREF^2)</f>
        <v>7.58667935726318</v>
      </c>
      <c r="AJ45" s="47" t="n">
        <f aca="false">10*LOG10(Z45/L_PREF^2)</f>
        <v>-17.3586138937347</v>
      </c>
      <c r="AK45" s="47" t="n">
        <f aca="false">10*LOG10(R45/$R$6)</f>
        <v>-3.92909515269129</v>
      </c>
      <c r="AL45" s="37" t="n">
        <f aca="false">(12194^2*B45^4/((B45^2+20.6^2)*SQRT((B45^2+107.7^2)*(B45^2+737.9^2))*(B45^2+12194^2))*1.2589254)^2</f>
        <v>2.04699412936394E-005</v>
      </c>
      <c r="AM45" s="37" t="n">
        <f aca="false">0.5*(B45-B44)*(S45*AL45+S44*AL44)</f>
        <v>1.26990489650484E-017</v>
      </c>
      <c r="AN45" s="37" t="n">
        <f aca="false">0.5*(B45-B44)*(T45*AL45+T44*AL44)</f>
        <v>1.42956346551369E-016</v>
      </c>
      <c r="AO45" s="37" t="n">
        <f aca="false">0.5*(B45-B44)*(U45*AL45+U44*AL44)</f>
        <v>1.08767312753574E-016</v>
      </c>
      <c r="AP45" s="37" t="n">
        <f aca="false">0.5*(B45-B44)*(V45*AL45+V44*AL44)</f>
        <v>1.45165932028982E-013</v>
      </c>
      <c r="AQ45" s="37" t="n">
        <f aca="false">0.5*(B45-B44)*(W45*AL45+W44*AL44)</f>
        <v>1.57153984077776E-013</v>
      </c>
      <c r="AR45" s="37" t="n">
        <f aca="false">0.5*(B45-B44)*(X45*AL45+X44*AL44)</f>
        <v>4.07671058606866E-016</v>
      </c>
      <c r="AS45" s="37" t="n">
        <f aca="false">0.5*(B45-B44)*(Y45*AL45+Y44*AL44)</f>
        <v>2.38609272420245E-014</v>
      </c>
      <c r="AT45" s="37" t="n">
        <f aca="false">0.5*(B45-B44)*(Z45*AL45+Z44*AL44)</f>
        <v>7.47416998701658E-017</v>
      </c>
      <c r="AU45" s="37" t="n">
        <f aca="false">0.5*(B45-B44)*(AA45*AL45+AA44*AL44)</f>
        <v>3.26927678815529E-013</v>
      </c>
      <c r="AV45" s="37" t="n">
        <f aca="false">0.5*(B45-B44)*(S45+S44)</f>
        <v>6.61165744856096E-013</v>
      </c>
      <c r="AW45" s="37" t="n">
        <f aca="false">0.5*(B45-B44)*(T45+T44)</f>
        <v>7.45010873041195E-012</v>
      </c>
      <c r="AX45" s="37" t="n">
        <f aca="false">0.5*(B45-B44)*(U45+U44)</f>
        <v>5.66836188722594E-012</v>
      </c>
      <c r="AY45" s="37" t="n">
        <f aca="false">0.5*(B45-B44)*(V45+V44)</f>
        <v>7.56941824253464E-009</v>
      </c>
      <c r="AZ45" s="37" t="n">
        <f aca="false">0.5*(B45-B44)*(W45+W44)</f>
        <v>8.20197173127549E-009</v>
      </c>
      <c r="BA45" s="37" t="n">
        <f aca="false">0.5*(B45-B44)*(X45+X44)</f>
        <v>2.12575279421925E-011</v>
      </c>
      <c r="BB45" s="37" t="n">
        <f aca="false">0.5*(B45-B44)*(Y45+Y44)</f>
        <v>1.24531778096221E-009</v>
      </c>
      <c r="BC45" s="37" t="n">
        <f aca="false">0.5*(B45-B44)*(Z45+Z44)</f>
        <v>3.89491223147244E-012</v>
      </c>
      <c r="BD45" s="37" t="n">
        <f aca="false">0.5*(B45-B44)*(AA45+AA44)</f>
        <v>1.70556398313085E-008</v>
      </c>
      <c r="BE45" s="37" t="n">
        <f aca="false">IF(B45&gt;2000,AK45,-999)</f>
        <v>-999</v>
      </c>
      <c r="BF45" s="37" t="n">
        <f aca="false">IF(AND(B45&lt;1000,AK45&gt;=-3),B45,1000000000)</f>
        <v>1000000000</v>
      </c>
    </row>
    <row r="46" customFormat="false" ht="15" hidden="false" customHeight="false" outlineLevel="0" collapsed="false">
      <c r="A46" s="5" t="n">
        <v>7</v>
      </c>
      <c r="B46" s="47" t="n">
        <f aca="false">20*10^(A46/100)</f>
        <v>23.4979510987906</v>
      </c>
      <c r="C46" s="37" t="n">
        <f aca="false">2*PI()*B46</f>
        <v>147.641981092745</v>
      </c>
      <c r="D46" s="37" t="n">
        <f aca="false">SQRT(L_Rp0^2+L_Rp1^2*C46)</f>
        <v>76826492.7111606</v>
      </c>
      <c r="E46" s="5" t="str">
        <f aca="false">COMPLEX(D46,C46*L_Mp)</f>
        <v>76826492.7111606+2181073.52390967i</v>
      </c>
      <c r="F46" s="5" t="str">
        <f aca="false">IMDIV(1,E46)</f>
        <v>1.30058609253279e-08-3.69231210730036e-10i</v>
      </c>
      <c r="G46" s="5" t="str">
        <f aca="false">COMPLEX(0,C46*L_Cf)</f>
        <v>1.56119256733367e-13i</v>
      </c>
      <c r="H46" s="5" t="str">
        <f aca="false">COMPLEX(0,C46*L_Cbv)</f>
        <v>1.56119256733367e-12i</v>
      </c>
      <c r="I46" s="5" t="str">
        <f aca="false">COMPLEX(L_Rsq+L_Rh,C46*(L_Md+L_Mh)-1/(C46*L_Cd))</f>
        <v>552400610.124532-7802511138022.81i</v>
      </c>
      <c r="J46" s="5" t="str">
        <f aca="false">IMDIV(1,I46)</f>
        <v>9.07371956752114e-18+1.28163866388415e-13i</v>
      </c>
      <c r="K46" s="5" t="str">
        <f aca="false">IMSUM(F46,G46,H46)</f>
        <v>1.30058609253279e-08-3.67513898905969e-10i</v>
      </c>
      <c r="L46" s="5" t="str">
        <f aca="false">IMSUM(IMPRODUCT(IMSUM(F46,G46),H46),IMPRODUCT(IMSUM(J46,L_Yv),K46))</f>
        <v>2.6635139154022e-20+2.12365036977673e-20i</v>
      </c>
      <c r="M46" s="37" t="n">
        <f aca="false">IMABS(IMDIV(IMPRODUCT(J46,F46,H46),L46))^2</f>
        <v>5.84059575589039E-027</v>
      </c>
      <c r="N46" s="5" t="str">
        <f aca="false">IMDIV(IMPRODUCT(L_Yv,K46,E46),H46)</f>
        <v>0.000169018283964407-1.28106714743655i</v>
      </c>
      <c r="O46" s="37" t="n">
        <f aca="false">IMABS(IMSUM(1,IMPRODUCT(E46,G46),N46))^2</f>
        <v>2.64143968990807</v>
      </c>
      <c r="P46" s="37" t="n">
        <f aca="false">IMABS(N46)^2</f>
        <v>1.6411330648084</v>
      </c>
      <c r="Q46" s="37" t="n">
        <f aca="false">p_Rb^2/(1+(C46*p_Rb*L_Ctot)^2)</f>
        <v>7.56222269613021E+018</v>
      </c>
      <c r="R46" s="37" t="n">
        <f aca="false">M46*L_Kt^2*Q46</f>
        <v>8.86429164020617E-006</v>
      </c>
      <c r="S46" s="37" t="n">
        <f aca="false">L_kT4*D46</f>
        <v>1.26499583291725E-012</v>
      </c>
      <c r="T46" s="37" t="n">
        <f aca="false">L_kT4*L_Rsq*O46</f>
        <v>1.36443339586836E-011</v>
      </c>
      <c r="U46" s="37" t="n">
        <f aca="false">L_kT4*L_Rh*O46</f>
        <v>1.03811938035579E-011</v>
      </c>
      <c r="V46" s="37" t="n">
        <f aca="false">L_kT4*p_Rv*P46</f>
        <v>1.35111366859505E-008</v>
      </c>
      <c r="W46" s="37" t="n">
        <f aca="false">L_kT4/p_Rb*Q46/R46</f>
        <v>1.40469977892494E-008</v>
      </c>
      <c r="X46" s="37" t="n">
        <f aca="false">p_en^2*(1+p_fc/B46)/R46</f>
        <v>3.79459731107106E-011</v>
      </c>
      <c r="Y46" s="37" t="n">
        <f aca="false">p_in^2*Q46/R46</f>
        <v>2.13277693330562E-009</v>
      </c>
      <c r="Z46" s="37" t="n">
        <f aca="false">p_eo^2/L_G^2/R46</f>
        <v>7.15180978600678E-012</v>
      </c>
      <c r="AA46" s="37" t="n">
        <f aca="false">SUM(S46:Z46)</f>
        <v>2.97612997149974E-008</v>
      </c>
      <c r="AB46" s="47" t="n">
        <f aca="false">10*LOG10(AA46/L_PREF^2)</f>
        <v>18.7159190216973</v>
      </c>
      <c r="AC46" s="47" t="n">
        <f aca="false">10*LOG10(S46/L_PREF^2)</f>
        <v>-24.9997089644381</v>
      </c>
      <c r="AD46" s="47" t="n">
        <f aca="false">10*LOG10(T46/L_PREF^2)</f>
        <v>-14.6710765067187</v>
      </c>
      <c r="AE46" s="47" t="n">
        <f aca="false">10*LOG10(U46/L_PREF^2)</f>
        <v>-15.8581269248934</v>
      </c>
      <c r="AF46" s="47" t="n">
        <f aca="false">10*LOG10(V46/L_PREF^2)</f>
        <v>15.2863189623366</v>
      </c>
      <c r="AG46" s="47" t="n">
        <f aca="false">10*LOG10(W46/L_PREF^2)</f>
        <v>15.4552352274336</v>
      </c>
      <c r="AH46" s="47" t="n">
        <f aca="false">10*LOG10(X46/L_PREF^2)</f>
        <v>-10.2289429669831</v>
      </c>
      <c r="AI46" s="47" t="n">
        <f aca="false">10*LOG10(Y46/L_PREF^2)</f>
        <v>7.26885443727447</v>
      </c>
      <c r="AJ46" s="47" t="n">
        <f aca="false">10*LOG10(Z46/L_PREF^2)</f>
        <v>-17.4764403615338</v>
      </c>
      <c r="AK46" s="47" t="n">
        <f aca="false">10*LOG10(R46/$R$6)</f>
        <v>-3.81126868489218</v>
      </c>
      <c r="AL46" s="37" t="n">
        <f aca="false">(12194^2*B46^4/((B46^2+20.6^2)*SQRT((B46^2+107.7^2)*(B46^2+737.9^2))*(B46^2+12194^2))*1.2589254)^2</f>
        <v>2.33247483353732E-005</v>
      </c>
      <c r="AM46" s="37" t="n">
        <f aca="false">0.5*(B46-B45)*(S46*AL46+S45*AL45)</f>
        <v>1.48158013513104E-017</v>
      </c>
      <c r="AN46" s="37" t="n">
        <f aca="false">0.5*(B46-B45)*(T46*AL46+T45*AL45)</f>
        <v>1.61995386941296E-016</v>
      </c>
      <c r="AO46" s="37" t="n">
        <f aca="false">0.5*(B46-B45)*(U46*AL46+U45*AL45)</f>
        <v>1.23253030321034E-016</v>
      </c>
      <c r="AP46" s="37" t="n">
        <f aca="false">0.5*(B46-B45)*(V46*AL46+V45*AL45)</f>
        <v>1.61734092646879E-013</v>
      </c>
      <c r="AQ46" s="37" t="n">
        <f aca="false">0.5*(B46-B45)*(W46*AL46+W45*AL45)</f>
        <v>1.70363088753327E-013</v>
      </c>
      <c r="AR46" s="37" t="n">
        <f aca="false">0.5*(B46-B45)*(X46*AL46+X45*AL45)</f>
        <v>4.54178193783459E-016</v>
      </c>
      <c r="AS46" s="37" t="n">
        <f aca="false">0.5*(B46-B45)*(Y46*AL46+Y45*AL45)</f>
        <v>2.58664855957957E-014</v>
      </c>
      <c r="AT46" s="37" t="n">
        <f aca="false">0.5*(B46-B45)*(Z46*AL46+Z45*AL45)</f>
        <v>8.48417841310595E-017</v>
      </c>
      <c r="AU46" s="37" t="n">
        <f aca="false">0.5*(B46-B45)*(AA46*AL46+AA45*AL45)</f>
        <v>3.5880275119253E-013</v>
      </c>
      <c r="AV46" s="37" t="n">
        <f aca="false">0.5*(B46-B45)*(S46+S45)</f>
        <v>6.76601481156006E-013</v>
      </c>
      <c r="AW46" s="37" t="n">
        <f aca="false">0.5*(B46-B45)*(T46+T45)</f>
        <v>7.40491160579559E-012</v>
      </c>
      <c r="AX46" s="37" t="n">
        <f aca="false">0.5*(B46-B45)*(U46+U45)</f>
        <v>5.63397397855802E-012</v>
      </c>
      <c r="AY46" s="37" t="n">
        <f aca="false">0.5*(B46-B45)*(V46+V45)</f>
        <v>7.39711481667113E-009</v>
      </c>
      <c r="AZ46" s="37" t="n">
        <f aca="false">0.5*(B46-B45)*(W46+W45)</f>
        <v>7.79867301509741E-009</v>
      </c>
      <c r="BA46" s="37" t="n">
        <f aca="false">0.5*(B46-B45)*(X46+X45)</f>
        <v>2.07722584121326E-011</v>
      </c>
      <c r="BB46" s="37" t="n">
        <f aca="false">0.5*(B46-B45)*(Y46+Y45)</f>
        <v>1.1840843265258E-009</v>
      </c>
      <c r="BC46" s="37" t="n">
        <f aca="false">0.5*(B46-B45)*(Z46+Z45)</f>
        <v>3.87795276120328E-012</v>
      </c>
      <c r="BD46" s="37" t="n">
        <f aca="false">0.5*(B46-B45)*(AA46+AA45)</f>
        <v>1.64182378565332E-008</v>
      </c>
      <c r="BE46" s="37" t="n">
        <f aca="false">IF(B46&gt;2000,AK46,-999)</f>
        <v>-999</v>
      </c>
      <c r="BF46" s="37" t="n">
        <f aca="false">IF(AND(B46&lt;1000,AK46&gt;=-3),B46,1000000000)</f>
        <v>1000000000</v>
      </c>
    </row>
    <row r="47" customFormat="false" ht="15" hidden="false" customHeight="false" outlineLevel="0" collapsed="false">
      <c r="A47" s="5" t="n">
        <v>8</v>
      </c>
      <c r="B47" s="47" t="n">
        <f aca="false">20*10^(A47/100)</f>
        <v>24.0452886923483</v>
      </c>
      <c r="C47" s="37" t="n">
        <f aca="false">2*PI()*B47</f>
        <v>151.081004618654</v>
      </c>
      <c r="D47" s="37" t="n">
        <f aca="false">SQRT(L_Rp0^2+L_Rp1^2*C47)</f>
        <v>76830630.2427343</v>
      </c>
      <c r="E47" s="5" t="str">
        <f aca="false">COMPLEX(D47,C47*L_Mp)</f>
        <v>76830630.2427343+2231877.25266586i</v>
      </c>
      <c r="F47" s="5" t="str">
        <f aca="false">IMDIV(1,E47)</f>
        <v>1.3004668132879e-08-3.77776713435018e-10i</v>
      </c>
      <c r="G47" s="5" t="str">
        <f aca="false">COMPLEX(0,C47*L_Cf)</f>
        <v>1.59755741375335e-13i</v>
      </c>
      <c r="H47" s="5" t="str">
        <f aca="false">COMPLEX(0,C47*L_Cbv)</f>
        <v>1.59755741375335e-12i</v>
      </c>
      <c r="I47" s="5" t="str">
        <f aca="false">COMPLEX(L_Rsq+L_Rh,C47*(L_Md+L_Mh)-1/(C47*L_Cd))</f>
        <v>552400610.124532-7624904275376.72i</v>
      </c>
      <c r="J47" s="5" t="str">
        <f aca="false">IMDIV(1,I47)</f>
        <v>9.5013508577685e-18+1.31149186748583e-13i</v>
      </c>
      <c r="K47" s="5" t="str">
        <f aca="false">IMSUM(F47,G47,H47)</f>
        <v>1.3004668132879e-08-3.76019400279889e-10i</v>
      </c>
      <c r="L47" s="5" t="str">
        <f aca="false">IMSUM(IMPRODUCT(IMSUM(F47,G47),H47),IMPRODUCT(IMSUM(J47,L_Yv),K47))</f>
        <v>2.66620392365436e-20+2.17292132653931e-20i</v>
      </c>
      <c r="M47" s="37" t="n">
        <f aca="false">IMABS(IMDIV(IMPRODUCT(J47,F47,H47),L47))^2</f>
        <v>6.28081251015623E-027</v>
      </c>
      <c r="N47" s="5" t="str">
        <f aca="false">IMDIV(IMPRODUCT(L_Yv,K47,E47),H47)</f>
        <v>0.00016902738653403-1.25190627802643i</v>
      </c>
      <c r="O47" s="37" t="n">
        <f aca="false">IMABS(IMSUM(1,IMPRODUCT(E47,G47),N47))^2</f>
        <v>2.5675759670936</v>
      </c>
      <c r="P47" s="37" t="n">
        <f aca="false">IMABS(N47)^2</f>
        <v>1.56726935753225</v>
      </c>
      <c r="Q47" s="37" t="n">
        <f aca="false">p_Rb^2/(1+(C47*p_Rb*L_Ctot)^2)</f>
        <v>7.22186906665449E+018</v>
      </c>
      <c r="R47" s="37" t="n">
        <f aca="false">M47*L_Kt^2*Q47</f>
        <v>9.10338404693786E-006</v>
      </c>
      <c r="S47" s="37" t="n">
        <f aca="false">L_kT4*D47</f>
        <v>1.26506395993977E-012</v>
      </c>
      <c r="T47" s="37" t="n">
        <f aca="false">L_kT4*L_Rsq*O47</f>
        <v>1.32627915349203E-011</v>
      </c>
      <c r="U47" s="37" t="n">
        <f aca="false">L_kT4*L_Rh*O47</f>
        <v>1.00908999821548E-011</v>
      </c>
      <c r="V47" s="37" t="n">
        <f aca="false">L_kT4*p_Rv*P47</f>
        <v>1.29030308190106E-008</v>
      </c>
      <c r="W47" s="37" t="n">
        <f aca="false">L_kT4/p_Rb*Q47/R47</f>
        <v>1.30624557791251E-008</v>
      </c>
      <c r="X47" s="37" t="n">
        <f aca="false">p_en^2*(1+p_fc/B47)/R47</f>
        <v>3.62683157219884E-011</v>
      </c>
      <c r="Y47" s="37" t="n">
        <f aca="false">p_in^2*Q47/R47</f>
        <v>1.98329242988593E-009</v>
      </c>
      <c r="Z47" s="37" t="n">
        <f aca="false">p_eo^2/L_G^2/R47</f>
        <v>6.96397376751003E-012</v>
      </c>
      <c r="AA47" s="37" t="n">
        <f aca="false">SUM(S47:Z47)</f>
        <v>2.80166300729881E-008</v>
      </c>
      <c r="AB47" s="47" t="n">
        <f aca="false">10*LOG10(AA47/L_PREF^2)</f>
        <v>18.4535590447826</v>
      </c>
      <c r="AC47" s="47" t="n">
        <f aca="false">10*LOG10(S47/L_PREF^2)</f>
        <v>-24.999475079136</v>
      </c>
      <c r="AD47" s="47" t="n">
        <f aca="false">10*LOG10(T47/L_PREF^2)</f>
        <v>-14.7942504790655</v>
      </c>
      <c r="AE47" s="47" t="n">
        <f aca="false">10*LOG10(U47/L_PREF^2)</f>
        <v>-15.9813008972402</v>
      </c>
      <c r="AF47" s="47" t="n">
        <f aca="false">10*LOG10(V47/L_PREF^2)</f>
        <v>15.0863174326349</v>
      </c>
      <c r="AG47" s="47" t="n">
        <f aca="false">10*LOG10(W47/L_PREF^2)</f>
        <v>15.1396484189448</v>
      </c>
      <c r="AH47" s="47" t="n">
        <f aca="false">10*LOG10(X47/L_PREF^2)</f>
        <v>-10.4253260364471</v>
      </c>
      <c r="AI47" s="47" t="n">
        <f aca="false">10*LOG10(Y47/L_PREF^2)</f>
        <v>6.95326762878565</v>
      </c>
      <c r="AJ47" s="47" t="n">
        <f aca="false">10*LOG10(Z47/L_PREF^2)</f>
        <v>-17.5920286481706</v>
      </c>
      <c r="AK47" s="47" t="n">
        <f aca="false">10*LOG10(R47/$R$6)</f>
        <v>-3.69568039825541</v>
      </c>
      <c r="AL47" s="37" t="n">
        <f aca="false">(12194^2*B47^4/((B47^2+20.6^2)*SQRT((B47^2+107.7^2)*(B47^2+737.9^2))*(B47^2+12194^2))*1.2589254)^2</f>
        <v>2.65475134834928E-005</v>
      </c>
      <c r="AM47" s="37" t="n">
        <f aca="false">0.5*(B47-B46)*(S47*AL47+S46*AL46)</f>
        <v>1.7265767667896E-017</v>
      </c>
      <c r="AN47" s="37" t="n">
        <f aca="false">0.5*(B47-B46)*(T47*AL47+T46*AL46)</f>
        <v>1.83452452897746E-016</v>
      </c>
      <c r="AO47" s="37" t="n">
        <f aca="false">0.5*(B47-B46)*(U47*AL47+U46*AL46)</f>
        <v>1.39578485328522E-016</v>
      </c>
      <c r="AP47" s="37" t="n">
        <f aca="false">0.5*(B47-B46)*(V47*AL47+V46*AL46)</f>
        <v>1.79988477699328E-013</v>
      </c>
      <c r="AQ47" s="37" t="n">
        <f aca="false">0.5*(B47-B46)*(W47*AL47+W46*AL46)</f>
        <v>1.84567274578276E-013</v>
      </c>
      <c r="AR47" s="37" t="n">
        <f aca="false">0.5*(B47-B46)*(X47*AL47+X46*AL46)</f>
        <v>5.05716366394095E-016</v>
      </c>
      <c r="AS47" s="37" t="n">
        <f aca="false">0.5*(B47-B46)*(Y47*AL47+Y46*AL46)</f>
        <v>2.80231286264526E-014</v>
      </c>
      <c r="AT47" s="37" t="n">
        <f aca="false">0.5*(B47-B46)*(Z47*AL47+Z46*AL46)</f>
        <v>9.62466751675393E-017</v>
      </c>
      <c r="AU47" s="37" t="n">
        <f aca="false">0.5*(B47-B46)*(AA47*AL47+AA46*AL46)</f>
        <v>3.93521140651512E-013</v>
      </c>
      <c r="AV47" s="37" t="n">
        <f aca="false">0.5*(B47-B46)*(S47+S46)</f>
        <v>6.92398419289688E-013</v>
      </c>
      <c r="AW47" s="37" t="n">
        <f aca="false">0.5*(B47-B46)*(T47+T46)</f>
        <v>7.36364065861165E-012</v>
      </c>
      <c r="AX47" s="37" t="n">
        <f aca="false">0.5*(B47-B46)*(U47+U46)</f>
        <v>5.60257327387941E-012</v>
      </c>
      <c r="AY47" s="37" t="n">
        <f aca="false">0.5*(B47-B46)*(V47+V46)</f>
        <v>7.22873343899727E-009</v>
      </c>
      <c r="AZ47" s="37" t="n">
        <f aca="false">0.5*(B47-B46)*(W47+W46)</f>
        <v>7.41901153938871E-009</v>
      </c>
      <c r="BA47" s="37" t="n">
        <f aca="false">0.5*(B47-B46)*(X47+X46)</f>
        <v>2.03101351286416E-011</v>
      </c>
      <c r="BB47" s="37" t="n">
        <f aca="false">0.5*(B47-B46)*(Y47+Y46)</f>
        <v>1.12643975008285E-009</v>
      </c>
      <c r="BC47" s="37" t="n">
        <f aca="false">0.5*(B47-B46)*(Z47+Z46)</f>
        <v>3.86304950068139E-012</v>
      </c>
      <c r="BD47" s="37" t="n">
        <f aca="false">0.5*(B47-B46)*(AA47+AA46)</f>
        <v>1.58120165254499E-008</v>
      </c>
      <c r="BE47" s="37" t="n">
        <f aca="false">IF(B47&gt;2000,AK47,-999)</f>
        <v>-999</v>
      </c>
      <c r="BF47" s="37" t="n">
        <f aca="false">IF(AND(B47&lt;1000,AK47&gt;=-3),B47,1000000000)</f>
        <v>1000000000</v>
      </c>
    </row>
    <row r="48" customFormat="false" ht="15" hidden="false" customHeight="false" outlineLevel="0" collapsed="false">
      <c r="A48" s="5" t="n">
        <v>9</v>
      </c>
      <c r="B48" s="47" t="n">
        <f aca="false">20*10^(A48/100)</f>
        <v>24.6053754162476</v>
      </c>
      <c r="C48" s="37" t="n">
        <f aca="false">2*PI()*B48</f>
        <v>154.600133293005</v>
      </c>
      <c r="D48" s="37" t="n">
        <f aca="false">SQRT(L_Rp0^2+L_Rp1^2*C48)</f>
        <v>76834863.9191492</v>
      </c>
      <c r="E48" s="5" t="str">
        <f aca="false">COMPLEX(D48,C48*L_Mp)</f>
        <v>76834863.9191492+2283864.35228379i</v>
      </c>
      <c r="F48" s="5" t="str">
        <f aca="false">IMDIV(1,E48)</f>
        <v>1.3003436117082e-08-3.86518341937241e-10i</v>
      </c>
      <c r="G48" s="5" t="str">
        <f aca="false">COMPLEX(0,C48*L_Cf)</f>
        <v>1.63476930625997e-13i</v>
      </c>
      <c r="H48" s="5" t="str">
        <f aca="false">COMPLEX(0,C48*L_Cbv)</f>
        <v>1.63476930625997e-12i</v>
      </c>
      <c r="I48" s="5" t="str">
        <f aca="false">COMPLEX(L_Rsq+L_Rh,C48*(L_Md+L_Mh)-1/(C48*L_Cd))</f>
        <v>552400610.124532-7451340237904.98i</v>
      </c>
      <c r="J48" s="5" t="str">
        <f aca="false">IMDIV(1,I48)</f>
        <v>9.94913579577026e-18+1.34204044182158e-13i</v>
      </c>
      <c r="K48" s="5" t="str">
        <f aca="false">IMSUM(F48,G48,H48)</f>
        <v>1.3003436117082e-08-3.84720095700355e-10i</v>
      </c>
      <c r="L48" s="5" t="str">
        <f aca="false">IMSUM(IMPRODUCT(IMSUM(F48,G48),H48),IMPRODUCT(IMSUM(J48,L_Yv),K48))</f>
        <v>2.66902336744739e-20+2.22332879362616e-20i</v>
      </c>
      <c r="M48" s="37" t="n">
        <f aca="false">IMABS(IMDIV(IMPRODUCT(J48,F48,H48),L48))^2</f>
        <v>6.75070433417541E-027</v>
      </c>
      <c r="N48" s="5" t="str">
        <f aca="false">IMDIV(IMPRODUCT(L_Yv,K48,E48),H48)</f>
        <v>0.000169036700622166-1.22340918589586i</v>
      </c>
      <c r="O48" s="37" t="n">
        <f aca="false">IMABS(IMSUM(1,IMPRODUCT(E48,G48),N48))^2</f>
        <v>2.4970366576031</v>
      </c>
      <c r="P48" s="37" t="n">
        <f aca="false">IMABS(N48)^2</f>
        <v>1.49673006470778</v>
      </c>
      <c r="Q48" s="37" t="n">
        <f aca="false">p_Rb^2/(1+(C48*p_Rb*L_Ctot)^2)</f>
        <v>6.89683365760319E+018</v>
      </c>
      <c r="R48" s="37" t="n">
        <f aca="false">M48*L_Kt^2*Q48</f>
        <v>9.34407388621703E-006</v>
      </c>
      <c r="S48" s="37" t="n">
        <f aca="false">L_kT4*D48</f>
        <v>1.26513367004672E-012</v>
      </c>
      <c r="T48" s="37" t="n">
        <f aca="false">L_kT4*L_Rsq*O48</f>
        <v>1.28984213395376E-011</v>
      </c>
      <c r="U48" s="37" t="n">
        <f aca="false">L_kT4*L_Rh*O48</f>
        <v>9.8136715277676E-012</v>
      </c>
      <c r="V48" s="37" t="n">
        <f aca="false">L_kT4*p_Rv*P48</f>
        <v>1.23222942245693E-008</v>
      </c>
      <c r="W48" s="37" t="n">
        <f aca="false">L_kT4/p_Rb*Q48/R48</f>
        <v>1.21532260353264E-008</v>
      </c>
      <c r="X48" s="37" t="n">
        <f aca="false">p_en^2*(1+p_fc/B48)/R48</f>
        <v>3.4685702309202E-011</v>
      </c>
      <c r="Y48" s="37" t="n">
        <f aca="false">p_in^2*Q48/R48</f>
        <v>1.84524270184132E-009</v>
      </c>
      <c r="Z48" s="37" t="n">
        <f aca="false">p_eo^2/L_G^2/R48</f>
        <v>6.78459186757463E-012</v>
      </c>
      <c r="AA48" s="37" t="n">
        <f aca="false">SUM(S48:Z48)</f>
        <v>2.63862104824512E-008</v>
      </c>
      <c r="AB48" s="47" t="n">
        <f aca="false">10*LOG10(AA48/L_PREF^2)</f>
        <v>18.1931703114919</v>
      </c>
      <c r="AC48" s="47" t="n">
        <f aca="false">10*LOG10(S48/L_PREF^2)</f>
        <v>-24.9992357720208</v>
      </c>
      <c r="AD48" s="47" t="n">
        <f aca="false">10*LOG10(T48/L_PREF^2)</f>
        <v>-14.9152343184127</v>
      </c>
      <c r="AE48" s="47" t="n">
        <f aca="false">10*LOG10(U48/L_PREF^2)</f>
        <v>-16.1022847365875</v>
      </c>
      <c r="AF48" s="47" t="n">
        <f aca="false">10*LOG10(V48/L_PREF^2)</f>
        <v>14.8863158308409</v>
      </c>
      <c r="AG48" s="47" t="n">
        <f aca="false">10*LOG10(W48/L_PREF^2)</f>
        <v>14.8263158400326</v>
      </c>
      <c r="AH48" s="47" t="n">
        <f aca="false">10*LOG10(X48/L_PREF^2)</f>
        <v>-10.6190949889509</v>
      </c>
      <c r="AI48" s="47" t="n">
        <f aca="false">10*LOG10(Y48/L_PREF^2)</f>
        <v>6.6399350498734</v>
      </c>
      <c r="AJ48" s="47" t="n">
        <f aca="false">10*LOG10(Z48/L_PREF^2)</f>
        <v>-17.7053626387037</v>
      </c>
      <c r="AK48" s="47" t="n">
        <f aca="false">10*LOG10(R48/$R$6)</f>
        <v>-3.58234640772235</v>
      </c>
      <c r="AL48" s="37" t="n">
        <f aca="false">(12194^2*B48^4/((B48^2+20.6^2)*SQRT((B48^2+107.7^2)*(B48^2+737.9^2))*(B48^2+12194^2))*1.2589254)^2</f>
        <v>3.0181335399803E-005</v>
      </c>
      <c r="AM48" s="37" t="n">
        <f aca="false">0.5*(B48-B47)*(S48*AL48+S47*AL47)</f>
        <v>2.00980753119995E-017</v>
      </c>
      <c r="AN48" s="37" t="n">
        <f aca="false">0.5*(B48-B47)*(T48*AL48+T47*AL47)</f>
        <v>2.07620148880199E-016</v>
      </c>
      <c r="AO48" s="37" t="n">
        <f aca="false">0.5*(B48-B47)*(U48*AL48+U47*AL47)</f>
        <v>1.57966303784082E-016</v>
      </c>
      <c r="AP48" s="37" t="n">
        <f aca="false">0.5*(B48-B47)*(V48*AL48+V47*AL47)</f>
        <v>2.00076050070041E-013</v>
      </c>
      <c r="AQ48" s="37" t="n">
        <f aca="false">0.5*(B48-B47)*(W48*AL48+W47*AL47)</f>
        <v>1.99832309444127E-013</v>
      </c>
      <c r="AR48" s="37" t="n">
        <f aca="false">0.5*(B48-B47)*(X48*AL48+X47*AL47)</f>
        <v>5.62801580643083E-016</v>
      </c>
      <c r="AS48" s="37" t="n">
        <f aca="false">0.5*(B48-B47)*(Y48*AL48+Y47*AL47)</f>
        <v>3.03408419724966E-014</v>
      </c>
      <c r="AT48" s="37" t="n">
        <f aca="false">0.5*(B48-B47)*(Z48*AL48+Z47*AL47)</f>
        <v>1.09117280188864E-016</v>
      </c>
      <c r="AU48" s="37" t="n">
        <f aca="false">0.5*(B48-B47)*(AA48*AL48+AA47*AL47)</f>
        <v>4.31306804875472E-013</v>
      </c>
      <c r="AV48" s="37" t="n">
        <f aca="false">0.5*(B48-B47)*(S48+S47)</f>
        <v>7.08565050698547E-013</v>
      </c>
      <c r="AW48" s="37" t="n">
        <f aca="false">0.5*(B48-B47)*(T48+T47)</f>
        <v>7.32627400604461E-012</v>
      </c>
      <c r="AX48" s="37" t="n">
        <f aca="false">0.5*(B48-B47)*(U48+U47)</f>
        <v>5.57414312380662E-012</v>
      </c>
      <c r="AY48" s="37" t="n">
        <f aca="false">0.5*(B48-B47)*(V48+V47)</f>
        <v>7.06418483147775E-009</v>
      </c>
      <c r="AZ48" s="37" t="n">
        <f aca="false">0.5*(B48-B47)*(W48+W47)</f>
        <v>7.0614843091726E-009</v>
      </c>
      <c r="BA48" s="37" t="n">
        <f aca="false">0.5*(B48-B47)*(X48+X47)</f>
        <v>1.98702017532933E-011</v>
      </c>
      <c r="BB48" s="37" t="n">
        <f aca="false">0.5*(B48-B47)*(Y48+Y47)</f>
        <v>1.07215584963139E-009</v>
      </c>
      <c r="BC48" s="37" t="n">
        <f aca="false">0.5*(B48-B47)*(Z48+Z47)</f>
        <v>3.85019454243505E-012</v>
      </c>
      <c r="BD48" s="37" t="n">
        <f aca="false">0.5*(B48-B47)*(AA48+AA47)</f>
        <v>1.5235154368758E-008</v>
      </c>
      <c r="BE48" s="37" t="n">
        <f aca="false">IF(B48&gt;2000,AK48,-999)</f>
        <v>-999</v>
      </c>
      <c r="BF48" s="37" t="n">
        <f aca="false">IF(AND(B48&lt;1000,AK48&gt;=-3),B48,1000000000)</f>
        <v>1000000000</v>
      </c>
    </row>
    <row r="49" customFormat="false" ht="15" hidden="false" customHeight="false" outlineLevel="0" collapsed="false">
      <c r="A49" s="5" t="n">
        <v>10</v>
      </c>
      <c r="B49" s="47" t="n">
        <f aca="false">20*10^(A49/100)</f>
        <v>25.1785082358833</v>
      </c>
      <c r="C49" s="37" t="n">
        <f aca="false">2*PI()*B49</f>
        <v>158.201233004402</v>
      </c>
      <c r="D49" s="37" t="n">
        <f aca="false">SQRT(L_Rp0^2+L_Rp1^2*C49)</f>
        <v>76839195.9690761</v>
      </c>
      <c r="E49" s="5" t="str">
        <f aca="false">COMPLEX(D49,C49*L_Mp)</f>
        <v>76839195.9690761+2337062.38701183i</v>
      </c>
      <c r="F49" s="5" t="str">
        <f aca="false">IMDIV(1,E49)</f>
        <v>1.30021634340663e-08-3.9546050330571e-10i</v>
      </c>
      <c r="G49" s="5" t="str">
        <f aca="false">COMPLEX(0,C49*L_Cf)</f>
        <v>1.67284797509149e-13i</v>
      </c>
      <c r="H49" s="5" t="str">
        <f aca="false">COMPLEX(0,C49*L_Cbv)</f>
        <v>1.67284797509149e-12i</v>
      </c>
      <c r="I49" s="5" t="str">
        <f aca="false">COMPLEX(L_Rsq+L_Rh,C49*(L_Md+L_Mh)-1/(C49*L_Cd))</f>
        <v>552400610.124532-7281726999657.51i</v>
      </c>
      <c r="J49" s="5" t="str">
        <f aca="false">IMDIV(1,I49)</f>
        <v>1.04180241942565e-17+1.37330058417751e-13i</v>
      </c>
      <c r="K49" s="5" t="str">
        <f aca="false">IMSUM(F49,G49,H49)</f>
        <v>1.30021634340663e-08-3.93620370533109e-10i</v>
      </c>
      <c r="L49" s="5" t="str">
        <f aca="false">IMSUM(IMPRODUCT(IMSUM(F49,G49),H49),IMPRODUCT(IMSUM(J49,L_Yv),K49))</f>
        <v>2.67197836936143e-20+2.27489857946311e-20i</v>
      </c>
      <c r="M49" s="37" t="n">
        <f aca="false">IMABS(IMDIV(IMPRODUCT(J49,F49,H49),L49))^2</f>
        <v>7.25196224332205E-027</v>
      </c>
      <c r="N49" s="5" t="str">
        <f aca="false">IMDIV(IMPRODUCT(L_Yv,K49,E49),H49)</f>
        <v>0.000169046231132011-1.19556076150939i</v>
      </c>
      <c r="O49" s="37" t="n">
        <f aca="false">IMABS(IMSUM(1,IMPRODUCT(E49,G49),N49))^2</f>
        <v>2.42967213807677</v>
      </c>
      <c r="P49" s="37" t="n">
        <f aca="false">IMABS(N49)^2</f>
        <v>1.42936556303754</v>
      </c>
      <c r="Q49" s="37" t="n">
        <f aca="false">p_Rb^2/(1+(C49*p_Rb*L_Ctot)^2)</f>
        <v>6.58642705451806E+018</v>
      </c>
      <c r="R49" s="37" t="n">
        <f aca="false">M49*L_Kt^2*Q49</f>
        <v>9.58611965763237E-006</v>
      </c>
      <c r="S49" s="37" t="n">
        <f aca="false">L_kT4*D49</f>
        <v>1.26520499993452E-012</v>
      </c>
      <c r="T49" s="37" t="n">
        <f aca="false">L_kT4*L_Rsq*O49</f>
        <v>1.25504504943598E-011</v>
      </c>
      <c r="U49" s="37" t="n">
        <f aca="false">L_kT4*L_Rh*O49</f>
        <v>9.54892040156994E-012</v>
      </c>
      <c r="V49" s="37" t="n">
        <f aca="false">L_kT4*p_Rv*P49</f>
        <v>1.17676950824493E-008</v>
      </c>
      <c r="W49" s="37" t="n">
        <f aca="false">L_kT4/p_Rb*Q49/R49</f>
        <v>1.1313191232682E-008</v>
      </c>
      <c r="X49" s="37" t="n">
        <f aca="false">p_en^2*(1+p_fc/B49)/R49</f>
        <v>3.31922661593771E-011</v>
      </c>
      <c r="Y49" s="37" t="n">
        <f aca="false">p_in^2*Q49/R49</f>
        <v>1.71769894643294E-009</v>
      </c>
      <c r="Z49" s="37" t="n">
        <f aca="false">p_eo^2/L_G^2/R49</f>
        <v>6.61328357694446E-012</v>
      </c>
      <c r="AA49" s="37" t="n">
        <f aca="false">SUM(S49:Z49)</f>
        <v>2.48617553871964E-008</v>
      </c>
      <c r="AB49" s="47" t="n">
        <f aca="false">10*LOG10(AA49/L_PREF^2)</f>
        <v>17.9347179782316</v>
      </c>
      <c r="AC49" s="47" t="n">
        <f aca="false">10*LOG10(S49/L_PREF^2)</f>
        <v>-24.9989909180252</v>
      </c>
      <c r="AD49" s="47" t="n">
        <f aca="false">10*LOG10(T49/L_PREF^2)</f>
        <v>-15.0340067637121</v>
      </c>
      <c r="AE49" s="47" t="n">
        <f aca="false">10*LOG10(U49/L_PREF^2)</f>
        <v>-16.2210571818868</v>
      </c>
      <c r="AF49" s="47" t="n">
        <f aca="false">10*LOG10(V49/L_PREF^2)</f>
        <v>14.6863141535571</v>
      </c>
      <c r="AG49" s="47" t="n">
        <f aca="false">10*LOG10(W49/L_PREF^2)</f>
        <v>14.5152513696205</v>
      </c>
      <c r="AH49" s="47" t="n">
        <f aca="false">10*LOG10(X49/L_PREF^2)</f>
        <v>-10.8102308700869</v>
      </c>
      <c r="AI49" s="47" t="n">
        <f aca="false">10*LOG10(Y49/L_PREF^2)</f>
        <v>6.32887057946135</v>
      </c>
      <c r="AJ49" s="47" t="n">
        <f aca="false">10*LOG10(Z49/L_PREF^2)</f>
        <v>-17.8164284572036</v>
      </c>
      <c r="AK49" s="47" t="n">
        <f aca="false">10*LOG10(R49/$R$6)</f>
        <v>-3.47128058922246</v>
      </c>
      <c r="AL49" s="37" t="n">
        <f aca="false">(12194^2*B49^4/((B49^2+20.6^2)*SQRT((B49^2+107.7^2)*(B49^2+737.9^2))*(B49^2+12194^2))*1.2589254)^2</f>
        <v>3.4273807387585E-005</v>
      </c>
      <c r="AM49" s="37" t="n">
        <f aca="false">0.5*(B49-B48)*(S49*AL49+S48*AL48)</f>
        <v>2.33685783203721E-017</v>
      </c>
      <c r="AN49" s="37" t="n">
        <f aca="false">0.5*(B49-B48)*(T49*AL49+T48*AL48)</f>
        <v>2.34824925518282E-016</v>
      </c>
      <c r="AO49" s="37" t="n">
        <f aca="false">0.5*(B49-B48)*(U49*AL49+U48*AL48)</f>
        <v>1.78664863311989E-016</v>
      </c>
      <c r="AP49" s="37" t="n">
        <f aca="false">0.5*(B49-B48)*(V49*AL49+V48*AL48)</f>
        <v>2.22154020917276E-013</v>
      </c>
      <c r="AQ49" s="37" t="n">
        <f aca="false">0.5*(B49-B48)*(W49*AL49+W48*AL48)</f>
        <v>2.16227747000166E-013</v>
      </c>
      <c r="AR49" s="37" t="n">
        <f aca="false">0.5*(B49-B48)*(X49*AL49+X48*AL48)</f>
        <v>6.26000353897155E-016</v>
      </c>
      <c r="AS49" s="37" t="n">
        <f aca="false">0.5*(B49-B48)*(Y49*AL49+Y48*AL48)</f>
        <v>3.28301860697623E-014</v>
      </c>
      <c r="AT49" s="37" t="n">
        <f aca="false">0.5*(B49-B48)*(Z49*AL49+Z48*AL48)</f>
        <v>1.2363347520614E-016</v>
      </c>
      <c r="AU49" s="37" t="n">
        <f aca="false">0.5*(B49-B48)*(AA49*AL49+AA48*AL48)</f>
        <v>4.72398446183459E-013</v>
      </c>
      <c r="AV49" s="37" t="n">
        <f aca="false">0.5*(B49-B48)*(S49+S48)</f>
        <v>7.25110068279813E-013</v>
      </c>
      <c r="AW49" s="37" t="n">
        <f aca="false">0.5*(B49-B48)*(T49+T48)</f>
        <v>7.29279183535473E-012</v>
      </c>
      <c r="AX49" s="37" t="n">
        <f aca="false">0.5*(B49-B48)*(U49+U48)</f>
        <v>5.54866845395847E-012</v>
      </c>
      <c r="AY49" s="37" t="n">
        <f aca="false">0.5*(B49-B48)*(V49+V48)</f>
        <v>6.9033817482629E-009</v>
      </c>
      <c r="AZ49" s="37" t="n">
        <f aca="false">0.5*(B49-B48)*(W49+W48)</f>
        <v>6.72468694778092E-009</v>
      </c>
      <c r="BA49" s="37" t="n">
        <f aca="false">0.5*(B49-B48)*(X49+X48)</f>
        <v>1.94515457297704E-011</v>
      </c>
      <c r="BB49" s="37" t="n">
        <f aca="false">0.5*(B49-B48)*(Y49+Y48)</f>
        <v>1.02101939653647E-009</v>
      </c>
      <c r="BC49" s="37" t="n">
        <f aca="false">0.5*(B49-B48)*(Z49+Z48)</f>
        <v>3.83938106532266E-012</v>
      </c>
      <c r="BD49" s="37" t="n">
        <f aca="false">0.5*(B49-B48)*(AA49+AA48)</f>
        <v>1.4685945589733E-008</v>
      </c>
      <c r="BE49" s="37" t="n">
        <f aca="false">IF(B49&gt;2000,AK49,-999)</f>
        <v>-999</v>
      </c>
      <c r="BF49" s="37" t="n">
        <f aca="false">IF(AND(B49&lt;1000,AK49&gt;=-3),B49,1000000000)</f>
        <v>1000000000</v>
      </c>
    </row>
    <row r="50" customFormat="false" ht="15" hidden="false" customHeight="false" outlineLevel="0" collapsed="false">
      <c r="A50" s="5" t="n">
        <v>11</v>
      </c>
      <c r="B50" s="47" t="n">
        <f aca="false">20*10^(A50/100)</f>
        <v>25.7649910338627</v>
      </c>
      <c r="C50" s="37" t="n">
        <f aca="false">2*PI()*B50</f>
        <v>161.88621310358</v>
      </c>
      <c r="D50" s="37" t="n">
        <f aca="false">SQRT(L_Rp0^2+L_Rp1^2*C50)</f>
        <v>76843628.6725906</v>
      </c>
      <c r="E50" s="5" t="str">
        <f aca="false">COMPLEX(D50,C50*L_Mp)</f>
        <v>76843628.6725906+2391499.56315214i</v>
      </c>
      <c r="F50" s="5" t="str">
        <f aca="false">IMDIV(1,E50)</f>
        <v>1.30008485820411e-08-4.0460769801789e-10i</v>
      </c>
      <c r="G50" s="5" t="str">
        <f aca="false">COMPLEX(0,C50*L_Cf)</f>
        <v>1.71181361006217e-13i</v>
      </c>
      <c r="H50" s="5" t="str">
        <f aca="false">COMPLEX(0,C50*L_Cbv)</f>
        <v>1.71181361006217e-12i</v>
      </c>
      <c r="I50" s="5" t="str">
        <f aca="false">COMPLEX(L_Rsq+L_Rh,C50*(L_Md+L_Mh)-1/(C50*L_Cd))</f>
        <v>552400610.124532-7115974629450.32i</v>
      </c>
      <c r="J50" s="5" t="str">
        <f aca="false">IMDIV(1,I50)</f>
        <v>1.09090106293075e-17+1.40528886912446e-13i</v>
      </c>
      <c r="K50" s="5" t="str">
        <f aca="false">IMSUM(F50,G50,H50)</f>
        <v>1.30008485820411e-08-4.02724703046822e-10i</v>
      </c>
      <c r="L50" s="5" t="str">
        <f aca="false">IMSUM(IMPRODUCT(IMSUM(F50,G50),H50),IMPRODUCT(IMSUM(J50,L_Yv),K50))</f>
        <v>2.67507533783483e-20+2.32765705258252e-20i</v>
      </c>
      <c r="M50" s="37" t="n">
        <f aca="false">IMABS(IMDIV(IMPRODUCT(J50,F50,H50),L50))^2</f>
        <v>7.78635162604413E-027</v>
      </c>
      <c r="N50" s="5" t="str">
        <f aca="false">IMDIV(IMPRODUCT(L_Yv,K50,E50),H50)</f>
        <v>0.000169055983079658-1.16834623926379i</v>
      </c>
      <c r="O50" s="37" t="n">
        <f aca="false">IMABS(IMSUM(1,IMPRODUCT(E50,G50),N50))^2</f>
        <v>2.36533951930936</v>
      </c>
      <c r="P50" s="37" t="n">
        <f aca="false">IMABS(N50)^2</f>
        <v>1.36503296338177</v>
      </c>
      <c r="Q50" s="37" t="n">
        <f aca="false">p_Rb^2/(1+(C50*p_Rb*L_Ctot)^2)</f>
        <v>6.28999087002838E+018</v>
      </c>
      <c r="R50" s="37" t="n">
        <f aca="false">M50*L_Kt^2*Q50</f>
        <v>9.82927424457703E-006</v>
      </c>
      <c r="S50" s="37" t="n">
        <f aca="false">L_kT4*D50</f>
        <v>1.26527798714605E-012</v>
      </c>
      <c r="T50" s="37" t="n">
        <f aca="false">L_kT4*L_Rsq*O50</f>
        <v>1.22181409064283E-011</v>
      </c>
      <c r="U50" s="37" t="n">
        <f aca="false">L_kT4*L_Rh*O50</f>
        <v>9.29608503081873E-012</v>
      </c>
      <c r="V50" s="37" t="n">
        <f aca="false">L_kT4*p_Rv*P50</f>
        <v>1.12380570135136E-008</v>
      </c>
      <c r="W50" s="37" t="n">
        <f aca="false">L_kT4/p_Rb*Q50/R50</f>
        <v>1.05367493803479E-008</v>
      </c>
      <c r="X50" s="37" t="n">
        <f aca="false">p_en^2*(1+p_fc/B50)/R50</f>
        <v>3.17825171572089E-011</v>
      </c>
      <c r="Y50" s="37" t="n">
        <f aca="false">p_in^2*Q50/R50</f>
        <v>1.59981060491284E-009</v>
      </c>
      <c r="Z50" s="37" t="n">
        <f aca="false">p_eo^2/L_G^2/R50</f>
        <v>6.44968551298902E-012</v>
      </c>
      <c r="AA50" s="37" t="n">
        <f aca="false">SUM(S50:Z50)</f>
        <v>2.3435628705369E-008</v>
      </c>
      <c r="AB50" s="47" t="n">
        <f aca="false">10*LOG10(AA50/L_PREF^2)</f>
        <v>17.6781661746106</v>
      </c>
      <c r="AC50" s="47" t="n">
        <f aca="false">10*LOG10(S50/L_PREF^2)</f>
        <v>-24.9987403892258</v>
      </c>
      <c r="AD50" s="47" t="n">
        <f aca="false">10*LOG10(T50/L_PREF^2)</f>
        <v>-15.1505486197645</v>
      </c>
      <c r="AE50" s="47" t="n">
        <f aca="false">10*LOG10(U50/L_PREF^2)</f>
        <v>-16.3375990379392</v>
      </c>
      <c r="AF50" s="47" t="n">
        <f aca="false">10*LOG10(V50/L_PREF^2)</f>
        <v>14.4863123972257</v>
      </c>
      <c r="AG50" s="47" t="n">
        <f aca="false">10*LOG10(W50/L_PREF^2)</f>
        <v>14.2064665902521</v>
      </c>
      <c r="AH50" s="47" t="n">
        <f aca="false">10*LOG10(X50/L_PREF^2)</f>
        <v>-10.9987170121951</v>
      </c>
      <c r="AI50" s="47" t="n">
        <f aca="false">10*LOG10(Y50/L_PREF^2)</f>
        <v>6.0200858000929</v>
      </c>
      <c r="AJ50" s="47" t="n">
        <f aca="false">10*LOG10(Z50/L_PREF^2)</f>
        <v>-17.9252145239863</v>
      </c>
      <c r="AK50" s="47" t="n">
        <f aca="false">10*LOG10(R50/$R$6)</f>
        <v>-3.36249452243973</v>
      </c>
      <c r="AL50" s="37" t="n">
        <f aca="false">(12194^2*B50^4/((B50^2+20.6^2)*SQRT((B50^2+107.7^2)*(B50^2+737.9^2))*(B50^2+12194^2))*1.2589254)^2</f>
        <v>3.88774249656832E-005</v>
      </c>
      <c r="AM50" s="37" t="n">
        <f aca="false">0.5*(B50-B49)*(S50*AL50+S49*AL49)</f>
        <v>2.71407062229971E-017</v>
      </c>
      <c r="AN50" s="37" t="n">
        <f aca="false">0.5*(B50-B49)*(T50*AL50+T49*AL49)</f>
        <v>2.6543084779071E-016</v>
      </c>
      <c r="AO50" s="37" t="n">
        <f aca="false">0.5*(B50-B49)*(U50*AL50+U49*AL49)</f>
        <v>2.01951160144711E-016</v>
      </c>
      <c r="AP50" s="37" t="n">
        <f aca="false">0.5*(B50-B49)*(V50*AL50+V49*AL49)</f>
        <v>2.46390347633315E-013</v>
      </c>
      <c r="AQ50" s="37" t="n">
        <f aca="false">0.5*(B50-B49)*(W50*AL50+W49*AL49)</f>
        <v>2.33827120068993E-013</v>
      </c>
      <c r="AR50" s="37" t="n">
        <f aca="false">0.5*(B50-B49)*(X50*AL50+X49*AL49)</f>
        <v>6.95934494201681E-016</v>
      </c>
      <c r="AS50" s="37" t="n">
        <f aca="false">0.5*(B50-B49)*(Y50*AL50+Y49*AL49)</f>
        <v>3.5502325517991E-014</v>
      </c>
      <c r="AT50" s="37" t="n">
        <f aca="false">0.5*(B50-B49)*(Z50*AL50+Z49*AL49)</f>
        <v>1.39996250813416E-016</v>
      </c>
      <c r="AU50" s="37" t="n">
        <f aca="false">0.5*(B50-B49)*(AA50*AL50+AA49*AL49)</f>
        <v>5.17050246679472E-013</v>
      </c>
      <c r="AV50" s="37" t="n">
        <f aca="false">0.5*(B50-B49)*(S50+S49)</f>
        <v>7.4204237125106E-013</v>
      </c>
      <c r="AW50" s="37" t="n">
        <f aca="false">0.5*(B50-B49)*(T50+T49)</f>
        <v>7.26317639337056E-012</v>
      </c>
      <c r="AX50" s="37" t="n">
        <f aca="false">0.5*(B50-B49)*(U50+U49)</f>
        <v>5.52613575696155E-012</v>
      </c>
      <c r="AY50" s="37" t="n">
        <f aca="false">0.5*(B50-B49)*(V50+V49)</f>
        <v>6.74623892942967E-009</v>
      </c>
      <c r="AZ50" s="37" t="n">
        <f aca="false">0.5*(B50-B49)*(W50+W49)</f>
        <v>6.40730715320605E-009</v>
      </c>
      <c r="BA50" s="37" t="n">
        <f aca="false">0.5*(B50-B49)*(X50+X49)</f>
        <v>1.90532963588062E-011</v>
      </c>
      <c r="BB50" s="37" t="n">
        <f aca="false">0.5*(B50-B49)*(Y50+Y49)</f>
        <v>9.7283114199822E-010</v>
      </c>
      <c r="BC50" s="37" t="n">
        <f aca="false">0.5*(B50-B49)*(Z50+Z49)</f>
        <v>3.83060333089088E-012</v>
      </c>
      <c r="BD50" s="37" t="n">
        <f aca="false">0.5*(B50-B49)*(AA50+AA49)</f>
        <v>1.41627924788452E-008</v>
      </c>
      <c r="BE50" s="37" t="n">
        <f aca="false">IF(B50&gt;2000,AK50,-999)</f>
        <v>-999</v>
      </c>
      <c r="BF50" s="37" t="n">
        <f aca="false">IF(AND(B50&lt;1000,AK50&gt;=-3),B50,1000000000)</f>
        <v>1000000000</v>
      </c>
    </row>
    <row r="51" customFormat="false" ht="15" hidden="false" customHeight="false" outlineLevel="0" collapsed="false">
      <c r="A51" s="5" t="n">
        <v>12</v>
      </c>
      <c r="B51" s="47" t="n">
        <f aca="false">20*10^(A51/100)</f>
        <v>26.3651347711281</v>
      </c>
      <c r="C51" s="37" t="n">
        <f aca="false">2*PI()*B51</f>
        <v>165.657027415762</v>
      </c>
      <c r="D51" s="37" t="n">
        <f aca="false">SQRT(L_Rp0^2+L_Rp1^2*C51)</f>
        <v>76848164.3623468</v>
      </c>
      <c r="E51" s="5" t="str">
        <f aca="false">COMPLEX(D51,C51*L_Mp)</f>
        <v>76848164.3623468+2447204.74401607i</v>
      </c>
      <c r="F51" s="5" t="str">
        <f aca="false">IMDIV(1,E51)</f>
        <v>1.2999489998858e-08-4.13964521585655e-10i</v>
      </c>
      <c r="G51" s="5" t="str">
        <f aca="false">COMPLEX(0,C51*L_Cf)</f>
        <v>1.75168687126744e-13i</v>
      </c>
      <c r="H51" s="5" t="str">
        <f aca="false">COMPLEX(0,C51*L_Cbv)</f>
        <v>1.75168687126744e-12i</v>
      </c>
      <c r="I51" s="5" t="str">
        <f aca="false">COMPLEX(L_Rsq+L_Rh,C51*(L_Md+L_Mh)-1/(C51*L_Cd))</f>
        <v>552400610.124532-6953995243182.73i</v>
      </c>
      <c r="J51" s="5" t="str">
        <f aca="false">IMDIV(1,I51)</f>
        <v>1.14231365499908e-17+1.43802225730625e-13i</v>
      </c>
      <c r="K51" s="5" t="str">
        <f aca="false">IMSUM(F51,G51,H51)</f>
        <v>1.2999489998858e-08-4.12037666027261e-10i</v>
      </c>
      <c r="L51" s="5" t="str">
        <f aca="false">IMSUM(IMPRODUCT(IMSUM(F51,G51),H51),IMPRODUCT(IMSUM(J51,L_Yv),K51))</f>
        <v>2.67832098030675e-20+2.38163115205536e-20i</v>
      </c>
      <c r="M51" s="37" t="n">
        <f aca="false">IMABS(IMDIV(IMPRODUCT(J51,F51,H51),L51))^2</f>
        <v>8.35571459230902E-027</v>
      </c>
      <c r="N51" s="5" t="str">
        <f aca="false">IMDIV(IMPRODUCT(L_Yv,K51,E51),H51)</f>
        <v>0.000169065961597244-1.14175118965913i</v>
      </c>
      <c r="O51" s="37" t="n">
        <f aca="false">IMABS(IMSUM(1,IMPRODUCT(E51,G51),N51))^2</f>
        <v>2.3039023431629</v>
      </c>
      <c r="P51" s="37" t="n">
        <f aca="false">IMABS(N51)^2</f>
        <v>1.30359580767134</v>
      </c>
      <c r="Q51" s="37" t="n">
        <f aca="false">p_Rb^2/(1+(C51*p_Rb*L_Ctot)^2)</f>
        <v>6.0068963475493E+018</v>
      </c>
      <c r="R51" s="37" t="n">
        <f aca="false">M51*L_Kt^2*Q51</f>
        <v>1.00732859024786E-005</v>
      </c>
      <c r="S51" s="37" t="n">
        <f aca="false">L_kT4*D51</f>
        <v>1.26535267008989E-012</v>
      </c>
      <c r="T51" s="37" t="n">
        <f aca="false">L_kT4*L_Rsq*O51</f>
        <v>1.19007877024072E-011</v>
      </c>
      <c r="U51" s="37" t="n">
        <f aca="false">L_kT4*L_Rh*O51</f>
        <v>9.05462911768301E-012</v>
      </c>
      <c r="V51" s="37" t="n">
        <f aca="false">L_kT4*p_Rv*P51</f>
        <v>1.07322565844079E-008</v>
      </c>
      <c r="W51" s="37" t="n">
        <f aca="false">L_kT4/p_Rb*Q51/R51</f>
        <v>9.81876950972064E-009</v>
      </c>
      <c r="X51" s="37" t="n">
        <f aca="false">p_en^2*(1+p_fc/B51)/R51</f>
        <v>3.04513171748519E-011</v>
      </c>
      <c r="Y51" s="37" t="n">
        <f aca="false">p_in^2*Q51/R51</f>
        <v>1.49079863455262E-009</v>
      </c>
      <c r="Z51" s="37" t="n">
        <f aca="false">p_eo^2/L_G^2/R51</f>
        <v>6.29345064879433E-012</v>
      </c>
      <c r="AA51" s="37" t="n">
        <f aca="false">SUM(S51:Z51)</f>
        <v>2.2100790265995E-008</v>
      </c>
      <c r="AB51" s="47" t="n">
        <f aca="false">10*LOG10(AA51/L_PREF^2)</f>
        <v>17.4234781186053</v>
      </c>
      <c r="AC51" s="47" t="n">
        <f aca="false">10*LOG10(S51/L_PREF^2)</f>
        <v>-24.9984840547796</v>
      </c>
      <c r="AD51" s="47" t="n">
        <f aca="false">10*LOG10(T51/L_PREF^2)</f>
        <v>-15.2648428342391</v>
      </c>
      <c r="AE51" s="47" t="n">
        <f aca="false">10*LOG10(U51/L_PREF^2)</f>
        <v>-16.4518932524138</v>
      </c>
      <c r="AF51" s="47" t="n">
        <f aca="false">10*LOG10(V51/L_PREF^2)</f>
        <v>14.2863105581212</v>
      </c>
      <c r="AG51" s="47" t="n">
        <f aca="false">10*LOG10(W51/L_PREF^2)</f>
        <v>13.8999707399237</v>
      </c>
      <c r="AH51" s="47" t="n">
        <f aca="false">10*LOG10(X51/L_PREF^2)</f>
        <v>-11.1845390850035</v>
      </c>
      <c r="AI51" s="47" t="n">
        <f aca="false">10*LOG10(Y51/L_PREF^2)</f>
        <v>5.7135899497645</v>
      </c>
      <c r="AJ51" s="47" t="n">
        <f aca="false">10*LOG10(Z51/L_PREF^2)</f>
        <v>-18.0317116037861</v>
      </c>
      <c r="AK51" s="47" t="n">
        <f aca="false">10*LOG10(R51/$R$6)</f>
        <v>-3.25599744263987</v>
      </c>
      <c r="AL51" s="37" t="n">
        <f aca="false">(12194^2*B51^4/((B51^2+20.6^2)*SQRT((B51^2+107.7^2)*(B51^2+737.9^2))*(B51^2+12194^2))*1.2589254)^2</f>
        <v>4.40500247793996E-005</v>
      </c>
      <c r="AM51" s="37" t="n">
        <f aca="false">0.5*(B51-B50)*(S51*AL51+S50*AL50)</f>
        <v>3.14864110879177E-017</v>
      </c>
      <c r="AN51" s="37" t="n">
        <f aca="false">0.5*(B51-B50)*(T51*AL51+T50*AL50)</f>
        <v>2.99843768850319E-016</v>
      </c>
      <c r="AO51" s="37" t="n">
        <f aca="false">0.5*(B51-B50)*(U51*AL51+U50*AL50)</f>
        <v>2.28133984747811E-016</v>
      </c>
      <c r="AP51" s="37" t="n">
        <f aca="false">0.5*(B51-B50)*(V51*AL51+V50*AL50)</f>
        <v>2.72964242263414E-013</v>
      </c>
      <c r="AQ51" s="37" t="n">
        <f aca="false">0.5*(B51-B50)*(W51*AL51+W50*AL50)</f>
        <v>2.52708141882936E-013</v>
      </c>
      <c r="AR51" s="37" t="n">
        <f aca="false">0.5*(B51-B50)*(X51*AL51+X50*AL50)</f>
        <v>7.73286316367862E-016</v>
      </c>
      <c r="AS51" s="37" t="n">
        <f aca="false">0.5*(B51-B50)*(Y51*AL51+Y50*AL50)</f>
        <v>3.83690596348595E-014</v>
      </c>
      <c r="AT51" s="37" t="n">
        <f aca="false">0.5*(B51-B50)*(Z51*AL51+Z50*AL50)</f>
        <v>1.58430091239917E-016</v>
      </c>
      <c r="AU51" s="37" t="n">
        <f aca="false">0.5*(B51-B50)*(AA51*AL51+AA50*AL50)</f>
        <v>5.65532624353503E-013</v>
      </c>
      <c r="AV51" s="37" t="n">
        <f aca="false">0.5*(B51-B50)*(S51+S50)</f>
        <v>7.5937107013606E-013</v>
      </c>
      <c r="AW51" s="37" t="n">
        <f aca="false">0.5*(B51-B50)*(T51+T50)</f>
        <v>7.23741197707267E-012</v>
      </c>
      <c r="AX51" s="37" t="n">
        <f aca="false">0.5*(B51-B50)*(U51+U50)</f>
        <v>5.50653308528598E-012</v>
      </c>
      <c r="AY51" s="37" t="n">
        <f aca="false">0.5*(B51-B50)*(V51+V50)</f>
        <v>6.59267305577538E-009</v>
      </c>
      <c r="AZ51" s="37" t="n">
        <f aca="false">0.5*(B51-B50)*(W51+W50)</f>
        <v>6.10811859033169E-009</v>
      </c>
      <c r="BA51" s="37" t="n">
        <f aca="false">0.5*(B51-B50)*(X51+X50)</f>
        <v>1.86746229602012E-011</v>
      </c>
      <c r="BB51" s="37" t="n">
        <f aca="false">0.5*(B51-B50)*(Y51+Y50)</f>
        <v>9.27404889699979E-010</v>
      </c>
      <c r="BC51" s="37" t="n">
        <f aca="false">0.5*(B51-B50)*(Z51+Z50)</f>
        <v>3.82385668030764E-012</v>
      </c>
      <c r="BD51" s="37" t="n">
        <f aca="false">0.5*(B51-B50)*(AA51+AA50)</f>
        <v>1.36641983315801E-008</v>
      </c>
      <c r="BE51" s="37" t="n">
        <f aca="false">IF(B51&gt;2000,AK51,-999)</f>
        <v>-999</v>
      </c>
      <c r="BF51" s="37" t="n">
        <f aca="false">IF(AND(B51&lt;1000,AK51&gt;=-3),B51,1000000000)</f>
        <v>1000000000</v>
      </c>
    </row>
    <row r="52" customFormat="false" ht="15" hidden="false" customHeight="false" outlineLevel="0" collapsed="false">
      <c r="A52" s="5" t="n">
        <v>13</v>
      </c>
      <c r="B52" s="47" t="n">
        <f aca="false">20*10^(A52/100)</f>
        <v>26.9792576518331</v>
      </c>
      <c r="C52" s="37" t="n">
        <f aca="false">2*PI()*B52</f>
        <v>169.51567527661</v>
      </c>
      <c r="D52" s="37" t="n">
        <f aca="false">SQRT(L_Rp0^2+L_Rp1^2*C52)</f>
        <v>76852805.4247773</v>
      </c>
      <c r="E52" s="5" t="str">
        <f aca="false">COMPLEX(D52,C52*L_Mp)</f>
        <v>76852805.4247773+2504207.46522786i</v>
      </c>
      <c r="F52" s="5" t="str">
        <f aca="false">IMDIV(1,E52)</f>
        <v>1.29980860594699e-08-4.23535666185382e-10i</v>
      </c>
      <c r="G52" s="5" t="str">
        <f aca="false">COMPLEX(0,C52*L_Cf)</f>
        <v>1.79248890003817e-13i</v>
      </c>
      <c r="H52" s="5" t="str">
        <f aca="false">COMPLEX(0,C52*L_Cbv)</f>
        <v>1.79248890003817e-12i</v>
      </c>
      <c r="I52" s="5" t="str">
        <f aca="false">COMPLEX(L_Rsq+L_Rh,C52*(L_Md+L_Mh)-1/(C52*L_Cd))</f>
        <v>552400610.124532-6795702957240.07i</v>
      </c>
      <c r="J52" s="5" t="str">
        <f aca="false">IMDIV(1,I52)</f>
        <v>1.19614924874228e-17+1.47151810443256e-13i</v>
      </c>
      <c r="K52" s="5" t="str">
        <f aca="false">IMSUM(F52,G52,H52)</f>
        <v>1.29980860594699e-08-4.2156392839534e-10i</v>
      </c>
      <c r="L52" s="5" t="str">
        <f aca="false">IMSUM(IMPRODUCT(IMSUM(F52,G52),H52),IMPRODUCT(IMSUM(J52,L_Yv),K52))</f>
        <v>2.68172231694914e-20+2.43684839799645e-20i</v>
      </c>
      <c r="M52" s="37" t="n">
        <f aca="false">IMABS(IMDIV(IMPRODUCT(J52,F52,H52),L52))^2</f>
        <v>8.96197243807716E-027</v>
      </c>
      <c r="N52" s="5" t="str">
        <f aca="false">IMDIV(IMPRODUCT(L_Yv,K52,E52),H52)</f>
        <v>0.00016907617193463-1.1157615116481i</v>
      </c>
      <c r="O52" s="37" t="n">
        <f aca="false">IMABS(IMSUM(1,IMPRODUCT(E52,G52),N52))^2</f>
        <v>2.24523029312086</v>
      </c>
      <c r="P52" s="37" t="n">
        <f aca="false">IMABS(N52)^2</f>
        <v>1.24492377946201</v>
      </c>
      <c r="Q52" s="37" t="n">
        <f aca="false">p_Rb^2/(1+(C52*p_Rb*L_Ctot)^2)</f>
        <v>5.73654302781117E+018</v>
      </c>
      <c r="R52" s="37" t="n">
        <f aca="false">M52*L_Kt^2*Q52</f>
        <v>1.03178992878111E-005</v>
      </c>
      <c r="S52" s="37" t="n">
        <f aca="false">L_kT4*D52</f>
        <v>1.26542908806015E-012</v>
      </c>
      <c r="T52" s="37" t="n">
        <f aca="false">L_kT4*L_Rsq*O52</f>
        <v>1.15977177334533E-011</v>
      </c>
      <c r="U52" s="37" t="n">
        <f aca="false">L_kT4*L_Rh*O52</f>
        <v>8.82404050168485E-012</v>
      </c>
      <c r="V52" s="37" t="n">
        <f aca="false">L_kT4*p_Rv*P52</f>
        <v>1.02492209246086E-008</v>
      </c>
      <c r="W52" s="37" t="n">
        <f aca="false">L_kT4/p_Rb*Q52/R52</f>
        <v>9.1545512148991E-009</v>
      </c>
      <c r="X52" s="37" t="n">
        <f aca="false">p_en^2*(1+p_fc/B52)/R52</f>
        <v>2.91938570840805E-011</v>
      </c>
      <c r="Y52" s="37" t="n">
        <f aca="false">p_in^2*Q52/R52</f>
        <v>1.38994936561067E-009</v>
      </c>
      <c r="Z52" s="37" t="n">
        <f aca="false">p_eo^2/L_G^2/R52</f>
        <v>6.14424757695939E-012</v>
      </c>
      <c r="AA52" s="37" t="n">
        <f aca="false">SUM(S52:Z52)</f>
        <v>2.08507467971026E-008</v>
      </c>
      <c r="AB52" s="47" t="n">
        <f aca="false">10*LOG10(AA52/L_PREF^2)</f>
        <v>17.1706162309225</v>
      </c>
      <c r="AC52" s="47" t="n">
        <f aca="false">10*LOG10(S52/L_PREF^2)</f>
        <v>-24.998221780858</v>
      </c>
      <c r="AD52" s="47" t="n">
        <f aca="false">10*LOG10(T52/L_PREF^2)</f>
        <v>-15.3768745669464</v>
      </c>
      <c r="AE52" s="47" t="n">
        <f aca="false">10*LOG10(U52/L_PREF^2)</f>
        <v>-16.5639249851212</v>
      </c>
      <c r="AF52" s="47" t="n">
        <f aca="false">10*LOG10(V52/L_PREF^2)</f>
        <v>14.0863086323429</v>
      </c>
      <c r="AG52" s="47" t="n">
        <f aca="false">10*LOG10(W52/L_PREF^2)</f>
        <v>13.5957706734031</v>
      </c>
      <c r="AH52" s="47" t="n">
        <f aca="false">10*LOG10(X52/L_PREF^2)</f>
        <v>-11.3676851368596</v>
      </c>
      <c r="AI52" s="47" t="n">
        <f aca="false">10*LOG10(Y52/L_PREF^2)</f>
        <v>5.40938988324396</v>
      </c>
      <c r="AJ52" s="47" t="n">
        <f aca="false">10*LOG10(Z52/L_PREF^2)</f>
        <v>-18.1359128444431</v>
      </c>
      <c r="AK52" s="47" t="n">
        <f aca="false">10*LOG10(R52/$R$6)</f>
        <v>-3.15179620198289</v>
      </c>
      <c r="AL52" s="37" t="n">
        <f aca="false">(12194^2*B52^4/((B52^2+20.6^2)*SQRT((B52^2+107.7^2)*(B52^2+737.9^2))*(B52^2+12194^2))*1.2589254)^2</f>
        <v>4.9855256822819E-005</v>
      </c>
      <c r="AM52" s="37" t="n">
        <f aca="false">0.5*(B52-B51)*(S52*AL52+S51*AL51)</f>
        <v>3.64872231345099E-017</v>
      </c>
      <c r="AN52" s="37" t="n">
        <f aca="false">0.5*(B52-B51)*(T52*AL52+T51*AL51)</f>
        <v>3.38515951258487E-016</v>
      </c>
      <c r="AO52" s="37" t="n">
        <f aca="false">0.5*(B52-B51)*(U52*AL52+U51*AL51)</f>
        <v>2.57557437853064E-016</v>
      </c>
      <c r="AP52" s="37" t="n">
        <f aca="false">0.5*(B52-B51)*(V52*AL52+V51*AL51)</f>
        <v>3.02066689888918E-013</v>
      </c>
      <c r="AQ52" s="37" t="n">
        <f aca="false">0.5*(B52-B51)*(W52*AL52+W51*AL51)</f>
        <v>2.72952914961696E-013</v>
      </c>
      <c r="AR52" s="37" t="n">
        <f aca="false">0.5*(B52-B51)*(X52*AL52+X51*AL51)</f>
        <v>8.58804334597556E-016</v>
      </c>
      <c r="AS52" s="37" t="n">
        <f aca="false">0.5*(B52-B51)*(Y52*AL52+Y51*AL51)</f>
        <v>4.14428541701895E-014</v>
      </c>
      <c r="AT52" s="37" t="n">
        <f aca="false">0.5*(B52-B51)*(Z52*AL52+Z51*AL51)</f>
        <v>1.79185610772724E-016</v>
      </c>
      <c r="AU52" s="37" t="n">
        <f aca="false">0.5*(B52-B51)*(AA52*AL52+AA51*AL51)</f>
        <v>6.1813300957842E-013</v>
      </c>
      <c r="AV52" s="37" t="n">
        <f aca="false">0.5*(B52-B51)*(S52+S51)</f>
        <v>7.77105491875295E-013</v>
      </c>
      <c r="AW52" s="37" t="n">
        <f aca="false">0.5*(B52-B51)*(T52+T51)</f>
        <v>7.21548492526555E-012</v>
      </c>
      <c r="AX52" s="37" t="n">
        <f aca="false">0.5*(B52-B51)*(U52+U51)</f>
        <v>5.48985004490895E-012</v>
      </c>
      <c r="AY52" s="37" t="n">
        <f aca="false">0.5*(B52-B51)*(V52+V51)</f>
        <v>6.44260270464145E-009</v>
      </c>
      <c r="AZ52" s="37" t="n">
        <f aca="false">0.5*(B52-B51)*(W52+W51)</f>
        <v>5.82597518997101E-009</v>
      </c>
      <c r="BA52" s="37" t="n">
        <f aca="false">0.5*(B52-B51)*(X52+X51)</f>
        <v>1.83147331180215E-011</v>
      </c>
      <c r="BB52" s="37" t="n">
        <f aca="false">0.5*(B52-B51)*(Y52+Y51)</f>
        <v>8.84566630222625E-010</v>
      </c>
      <c r="BC52" s="37" t="n">
        <f aca="false">0.5*(B52-B51)*(Z52+Z51)</f>
        <v>3.81913753186923E-012</v>
      </c>
      <c r="BD52" s="37" t="n">
        <f aca="false">0.5*(B52-B51)*(AA52+AA51)</f>
        <v>1.3188760835947E-008</v>
      </c>
      <c r="BE52" s="37" t="n">
        <f aca="false">IF(B52&gt;2000,AK52,-999)</f>
        <v>-999</v>
      </c>
      <c r="BF52" s="37" t="n">
        <f aca="false">IF(AND(B52&lt;1000,AK52&gt;=-3),B52,1000000000)</f>
        <v>1000000000</v>
      </c>
    </row>
    <row r="53" customFormat="false" ht="15" hidden="false" customHeight="false" outlineLevel="0" collapsed="false">
      <c r="A53" s="5" t="n">
        <v>14</v>
      </c>
      <c r="B53" s="47" t="n">
        <f aca="false">20*10^(A53/100)</f>
        <v>27.6076852920577</v>
      </c>
      <c r="C53" s="37" t="n">
        <f aca="false">2*PI()*B53</f>
        <v>173.464202592295</v>
      </c>
      <c r="D53" s="37" t="n">
        <f aca="false">SQRT(L_Rp0^2+L_Rp1^2*C53)</f>
        <v>76857554.3013195</v>
      </c>
      <c r="E53" s="5" t="str">
        <f aca="false">COMPLEX(D53,C53*L_Mp)</f>
        <v>76857554.3013195+2562537.95038482i</v>
      </c>
      <c r="F53" s="5" t="str">
        <f aca="false">IMDIV(1,E53)</f>
        <v>1.29966350732825e-08-4.33325922290206e-10i</v>
      </c>
      <c r="G53" s="5" t="str">
        <f aca="false">COMPLEX(0,C53*L_Cf)</f>
        <v>1.8342413301501e-13i</v>
      </c>
      <c r="H53" s="5" t="str">
        <f aca="false">COMPLEX(0,C53*L_Cbv)</f>
        <v>1.8342413301501e-12i</v>
      </c>
      <c r="I53" s="5" t="str">
        <f aca="false">COMPLEX(L_Rsq+L_Rh,C53*(L_Md+L_Mh)-1/(C53*L_Cd))</f>
        <v>552400610.124532-6641013842957.11i</v>
      </c>
      <c r="J53" s="5" t="str">
        <f aca="false">IMDIV(1,I53)</f>
        <v>1.2525220367941e-17+1.50579417048133e-13i</v>
      </c>
      <c r="K53" s="5" t="str">
        <f aca="false">IMSUM(F53,G53,H53)</f>
        <v>1.29966350732825e-08-4.31308256827041e-10i</v>
      </c>
      <c r="L53" s="5" t="str">
        <f aca="false">IMSUM(IMPRODUCT(IMSUM(F53,G53),H53),IMPRODUCT(IMSUM(J53,L_Yv),K53))</f>
        <v>2.68528669501288e-20+2.49333690213302e-20i</v>
      </c>
      <c r="M53" s="37" t="n">
        <f aca="false">IMABS(IMDIV(IMPRODUCT(J53,F53,H53),L53))^2</f>
        <v>9.60712824118044E-027</v>
      </c>
      <c r="N53" s="5" t="str">
        <f aca="false">IMDIV(IMPRODUCT(L_Yv,K53,E53),H53)</f>
        <v>0.000169086619462834-1.09036342515938i</v>
      </c>
      <c r="O53" s="37" t="n">
        <f aca="false">IMABS(IMSUM(1,IMPRODUCT(E53,G53),N53))^2</f>
        <v>2.18919891786915</v>
      </c>
      <c r="P53" s="37" t="n">
        <f aca="false">IMABS(N53)^2</f>
        <v>1.18889242751558</v>
      </c>
      <c r="Q53" s="37" t="n">
        <f aca="false">p_Rb^2/(1+(C53*p_Rb*L_Ctot)^2)</f>
        <v>5.47835747539312E+018</v>
      </c>
      <c r="R53" s="37" t="n">
        <f aca="false">M53*L_Kt^2*Q53</f>
        <v>1.05628565190911E-005</v>
      </c>
      <c r="S53" s="37" t="n">
        <f aca="false">L_kT4*D53</f>
        <v>1.2655072812566E-012</v>
      </c>
      <c r="T53" s="37" t="n">
        <f aca="false">L_kT4*L_Rsq*O53</f>
        <v>1.13082881473758E-011</v>
      </c>
      <c r="U53" s="37" t="n">
        <f aca="false">L_kT4*L_Rh*O53</f>
        <v>8.60383007333767E-012</v>
      </c>
      <c r="V53" s="37" t="n">
        <f aca="false">L_kT4*p_Rv*P53</f>
        <v>9.78792545071894E-009</v>
      </c>
      <c r="W53" s="37" t="n">
        <f aca="false">L_kT4/p_Rb*Q53/R53</f>
        <v>8.53978770879932E-009</v>
      </c>
      <c r="X53" s="37" t="n">
        <f aca="false">p_en^2*(1+p_fc/B53)/R53</f>
        <v>2.80056352833476E-011</v>
      </c>
      <c r="Y53" s="37" t="n">
        <f aca="false">p_in^2*Q53/R53</f>
        <v>1.29660889208606E-009</v>
      </c>
      <c r="Z53" s="37" t="n">
        <f aca="false">p_eo^2/L_G^2/R53</f>
        <v>6.0017598065319E-012</v>
      </c>
      <c r="AA53" s="37" t="n">
        <f aca="false">SUM(S53:Z53)</f>
        <v>1.96795070721962E-008</v>
      </c>
      <c r="AB53" s="47" t="n">
        <f aca="false">10*LOG10(AA53/L_PREF^2)</f>
        <v>16.9195422479448</v>
      </c>
      <c r="AC53" s="47" t="n">
        <f aca="false">10*LOG10(S53/L_PREF^2)</f>
        <v>-24.9979534305814</v>
      </c>
      <c r="AD53" s="47" t="n">
        <f aca="false">10*LOG10(T53/L_PREF^2)</f>
        <v>-15.4866312507779</v>
      </c>
      <c r="AE53" s="47" t="n">
        <f aca="false">10*LOG10(U53/L_PREF^2)</f>
        <v>-16.6736816689526</v>
      </c>
      <c r="AF53" s="47" t="n">
        <f aca="false">10*LOG10(V53/L_PREF^2)</f>
        <v>13.8863066158057</v>
      </c>
      <c r="AG53" s="47" t="n">
        <f aca="false">10*LOG10(W53/L_PREF^2)</f>
        <v>13.2938708333728</v>
      </c>
      <c r="AH53" s="47" t="n">
        <f aca="false">10*LOG10(X53/L_PREF^2)</f>
        <v>-11.548145626209</v>
      </c>
      <c r="AI53" s="47" t="n">
        <f aca="false">10*LOG10(Y53/L_PREF^2)</f>
        <v>5.1074900432136</v>
      </c>
      <c r="AJ53" s="47" t="n">
        <f aca="false">10*LOG10(Z53/L_PREF^2)</f>
        <v>-18.2378138057654</v>
      </c>
      <c r="AK53" s="47" t="n">
        <f aca="false">10*LOG10(R53/$R$6)</f>
        <v>-3.04989524066064</v>
      </c>
      <c r="AL53" s="37" t="n">
        <f aca="false">(12194^2*B53^4/((B53^2+20.6^2)*SQRT((B53^2+107.7^2)*(B53^2+737.9^2))*(B53^2+12194^2))*1.2589254)^2</f>
        <v>5.63630920315738E-005</v>
      </c>
      <c r="AM53" s="37" t="n">
        <f aca="false">0.5*(B53-B52)*(S53*AL53+S52*AL52)</f>
        <v>4.22354262844548E-017</v>
      </c>
      <c r="AN53" s="37" t="n">
        <f aca="false">0.5*(B53-B52)*(T53*AL53+T52*AL52)</f>
        <v>3.81951181334115E-016</v>
      </c>
      <c r="AO53" s="37" t="n">
        <f aca="false">0.5*(B53-B52)*(U53*AL53+U52*AL52)</f>
        <v>2.90604821674262E-016</v>
      </c>
      <c r="AP53" s="37" t="n">
        <f aca="false">0.5*(B53-B52)*(V53*AL53+V52*AL52)</f>
        <v>3.33900976376131E-013</v>
      </c>
      <c r="AQ53" s="37" t="n">
        <f aca="false">0.5*(B53-B52)*(W53*AL53+W52*AL52)</f>
        <v>2.94648147358935E-013</v>
      </c>
      <c r="AR53" s="37" t="n">
        <f aca="false">0.5*(B53-B52)*(X53*AL53+X52*AL52)</f>
        <v>9.53309472454367E-016</v>
      </c>
      <c r="AS53" s="37" t="n">
        <f aca="false">0.5*(B53-B52)*(Y53*AL53+Y52*AL52)</f>
        <v>4.47368741389937E-014</v>
      </c>
      <c r="AT53" s="37" t="n">
        <f aca="false">0.5*(B53-B52)*(Z53*AL53+Z52*AL52)</f>
        <v>2.02542473926851E-016</v>
      </c>
      <c r="AU53" s="37" t="n">
        <f aca="false">0.5*(B53-B52)*(AA53*AL53+AA52*AL52)</f>
        <v>6.75156641249734E-013</v>
      </c>
      <c r="AV53" s="37" t="n">
        <f aca="false">0.5*(B53-B52)*(S53+S52)</f>
        <v>7.95255185064202E-013</v>
      </c>
      <c r="AW53" s="37" t="n">
        <f aca="false">0.5*(B53-B52)*(T53+T52)</f>
        <v>7.1973836113304E-012</v>
      </c>
      <c r="AX53" s="37" t="n">
        <f aca="false">0.5*(B53-B52)*(U53+U52)</f>
        <v>5.4760777898008E-012</v>
      </c>
      <c r="AY53" s="37" t="n">
        <f aca="false">0.5*(B53-B52)*(V53+V52)</f>
        <v>6.29594830674125E-009</v>
      </c>
      <c r="AZ53" s="37" t="n">
        <f aca="false">0.5*(B53-B52)*(W53+W52)</f>
        <v>5.55980582757727E-009</v>
      </c>
      <c r="BA53" s="37" t="n">
        <f aca="false">0.5*(B53-B52)*(X53+X52)</f>
        <v>1.79728710052547E-011</v>
      </c>
      <c r="BB53" s="37" t="n">
        <f aca="false">0.5*(B53-B52)*(Y53+Y52)</f>
        <v>8.44153733105172E-010</v>
      </c>
      <c r="BC53" s="37" t="n">
        <f aca="false">0.5*(B53-B52)*(Z53+Z52)</f>
        <v>3.81644337907915E-012</v>
      </c>
      <c r="BD53" s="37" t="n">
        <f aca="false">0.5*(B53-B52)*(AA53+AA52)</f>
        <v>1.27351658983942E-008</v>
      </c>
      <c r="BE53" s="37" t="n">
        <f aca="false">IF(B53&gt;2000,AK53,-999)</f>
        <v>-999</v>
      </c>
      <c r="BF53" s="37" t="n">
        <f aca="false">IF(AND(B53&lt;1000,AK53&gt;=-3),B53,1000000000)</f>
        <v>1000000000</v>
      </c>
    </row>
    <row r="54" customFormat="false" ht="15" hidden="false" customHeight="false" outlineLevel="0" collapsed="false">
      <c r="A54" s="5" t="n">
        <v>15</v>
      </c>
      <c r="B54" s="47" t="n">
        <f aca="false">20*10^(A54/100)</f>
        <v>28.2507508924551</v>
      </c>
      <c r="C54" s="37" t="n">
        <f aca="false">2*PI()*B54</f>
        <v>177.504702924264</v>
      </c>
      <c r="D54" s="37" t="n">
        <f aca="false">SQRT(L_Rp0^2+L_Rp1^2*C54)</f>
        <v>76862413.4896702</v>
      </c>
      <c r="E54" s="5" t="str">
        <f aca="false">COMPLEX(D54,C54*L_Mp)</f>
        <v>76862413.4896702+2622227.12708227i</v>
      </c>
      <c r="F54" s="5" t="str">
        <f aca="false">IMDIV(1,E54)</f>
        <v>1.29951352813937e-08-4.43340180302224e-10i</v>
      </c>
      <c r="G54" s="5" t="str">
        <f aca="false">COMPLEX(0,C54*L_Cf)</f>
        <v>1.87696629929433e-13i</v>
      </c>
      <c r="H54" s="5" t="str">
        <f aca="false">COMPLEX(0,C54*L_Cbv)</f>
        <v>1.87696629929433e-12i</v>
      </c>
      <c r="I54" s="5" t="str">
        <f aca="false">COMPLEX(L_Rsq+L_Rh,C54*(L_Md+L_Mh)-1/(C54*L_Cd))</f>
        <v>552400610.124532-6489845882117.89i</v>
      </c>
      <c r="J54" s="5" t="str">
        <f aca="false">IMDIV(1,I54)</f>
        <v>1.31155159352933e-17+1.54086862911549e-13i</v>
      </c>
      <c r="K54" s="5" t="str">
        <f aca="false">IMSUM(F54,G54,H54)</f>
        <v>1.29951352813937e-08-4.41275517373e-10i</v>
      </c>
      <c r="L54" s="5" t="str">
        <f aca="false">IMSUM(IMPRODUCT(IMSUM(F54,G54),H54),IMPRODUCT(IMSUM(J54,L_Yv),K54))</f>
        <v>2.68902180381445e-20+2.55112537842658e-20i</v>
      </c>
      <c r="M54" s="37" t="n">
        <f aca="false">IMABS(IMDIV(IMPRODUCT(J54,F54,H54),L54))^2</f>
        <v>1.02932696047626E-026</v>
      </c>
      <c r="N54" s="5" t="str">
        <f aca="false">IMDIV(IMPRODUCT(L_Yv,K54,E54),H54)</f>
        <v>0.000169097309677265-1.06554346379135i</v>
      </c>
      <c r="O54" s="37" t="n">
        <f aca="false">IMABS(IMSUM(1,IMPRODUCT(E54,G54),N54))^2</f>
        <v>2.13568936731831</v>
      </c>
      <c r="P54" s="37" t="n">
        <f aca="false">IMABS(N54)^2</f>
        <v>1.13538290182237</v>
      </c>
      <c r="Q54" s="37" t="n">
        <f aca="false">p_Rb^2/(1+(C54*p_Rb*L_Ctot)^2)</f>
        <v>5.23179206256126E+018</v>
      </c>
      <c r="R54" s="37" t="n">
        <f aca="false">M54*L_Kt^2*Q54</f>
        <v>1.08078982605612E-005</v>
      </c>
      <c r="S54" s="37" t="n">
        <f aca="false">L_kT4*D54</f>
        <v>1.26558729080536E-012</v>
      </c>
      <c r="T54" s="37" t="n">
        <f aca="false">L_kT4*L_Rsq*O54</f>
        <v>1.10318850250618E-011</v>
      </c>
      <c r="U54" s="37" t="n">
        <f aca="false">L_kT4*L_Rh*O54</f>
        <v>8.39353073667976E-012</v>
      </c>
      <c r="V54" s="37" t="n">
        <f aca="false">L_kT4*p_Rv*P54</f>
        <v>9.34739169319224E-009</v>
      </c>
      <c r="W54" s="37" t="n">
        <f aca="false">L_kT4/p_Rb*Q54/R54</f>
        <v>7.97053208758188E-009</v>
      </c>
      <c r="X54" s="37" t="n">
        <f aca="false">p_en^2*(1+p_fc/B54)/R54</f>
        <v>2.68824376394378E-011</v>
      </c>
      <c r="Y54" s="37" t="n">
        <f aca="false">p_in^2*Q54/R54</f>
        <v>1.21017794959554E-009</v>
      </c>
      <c r="Z54" s="37" t="n">
        <f aca="false">p_eo^2/L_G^2/R54</f>
        <v>5.86568509159456E-012</v>
      </c>
      <c r="AA54" s="37" t="n">
        <f aca="false">SUM(S54:Z54)</f>
        <v>1.85815408561532E-008</v>
      </c>
      <c r="AB54" s="47" t="n">
        <f aca="false">10*LOG10(AA54/L_PREF^2)</f>
        <v>16.6702173326928</v>
      </c>
      <c r="AC54" s="47" t="n">
        <f aca="false">10*LOG10(S54/L_PREF^2)</f>
        <v>-24.9976788639498</v>
      </c>
      <c r="AD54" s="47" t="n">
        <f aca="false">10*LOG10(T54/L_PREF^2)</f>
        <v>-15.5941026437857</v>
      </c>
      <c r="AE54" s="47" t="n">
        <f aca="false">10*LOG10(U54/L_PREF^2)</f>
        <v>-16.7811530619605</v>
      </c>
      <c r="AF54" s="47" t="n">
        <f aca="false">10*LOG10(V54/L_PREF^2)</f>
        <v>13.6863045042325</v>
      </c>
      <c r="AG54" s="47" t="n">
        <f aca="false">10*LOG10(W54/L_PREF^2)</f>
        <v>12.9942732316568</v>
      </c>
      <c r="AH54" s="47" t="n">
        <f aca="false">10*LOG10(X54/L_PREF^2)</f>
        <v>-11.725913443064</v>
      </c>
      <c r="AI54" s="47" t="n">
        <f aca="false">10*LOG10(Y54/L_PREF^2)</f>
        <v>4.80789244149768</v>
      </c>
      <c r="AJ54" s="47" t="n">
        <f aca="false">10*LOG10(Z54/L_PREF^2)</f>
        <v>-18.337412478307</v>
      </c>
      <c r="AK54" s="47" t="n">
        <f aca="false">10*LOG10(R54/$R$6)</f>
        <v>-2.95029656811901</v>
      </c>
      <c r="AL54" s="37" t="n">
        <f aca="false">(12194^2*B54^4/((B54^2+20.6^2)*SQRT((B54^2+107.7^2)*(B54^2+737.9^2))*(B54^2+12194^2))*1.2589254)^2</f>
        <v>6.36503673860781E-005</v>
      </c>
      <c r="AM54" s="37" t="n">
        <f aca="false">0.5*(B54-B53)*(S54*AL54+S53*AL53)</f>
        <v>4.88353660929082E-017</v>
      </c>
      <c r="AN54" s="37" t="n">
        <f aca="false">0.5*(B54-B53)*(T54*AL54+T53*AL53)</f>
        <v>4.30710426575878E-016</v>
      </c>
      <c r="AO54" s="37" t="n">
        <f aca="false">0.5*(B54-B53)*(U54*AL54+U53*AL53)</f>
        <v>3.2770294431643E-016</v>
      </c>
      <c r="AP54" s="37" t="n">
        <f aca="false">0.5*(B54-B53)*(V54*AL54+V53*AL53)</f>
        <v>3.68683224766654E-013</v>
      </c>
      <c r="AQ54" s="37" t="n">
        <f aca="false">0.5*(B54-B53)*(W54*AL54+W53*AL53)</f>
        <v>3.17885375905453E-013</v>
      </c>
      <c r="AR54" s="37" t="n">
        <f aca="false">0.5*(B54-B53)*(X54*AL54+X53*AL53)</f>
        <v>1.05770183398399E-015</v>
      </c>
      <c r="AS54" s="37" t="n">
        <f aca="false">0.5*(B54-B53)*(Y54*AL54+Y53*AL53)</f>
        <v>4.82650177168259E-014</v>
      </c>
      <c r="AT54" s="37" t="n">
        <f aca="false">0.5*(B54-B53)*(Z54*AL54+Z53*AL53)</f>
        <v>2.28812628198068E-016</v>
      </c>
      <c r="AU54" s="37" t="n">
        <f aca="false">0.5*(B54-B53)*(AA54*AL54+AA53*AL53)</f>
        <v>7.369273815881E-013</v>
      </c>
      <c r="AV54" s="37" t="n">
        <f aca="false">0.5*(B54-B53)*(S54+S53)</f>
        <v>8.13829925322802E-013</v>
      </c>
      <c r="AW54" s="37" t="n">
        <f aca="false">0.5*(B54-B53)*(T54+T53)</f>
        <v>7.18309843705764E-012</v>
      </c>
      <c r="AX54" s="37" t="n">
        <f aca="false">0.5*(B54-B53)*(U54+U53)</f>
        <v>5.46520901723248E-012</v>
      </c>
      <c r="AY54" s="37" t="n">
        <f aca="false">0.5*(B54-B53)*(V54+V53)</f>
        <v>6.15263210397188E-009</v>
      </c>
      <c r="AZ54" s="37" t="n">
        <f aca="false">0.5*(B54-B53)*(W54+W53)</f>
        <v>5.30860935630641E-009</v>
      </c>
      <c r="BA54" s="37" t="n">
        <f aca="false">0.5*(B54-B53)*(X54+X53)</f>
        <v>1.76483157843734E-011</v>
      </c>
      <c r="BB54" s="37" t="n">
        <f aca="false">0.5*(B54-B53)*(Y54+Y53)</f>
        <v>8.06014192707132E-010</v>
      </c>
      <c r="BC54" s="37" t="n">
        <f aca="false">0.5*(B54-B53)*(Z54+Z53)</f>
        <v>3.81577278929833E-012</v>
      </c>
      <c r="BD54" s="37" t="n">
        <f aca="false">0.5*(B54-B53)*(AA54+AA53)</f>
        <v>1.23021818789387E-008</v>
      </c>
      <c r="BE54" s="37" t="n">
        <f aca="false">IF(B54&gt;2000,AK54,-999)</f>
        <v>-999</v>
      </c>
      <c r="BF54" s="37" t="n">
        <f aca="false">IF(AND(B54&lt;1000,AK54&gt;=-3),B54,1000000000)</f>
        <v>28.2507508924551</v>
      </c>
    </row>
    <row r="55" customFormat="false" ht="15" hidden="false" customHeight="false" outlineLevel="0" collapsed="false">
      <c r="A55" s="5" t="n">
        <v>16</v>
      </c>
      <c r="B55" s="47" t="n">
        <f aca="false">20*10^(A55/100)</f>
        <v>28.9087954149186</v>
      </c>
      <c r="C55" s="37" t="n">
        <f aca="false">2*PI()*B55</f>
        <v>181.639318599277</v>
      </c>
      <c r="D55" s="37" t="n">
        <f aca="false">SQRT(L_Rp0^2+L_Rp1^2*C55)</f>
        <v>76867385.5450671</v>
      </c>
      <c r="E55" s="5" t="str">
        <f aca="false">COMPLEX(D55,C55*L_Mp)</f>
        <v>76867385.5450671+2683306.64331178i</v>
      </c>
      <c r="F55" s="5" t="str">
        <f aca="false">IMDIV(1,E55)</f>
        <v>1.2993584853716e-08-4.53583432182296e-10i</v>
      </c>
      <c r="G55" s="5" t="str">
        <f aca="false">COMPLEX(0,C55*L_Cf)</f>
        <v>1.92068646081502e-13i</v>
      </c>
      <c r="H55" s="5" t="str">
        <f aca="false">COMPLEX(0,C55*L_Cbv)</f>
        <v>1.92068646081502e-12i</v>
      </c>
      <c r="I55" s="5" t="str">
        <f aca="false">COMPLEX(L_Rsq+L_Rh,C55*(L_Md+L_Mh)-1/(C55*L_Cd))</f>
        <v>552400610.124532-6342118923468.64i</v>
      </c>
      <c r="J55" s="5" t="str">
        <f aca="false">IMDIV(1,I55)</f>
        <v>1.37336312869817e-17+1.5767600773191e-13i</v>
      </c>
      <c r="K55" s="5" t="str">
        <f aca="false">IMSUM(F55,G55,H55)</f>
        <v>1.2993584853716e-08-4.51470677075399e-10i</v>
      </c>
      <c r="L55" s="5" t="str">
        <f aca="false">IMSUM(IMPRODUCT(IMSUM(F55,G55),H55),IMPRODUCT(IMSUM(J55,L_Yv),K55))</f>
        <v>2.69293569038993e-20+2.61024315373605e-20i</v>
      </c>
      <c r="M55" s="37" t="n">
        <f aca="false">IMABS(IMDIV(IMPRODUCT(J55,F55,H55),L55))^2</f>
        <v>1.10225715651259E-026</v>
      </c>
      <c r="N55" s="5" t="str">
        <f aca="false">IMDIV(IMPRODUCT(L_Yv,K55,E55),H55)</f>
        <v>0.000169108248199323-1.04128846767197i</v>
      </c>
      <c r="O55" s="37" t="n">
        <f aca="false">IMABS(IMSUM(1,IMPRODUCT(E55,G55),N55))^2</f>
        <v>2.08458814050652</v>
      </c>
      <c r="P55" s="37" t="n">
        <f aca="false">IMABS(N55)^2</f>
        <v>1.08428170150424</v>
      </c>
      <c r="Q55" s="37" t="n">
        <f aca="false">p_Rb^2/(1+(C55*p_Rb*L_Ctot)^2)</f>
        <v>4.99632380783333E+018</v>
      </c>
      <c r="R55" s="37" t="n">
        <f aca="false">M55*L_Kt^2*Q55</f>
        <v>1.10527648189307E-005</v>
      </c>
      <c r="S55" s="37" t="n">
        <f aca="false">L_kT4*D55</f>
        <v>1.26566915878002E-012</v>
      </c>
      <c r="T55" s="37" t="n">
        <f aca="false">L_kT4*L_Rsq*O55</f>
        <v>1.07679220782709E-011</v>
      </c>
      <c r="U55" s="37" t="n">
        <f aca="false">L_kT4*L_Rh*O55</f>
        <v>8.19269641850108E-012</v>
      </c>
      <c r="V55" s="37" t="n">
        <f aca="false">L_kT4*p_Rv*P55</f>
        <v>8.92668522086545E-009</v>
      </c>
      <c r="W55" s="37" t="n">
        <f aca="false">L_kT4/p_Rb*Q55/R55</f>
        <v>7.44316652299774E-009</v>
      </c>
      <c r="X55" s="37" t="n">
        <f aca="false">p_en^2*(1+p_fc/B55)/R55</f>
        <v>2.58203187500437E-011</v>
      </c>
      <c r="Y55" s="37" t="n">
        <f aca="false">p_in^2*Q55/R55</f>
        <v>1.13010723780077E-009</v>
      </c>
      <c r="Z55" s="37" t="n">
        <f aca="false">p_eo^2/L_G^2/R55</f>
        <v>5.7357347900738E-012</v>
      </c>
      <c r="AA55" s="37" t="n">
        <f aca="false">SUM(S55:Z55)</f>
        <v>1.75517413228596E-008</v>
      </c>
      <c r="AB55" s="47" t="n">
        <f aca="false">10*LOG10(AA55/L_PREF^2)</f>
        <v>16.4226021832824</v>
      </c>
      <c r="AC55" s="47" t="n">
        <f aca="false">10*LOG10(S55/L_PREF^2)</f>
        <v>-24.9973979377745</v>
      </c>
      <c r="AD55" s="47" t="n">
        <f aca="false">10*LOG10(T55/L_PREF^2)</f>
        <v>-15.6992808719503</v>
      </c>
      <c r="AE55" s="47" t="n">
        <f aca="false">10*LOG10(U55/L_PREF^2)</f>
        <v>-16.8863312901251</v>
      </c>
      <c r="AF55" s="47" t="n">
        <f aca="false">10*LOG10(V55/L_PREF^2)</f>
        <v>13.4863022931445</v>
      </c>
      <c r="AG55" s="47" t="n">
        <f aca="false">10*LOG10(W55/L_PREF^2)</f>
        <v>12.6969774406993</v>
      </c>
      <c r="AH55" s="47" t="n">
        <f aca="false">10*LOG10(X55/L_PREF^2)</f>
        <v>-11.9009839202922</v>
      </c>
      <c r="AI55" s="47" t="n">
        <f aca="false">10*LOG10(Y55/L_PREF^2)</f>
        <v>4.51059665054016</v>
      </c>
      <c r="AJ55" s="47" t="n">
        <f aca="false">10*LOG10(Z55/L_PREF^2)</f>
        <v>-18.4347092918954</v>
      </c>
      <c r="AK55" s="47" t="n">
        <f aca="false">10*LOG10(R55/$R$6)</f>
        <v>-2.85299975453061</v>
      </c>
      <c r="AL55" s="37" t="n">
        <f aca="false">(12194^2*B55^4/((B55^2+20.6^2)*SQRT((B55^2+107.7^2)*(B55^2+737.9^2))*(B55^2+12194^2))*1.2589254)^2</f>
        <v>7.18013707413692E-005</v>
      </c>
      <c r="AM55" s="37" t="n">
        <f aca="false">0.5*(B55-B54)*(S55*AL55+S54*AL54)</f>
        <v>5.64049036612549E-017</v>
      </c>
      <c r="AN55" s="37" t="n">
        <f aca="false">0.5*(B55-B54)*(T55*AL55+T54*AL54)</f>
        <v>4.85418090697028E-016</v>
      </c>
      <c r="AO55" s="37" t="n">
        <f aca="false">0.5*(B55-B54)*(U55*AL55+U54*AL54)</f>
        <v>3.69326878874273E-016</v>
      </c>
      <c r="AP55" s="37" t="n">
        <f aca="false">0.5*(B55-B54)*(V55*AL55+V54*AL54)</f>
        <v>4.06642939433314E-013</v>
      </c>
      <c r="AQ55" s="37" t="n">
        <f aca="false">0.5*(B55-B54)*(W55*AL55+W54*AL54)</f>
        <v>3.42761195968829E-013</v>
      </c>
      <c r="AR55" s="37" t="n">
        <f aca="false">0.5*(B55-B54)*(X55*AL55+X54*AL54)</f>
        <v>1.17296808293291E-015</v>
      </c>
      <c r="AS55" s="37" t="n">
        <f aca="false">0.5*(B55-B54)*(Y55*AL55+Y54*AL54)</f>
        <v>5.20419511245348E-014</v>
      </c>
      <c r="AT55" s="37" t="n">
        <f aca="false">0.5*(B55-B54)*(Z55*AL55+Z54*AL54)</f>
        <v>2.58343880882169E-016</v>
      </c>
      <c r="AU55" s="37" t="n">
        <f aca="false">0.5*(B55-B54)*(AA55*AL55+AA54*AL54)</f>
        <v>8.03788548363725E-013</v>
      </c>
      <c r="AV55" s="37" t="n">
        <f aca="false">0.5*(B55-B54)*(S55+S54)</f>
        <v>8.32839720799985E-013</v>
      </c>
      <c r="AW55" s="37" t="n">
        <f aca="false">0.5*(B55-B54)*(T55+T54)</f>
        <v>7.17262182755409E-012</v>
      </c>
      <c r="AX55" s="37" t="n">
        <f aca="false">0.5*(B55-B54)*(U55+U54)</f>
        <v>5.45723796390075E-012</v>
      </c>
      <c r="AY55" s="37" t="n">
        <f aca="false">0.5*(B55-B54)*(V55+V54)</f>
        <v>6.01257810818584E-009</v>
      </c>
      <c r="AZ55" s="37" t="n">
        <f aca="false">0.5*(B55-B54)*(W55+W54)</f>
        <v>5.0714499707973E-009</v>
      </c>
      <c r="BA55" s="37" t="n">
        <f aca="false">0.5*(B55-B54)*(X55+X54)</f>
        <v>1.73403800804123E-011</v>
      </c>
      <c r="BB55" s="37" t="n">
        <f aca="false">0.5*(B55-B54)*(Y55+Y54)</f>
        <v>7.70005924284261E-010</v>
      </c>
      <c r="BC55" s="37" t="n">
        <f aca="false">0.5*(B55-B54)*(Z55+Z54)</f>
        <v>3.81712540296529E-012</v>
      </c>
      <c r="BD55" s="37" t="n">
        <f aca="false">0.5*(B55-B54)*(AA55+AA54)</f>
        <v>1.1888654208263E-008</v>
      </c>
      <c r="BE55" s="37" t="n">
        <f aca="false">IF(B55&gt;2000,AK55,-999)</f>
        <v>-999</v>
      </c>
      <c r="BF55" s="37" t="n">
        <f aca="false">IF(AND(B55&lt;1000,AK55&gt;=-3),B55,1000000000)</f>
        <v>28.9087954149186</v>
      </c>
    </row>
    <row r="56" customFormat="false" ht="15" hidden="false" customHeight="false" outlineLevel="0" collapsed="false">
      <c r="A56" s="5" t="n">
        <v>17</v>
      </c>
      <c r="B56" s="47" t="n">
        <f aca="false">20*10^(A56/100)</f>
        <v>29.5821677633641</v>
      </c>
      <c r="C56" s="37" t="n">
        <f aca="false">2*PI()*B56</f>
        <v>185.870241845291</v>
      </c>
      <c r="D56" s="37" t="n">
        <f aca="false">SQRT(L_Rp0^2+L_Rp1^2*C56)</f>
        <v>76872473.0815997</v>
      </c>
      <c r="E56" s="5" t="str">
        <f aca="false">COMPLEX(D56,C56*L_Mp)</f>
        <v>76872473.0815997+2745808.88424134i</v>
      </c>
      <c r="F56" s="5" t="str">
        <f aca="false">IMDIV(1,E56)</f>
        <v>1.29919818859778e-08-4.64060773074821e-10i</v>
      </c>
      <c r="G56" s="5" t="str">
        <f aca="false">COMPLEX(0,C56*L_Cf)</f>
        <v>1.96542499572054e-13i</v>
      </c>
      <c r="H56" s="5" t="str">
        <f aca="false">COMPLEX(0,C56*L_Cbv)</f>
        <v>1.96542499572054e-12i</v>
      </c>
      <c r="I56" s="5" t="str">
        <f aca="false">COMPLEX(L_Rsq+L_Rh,C56*(L_Md+L_Mh)-1/(C56*L_Cd))</f>
        <v>552400610.124532-6197754640220.48i</v>
      </c>
      <c r="J56" s="5" t="str">
        <f aca="false">IMDIV(1,I56)</f>
        <v>1.43808775301417e-17+1.61348754525787e-13i</v>
      </c>
      <c r="K56" s="5" t="str">
        <f aca="false">IMSUM(F56,G56,H56)</f>
        <v>1.29919818859778e-08-4.61898805579528e-10i</v>
      </c>
      <c r="L56" s="5" t="str">
        <f aca="false">IMSUM(IMPRODUCT(IMSUM(F56,G56),H56),IMPRODUCT(IMSUM(J56,L_Yv),K56))</f>
        <v>2.69703677584465e-20+2.67072017851042e-20i</v>
      </c>
      <c r="M56" s="37" t="n">
        <f aca="false">IMABS(IMDIV(IMPRODUCT(J56,F56,H56),L56))^2</f>
        <v>1.17972996813786E-026</v>
      </c>
      <c r="N56" s="5" t="str">
        <f aca="false">IMDIV(IMPRODUCT(L_Yv,K56,E56),H56)</f>
        <v>0.000169119440779437-1.01758557648122i</v>
      </c>
      <c r="O56" s="37" t="n">
        <f aca="false">IMABS(IMSUM(1,IMPRODUCT(E56,G56),N56))^2</f>
        <v>2.03578684484861</v>
      </c>
      <c r="P56" s="37" t="n">
        <f aca="false">IMABS(N56)^2</f>
        <v>1.035480434064</v>
      </c>
      <c r="Q56" s="37" t="n">
        <f aca="false">p_Rb^2/(1+(C56*p_Rb*L_Ctot)^2)</f>
        <v>4.77145326680761E+018</v>
      </c>
      <c r="R56" s="37" t="n">
        <f aca="false">M56*L_Kt^2*Q56</f>
        <v>1.12971972433306E-005</v>
      </c>
      <c r="S56" s="37" t="n">
        <f aca="false">L_kT4*D56</f>
        <v>1.26575292822317E-012</v>
      </c>
      <c r="T56" s="37" t="n">
        <f aca="false">L_kT4*L_Rsq*O56</f>
        <v>1.05158394060384E-011</v>
      </c>
      <c r="U56" s="37" t="n">
        <f aca="false">L_kT4*L_Rh*O56</f>
        <v>8.00090112216135E-012</v>
      </c>
      <c r="V56" s="37" t="n">
        <f aca="false">L_kT4*p_Rv*P56</f>
        <v>8.52491365890521E-009</v>
      </c>
      <c r="W56" s="37" t="n">
        <f aca="false">L_kT4/p_Rb*Q56/R56</f>
        <v>6.95437412685139E-009</v>
      </c>
      <c r="X56" s="37" t="n">
        <f aca="false">p_en^2*(1+p_fc/B56)/R56</f>
        <v>2.48155844398432E-011</v>
      </c>
      <c r="Y56" s="37" t="n">
        <f aca="false">p_in^2*Q56/R56</f>
        <v>1.0558931485472E-009</v>
      </c>
      <c r="Z56" s="37" t="n">
        <f aca="false">p_eo^2/L_G^2/R56</f>
        <v>5.61163325141295E-012</v>
      </c>
      <c r="AA56" s="37" t="n">
        <f aca="false">SUM(S56:Z56)</f>
        <v>1.65853906454515E-008</v>
      </c>
      <c r="AB56" s="47" t="n">
        <f aca="false">10*LOG10(AA56/L_PREF^2)</f>
        <v>16.1766571384113</v>
      </c>
      <c r="AC56" s="47" t="n">
        <f aca="false">10*LOG10(S56/L_PREF^2)</f>
        <v>-24.9971105056066</v>
      </c>
      <c r="AD56" s="47" t="n">
        <f aca="false">10*LOG10(T56/L_PREF^2)</f>
        <v>-15.8021604622569</v>
      </c>
      <c r="AE56" s="47" t="n">
        <f aca="false">10*LOG10(U56/L_PREF^2)</f>
        <v>-16.9892108804317</v>
      </c>
      <c r="AF56" s="47" t="n">
        <f aca="false">10*LOG10(V56/L_PREF^2)</f>
        <v>13.2862999778515</v>
      </c>
      <c r="AG56" s="47" t="n">
        <f aca="false">10*LOG10(W56/L_PREF^2)</f>
        <v>12.4019805953703</v>
      </c>
      <c r="AH56" s="47" t="n">
        <f aca="false">10*LOG10(X56/L_PREF^2)</f>
        <v>-12.0733548346458</v>
      </c>
      <c r="AI56" s="47" t="n">
        <f aca="false">10*LOG10(Y56/L_PREF^2)</f>
        <v>4.21559980521118</v>
      </c>
      <c r="AJ56" s="47" t="n">
        <f aca="false">10*LOG10(Z56/L_PREF^2)</f>
        <v>-18.5297071138295</v>
      </c>
      <c r="AK56" s="47" t="n">
        <f aca="false">10*LOG10(R56/$R$6)</f>
        <v>-2.75800193259652</v>
      </c>
      <c r="AL56" s="37" t="n">
        <f aca="false">(12194^2*B56^4/((B56^2+20.6^2)*SQRT((B56^2+107.7^2)*(B56^2+737.9^2))*(B56^2+12194^2))*1.2589254)^2</f>
        <v>8.09084676691753E-005</v>
      </c>
      <c r="AM56" s="37" t="n">
        <f aca="false">0.5*(B56-B55)*(S56*AL56+S55*AL55)</f>
        <v>6.50770303817692E-017</v>
      </c>
      <c r="AN56" s="37" t="n">
        <f aca="false">0.5*(B56-B55)*(T56*AL56+T55*AL55)</f>
        <v>5.46768925736075E-016</v>
      </c>
      <c r="AO56" s="37" t="n">
        <f aca="false">0.5*(B56-B55)*(U56*AL56+U55*AL55)</f>
        <v>4.16005222462098E-016</v>
      </c>
      <c r="AP56" s="37" t="n">
        <f aca="false">0.5*(B56-B55)*(V56*AL56+V55*AL55)</f>
        <v>4.48023556947525E-013</v>
      </c>
      <c r="AQ56" s="37" t="n">
        <f aca="false">0.5*(B56-B55)*(W56*AL56+W55*AL55)</f>
        <v>3.69377497134521E-013</v>
      </c>
      <c r="AR56" s="37" t="n">
        <f aca="false">0.5*(B56-B55)*(X56*AL56+X55*AL55)</f>
        <v>1.30018948031449E-015</v>
      </c>
      <c r="AS56" s="37" t="n">
        <f aca="false">0.5*(B56-B55)*(Y56*AL56+Y55*AL55)</f>
        <v>5.60831444120819E-014</v>
      </c>
      <c r="AT56" s="37" t="n">
        <f aca="false">0.5*(B56-B55)*(Z56*AL56+Z55*AL55)</f>
        <v>2.91523854292044E-016</v>
      </c>
      <c r="AU56" s="37" t="n">
        <f aca="false">0.5*(B56-B55)*(AA56*AL56+AA55*AL55)</f>
        <v>8.76103763007315E-013</v>
      </c>
      <c r="AV56" s="37" t="n">
        <f aca="false">0.5*(B56-B55)*(S56+S55)</f>
        <v>8.52294817816193E-013</v>
      </c>
      <c r="AW56" s="37" t="n">
        <f aca="false">0.5*(B56-B55)*(T56+T55)</f>
        <v>7.16594822722266E-012</v>
      </c>
      <c r="AX56" s="37" t="n">
        <f aca="false">0.5*(B56-B55)*(U56+U55)</f>
        <v>5.45216040286935E-012</v>
      </c>
      <c r="AY56" s="37" t="n">
        <f aca="false">0.5*(B56-B55)*(V56+V55)</f>
        <v>5.87571206090086E-009</v>
      </c>
      <c r="AZ56" s="37" t="n">
        <f aca="false">0.5*(B56-B55)*(W56+W55)</f>
        <v>4.84745287961492E-009</v>
      </c>
      <c r="BA56" s="37" t="n">
        <f aca="false">0.5*(B56-B55)*(X56+X55)</f>
        <v>1.7048408523319E-011</v>
      </c>
      <c r="BB56" s="37" t="n">
        <f aca="false">0.5*(B56-B55)*(Y56+Y55)</f>
        <v>7.35996106929056E-010</v>
      </c>
      <c r="BC56" s="37" t="n">
        <f aca="false">0.5*(B56-B55)*(Z56+Z55)</f>
        <v>3.82050193338622E-012</v>
      </c>
      <c r="BD56" s="37" t="n">
        <f aca="false">0.5*(B56-B55)*(AA56+AA55)</f>
        <v>1.14935003613495E-008</v>
      </c>
      <c r="BE56" s="37" t="n">
        <f aca="false">IF(B56&gt;2000,AK56,-999)</f>
        <v>-999</v>
      </c>
      <c r="BF56" s="37" t="n">
        <f aca="false">IF(AND(B56&lt;1000,AK56&gt;=-3),B56,1000000000)</f>
        <v>29.5821677633641</v>
      </c>
    </row>
    <row r="57" customFormat="false" ht="15" hidden="false" customHeight="false" outlineLevel="0" collapsed="false">
      <c r="A57" s="5" t="n">
        <v>18</v>
      </c>
      <c r="B57" s="47" t="n">
        <f aca="false">20*10^(A57/100)</f>
        <v>30.2712249687242</v>
      </c>
      <c r="C57" s="37" t="n">
        <f aca="false">2*PI()*B57</f>
        <v>190.199715953815</v>
      </c>
      <c r="D57" s="37" t="n">
        <f aca="false">SQRT(L_Rp0^2+L_Rp1^2*C57)</f>
        <v>76877678.7735488</v>
      </c>
      <c r="E57" s="5" t="str">
        <f aca="false">COMPLEX(D57,C57*L_Mp)</f>
        <v>76877678.7735488+2809766.9893864i</v>
      </c>
      <c r="F57" s="5" t="str">
        <f aca="false">IMDIV(1,E57)</f>
        <v>1.29903243965993e-08-4.74777402924709e-10i</v>
      </c>
      <c r="G57" s="5" t="str">
        <f aca="false">COMPLEX(0,C57*L_Cf)</f>
        <v>2.01120562497426e-13i</v>
      </c>
      <c r="H57" s="5" t="str">
        <f aca="false">COMPLEX(0,C57*L_Cbv)</f>
        <v>2.01120562497426e-12i</v>
      </c>
      <c r="I57" s="5" t="str">
        <f aca="false">COMPLEX(L_Rsq+L_Rh,C57*(L_Md+L_Mh)-1/(C57*L_Cd))</f>
        <v>552400610.124532-6056676488519.55i</v>
      </c>
      <c r="J57" s="5" t="str">
        <f aca="false">IMDIV(1,I57)</f>
        <v>1.50586275625901e-17+1.65107050636947e-13i</v>
      </c>
      <c r="K57" s="5" t="str">
        <f aca="false">IMSUM(F57,G57,H57)</f>
        <v>1.29903243965993e-08-4.72565076737237e-10i</v>
      </c>
      <c r="L57" s="5" t="str">
        <f aca="false">IMSUM(IMPRODUCT(IMSUM(F57,G57),H57),IMPRODUCT(IMSUM(J57,L_Yv),K57))</f>
        <v>2.70133387242759e-20+2.73258703749646e-20i</v>
      </c>
      <c r="M57" s="37" t="n">
        <f aca="false">IMABS(IMDIV(IMPRODUCT(J57,F57,H57),L57))^2</f>
        <v>1.2619813324725E-026</v>
      </c>
      <c r="N57" s="5" t="str">
        <f aca="false">IMDIV(IMPRODUCT(L_Yv,K57,E57),H57)</f>
        <v>0.000169130893301831-0.994422222632465i</v>
      </c>
      <c r="O57" s="37" t="n">
        <f aca="false">IMABS(IMSUM(1,IMPRODUCT(E57,G57),N57))^2</f>
        <v>1.98918196622118</v>
      </c>
      <c r="P57" s="37" t="n">
        <f aca="false">IMABS(N57)^2</f>
        <v>0.988875585470551</v>
      </c>
      <c r="Q57" s="37" t="n">
        <f aca="false">p_Rb^2/(1+(C57*p_Rb*L_Ctot)^2)</f>
        <v>4.55670347290462E+018</v>
      </c>
      <c r="R57" s="37" t="n">
        <f aca="false">M57*L_Kt^2*Q57</f>
        <v>1.15409384185992E-005</v>
      </c>
      <c r="S57" s="37" t="n">
        <f aca="false">L_kT4*D57</f>
        <v>1.2658386431685E-012</v>
      </c>
      <c r="T57" s="37" t="n">
        <f aca="false">L_kT4*L_Rsq*O57</f>
        <v>1.02751023070519E-011</v>
      </c>
      <c r="U57" s="37" t="n">
        <f aca="false">L_kT4*L_Rh*O57</f>
        <v>7.8177380239952E-012</v>
      </c>
      <c r="V57" s="37" t="n">
        <f aca="false">L_kT4*p_Rv*P57</f>
        <v>8.14122479596242E-009</v>
      </c>
      <c r="W57" s="37" t="n">
        <f aca="false">L_kT4/p_Rb*Q57/R57</f>
        <v>6.50111325419935E-009</v>
      </c>
      <c r="X57" s="37" t="n">
        <f aca="false">p_en^2*(1+p_fc/B57)/R57</f>
        <v>2.38647754084335E-011</v>
      </c>
      <c r="Y57" s="37" t="n">
        <f aca="false">p_in^2*Q57/R57</f>
        <v>9.87073864279772E-010</v>
      </c>
      <c r="Z57" s="37" t="n">
        <f aca="false">p_eo^2/L_G^2/R57</f>
        <v>5.49311723180822E-012</v>
      </c>
      <c r="AA57" s="37" t="n">
        <f aca="false">SUM(S57:Z57)</f>
        <v>1.5678128486056E-008</v>
      </c>
      <c r="AB57" s="47" t="n">
        <f aca="false">10*LOG10(AA57/L_PREF^2)</f>
        <v>15.9323422794594</v>
      </c>
      <c r="AC57" s="47" t="n">
        <f aca="false">10*LOG10(S57/L_PREF^2)</f>
        <v>-24.9968164176643</v>
      </c>
      <c r="AD57" s="47" t="n">
        <f aca="false">10*LOG10(T57/L_PREF^2)</f>
        <v>-15.902738365787</v>
      </c>
      <c r="AE57" s="47" t="n">
        <f aca="false">10*LOG10(U57/L_PREF^2)</f>
        <v>-17.0897887839617</v>
      </c>
      <c r="AF57" s="47" t="n">
        <f aca="false">10*LOG10(V57/L_PREF^2)</f>
        <v>13.0862975534426</v>
      </c>
      <c r="AG57" s="47" t="n">
        <f aca="false">10*LOG10(W57/L_PREF^2)</f>
        <v>12.1092774050838</v>
      </c>
      <c r="AH57" s="47" t="n">
        <f aca="false">10*LOG10(X57/L_PREF^2)</f>
        <v>-12.2430263975484</v>
      </c>
      <c r="AI57" s="47" t="n">
        <f aca="false">10*LOG10(Y57/L_PREF^2)</f>
        <v>3.92289661492464</v>
      </c>
      <c r="AJ57" s="47" t="n">
        <f aca="false">10*LOG10(Z57/L_PREF^2)</f>
        <v>-18.6224112367669</v>
      </c>
      <c r="AK57" s="47" t="n">
        <f aca="false">10*LOG10(R57/$R$6)</f>
        <v>-2.66529780965912</v>
      </c>
      <c r="AL57" s="37" t="n">
        <f aca="false">(12194^2*B57^4/((B57^2+20.6^2)*SQRT((B57^2+107.7^2)*(B57^2+737.9^2))*(B57^2+12194^2))*1.2589254)^2</f>
        <v>9.10727726588319E-005</v>
      </c>
      <c r="AM57" s="37" t="n">
        <f aca="false">0.5*(B57-B56)*(S57*AL57+S56*AL56)</f>
        <v>7.50016597075669E-017</v>
      </c>
      <c r="AN57" s="37" t="n">
        <f aca="false">0.5*(B57-B56)*(T57*AL57+T56*AL56)</f>
        <v>6.15535665988995E-016</v>
      </c>
      <c r="AO57" s="37" t="n">
        <f aca="false">0.5*(B57-B56)*(U57*AL57+U56*AL56)</f>
        <v>4.68325904436476E-016</v>
      </c>
      <c r="AP57" s="37" t="n">
        <f aca="false">0.5*(B57-B56)*(V57*AL57+V56*AL56)</f>
        <v>4.93083002397324E-013</v>
      </c>
      <c r="AQ57" s="37" t="n">
        <f aca="false">0.5*(B57-B56)*(W57*AL57+W56*AL56)</f>
        <v>3.97841704091381E-013</v>
      </c>
      <c r="AR57" s="37" t="n">
        <f aca="false">0.5*(B57-B56)*(X57*AL57+X56*AL56)</f>
        <v>1.44055063402246E-015</v>
      </c>
      <c r="AS57" s="37" t="n">
        <f aca="false">0.5*(B57-B56)*(Y57*AL57+Y56*AL56)</f>
        <v>6.04049080325539E-014</v>
      </c>
      <c r="AT57" s="37" t="n">
        <f aca="false">0.5*(B57-B56)*(Z57*AL57+Z56*AL56)</f>
        <v>3.28784356759638E-016</v>
      </c>
      <c r="AU57" s="37" t="n">
        <f aca="false">0.5*(B57-B56)*(AA57*AL57+AA56*AL56)</f>
        <v>9.54257812742174E-013</v>
      </c>
      <c r="AV57" s="37" t="n">
        <f aca="false">0.5*(B57-B56)*(S57+S56)</f>
        <v>8.72205706648056E-013</v>
      </c>
      <c r="AW57" s="37" t="n">
        <f aca="false">0.5*(B57-B56)*(T57+T56)</f>
        <v>7.16307409681248E-012</v>
      </c>
      <c r="AX57" s="37" t="n">
        <f aca="false">0.5*(B57-B56)*(U57+U56)</f>
        <v>5.44997364132458E-012</v>
      </c>
      <c r="AY57" s="37" t="n">
        <f aca="false">0.5*(B57-B56)*(V57+V56)</f>
        <v>5.74196139392709E-009</v>
      </c>
      <c r="AZ57" s="37" t="n">
        <f aca="false">0.5*(B57-B56)*(W57+W56)</f>
        <v>4.63580026577189E-009</v>
      </c>
      <c r="BA57" s="37" t="n">
        <f aca="false">0.5*(B57-B56)*(X57+X56)</f>
        <v>1.67717763564867E-011</v>
      </c>
      <c r="BB57" s="37" t="n">
        <f aca="false">0.5*(B57-B56)*(Y57+Y56)</f>
        <v>7.03860570250625E-010</v>
      </c>
      <c r="BC57" s="37" t="n">
        <f aca="false">0.5*(B57-B56)*(Z57+Z56)</f>
        <v>3.82590416709433E-012</v>
      </c>
      <c r="BD57" s="37" t="n">
        <f aca="false">0.5*(B57-B56)*(AA57+AA56)</f>
        <v>1.1115705163918E-008</v>
      </c>
      <c r="BE57" s="37" t="n">
        <f aca="false">IF(B57&gt;2000,AK57,-999)</f>
        <v>-999</v>
      </c>
      <c r="BF57" s="37" t="n">
        <f aca="false">IF(AND(B57&lt;1000,AK57&gt;=-3),B57,1000000000)</f>
        <v>30.2712249687242</v>
      </c>
    </row>
    <row r="58" customFormat="false" ht="15" hidden="false" customHeight="false" outlineLevel="0" collapsed="false">
      <c r="A58" s="5" t="n">
        <v>19</v>
      </c>
      <c r="B58" s="47" t="n">
        <f aca="false">20*10^(A58/100)</f>
        <v>30.9763323782496</v>
      </c>
      <c r="C58" s="37" t="n">
        <f aca="false">2*PI()*B58</f>
        <v>194.630036469329</v>
      </c>
      <c r="D58" s="37" t="n">
        <f aca="false">SQRT(L_Rp0^2+L_Rp1^2*C58)</f>
        <v>76883005.3567558</v>
      </c>
      <c r="E58" s="5" t="str">
        <f aca="false">COMPLEX(D58,C58*L_Mp)</f>
        <v>76883005.3567558+2875214.87018089i</v>
      </c>
      <c r="F58" s="5" t="str">
        <f aca="false">IMDIV(1,E58)</f>
        <v>1.29886103234356e-08-4.85738628083502e-10i</v>
      </c>
      <c r="G58" s="5" t="str">
        <f aca="false">COMPLEX(0,C58*L_Cf)</f>
        <v>2.05805262207179e-13i</v>
      </c>
      <c r="H58" s="5" t="str">
        <f aca="false">COMPLEX(0,C58*L_Cbv)</f>
        <v>2.05805262207179e-12i</v>
      </c>
      <c r="I58" s="5" t="str">
        <f aca="false">COMPLEX(L_Rsq+L_Rh,C58*(L_Md+L_Mh)-1/(C58*L_Cd))</f>
        <v>552400610.124532-5918809666862.42i</v>
      </c>
      <c r="J58" s="5" t="str">
        <f aca="false">IMDIV(1,I58)</f>
        <v>1.57683189849396e-17+1.68952888768879e-13i</v>
      </c>
      <c r="K58" s="5" t="str">
        <f aca="false">IMSUM(F58,G58,H58)</f>
        <v>1.29886103234356e-08-4.83474770199223e-10i</v>
      </c>
      <c r="L58" s="5" t="str">
        <f aca="false">IMSUM(IMPRODUCT(IMSUM(F58,G58),H58),IMPRODUCT(IMSUM(J58,L_Yv),K58))</f>
        <v>2.70583620136032e-20+2.79587496044703e-20i</v>
      </c>
      <c r="M58" s="37" t="n">
        <f aca="false">IMABS(IMDIV(IMPRODUCT(J58,F58,H58),L58))^2</f>
        <v>1.34925691855465E-026</v>
      </c>
      <c r="N58" s="5" t="str">
        <f aca="false">IMDIV(IMPRODUCT(L_Yv,K58,E58),H58)</f>
        <v>0.000169142611784836-0.971786124608885i</v>
      </c>
      <c r="O58" s="37" t="n">
        <f aca="false">IMABS(IMSUM(1,IMPRODUCT(E58,G58),N58))^2</f>
        <v>1.94467464939501</v>
      </c>
      <c r="P58" s="37" t="n">
        <f aca="false">IMABS(N58)^2</f>
        <v>0.944368300591579</v>
      </c>
      <c r="Q58" s="37" t="n">
        <f aca="false">p_Rb^2/(1+(C58*p_Rb*L_Ctot)^2)</f>
        <v>4.35161892577572E+018</v>
      </c>
      <c r="R58" s="37" t="n">
        <f aca="false">M58*L_Kt^2*Q58</f>
        <v>1.1783734142112E-005</v>
      </c>
      <c r="S58" s="37" t="n">
        <f aca="false">L_kT4*D58</f>
        <v>1.26592634866335E-012</v>
      </c>
      <c r="T58" s="37" t="n">
        <f aca="false">L_kT4*L_Rsq*O58</f>
        <v>1.00452001454763E-011</v>
      </c>
      <c r="U58" s="37" t="n">
        <f aca="false">L_kT4*L_Rh*O58</f>
        <v>7.6428186103837E-012</v>
      </c>
      <c r="V58" s="37" t="n">
        <f aca="false">L_kT4*p_Rv*P58</f>
        <v>7.77480477651657E-009</v>
      </c>
      <c r="W58" s="37" t="n">
        <f aca="false">L_kT4/p_Rb*Q58/R58</f>
        <v>6.08059403236391E-009</v>
      </c>
      <c r="X58" s="37" t="n">
        <f aca="false">p_en^2*(1+p_fc/B58)/R58</f>
        <v>2.29646519539169E-011</v>
      </c>
      <c r="Y58" s="37" t="n">
        <f aca="false">p_in^2*Q58/R58</f>
        <v>9.23225794407599E-010</v>
      </c>
      <c r="Z58" s="37" t="n">
        <f aca="false">p_eo^2/L_G^2/R58</f>
        <v>5.37993533576803E-012</v>
      </c>
      <c r="AA58" s="37" t="n">
        <f aca="false">SUM(S58:Z58)</f>
        <v>1.48259231356823E-008</v>
      </c>
      <c r="AB58" s="47" t="n">
        <f aca="false">10*LOG10(AA58/L_PREF^2)</f>
        <v>15.689617528838</v>
      </c>
      <c r="AC58" s="47" t="n">
        <f aca="false">10*LOG10(S58/L_PREF^2)</f>
        <v>-24.9965155207597</v>
      </c>
      <c r="AD58" s="47" t="n">
        <f aca="false">10*LOG10(T58/L_PREF^2)</f>
        <v>-16.0010139706201</v>
      </c>
      <c r="AE58" s="47" t="n">
        <f aca="false">10*LOG10(U58/L_PREF^2)</f>
        <v>-17.1880643887948</v>
      </c>
      <c r="AF58" s="47" t="n">
        <f aca="false">10*LOG10(V58/L_PREF^2)</f>
        <v>12.8862950147753</v>
      </c>
      <c r="AG58" s="47" t="n">
        <f aca="false">10*LOG10(W58/L_PREF^2)</f>
        <v>11.8188601761182</v>
      </c>
      <c r="AH58" s="47" t="n">
        <f aca="false">10*LOG10(X58/L_PREF^2)</f>
        <v>-12.410001235744</v>
      </c>
      <c r="AI58" s="47" t="n">
        <f aca="false">10*LOG10(Y58/L_PREF^2)</f>
        <v>3.632479385959</v>
      </c>
      <c r="AJ58" s="47" t="n">
        <f aca="false">10*LOG10(Z58/L_PREF^2)</f>
        <v>-18.7128293564074</v>
      </c>
      <c r="AK58" s="47" t="n">
        <f aca="false">10*LOG10(R58/$R$6)</f>
        <v>-2.57487969001864</v>
      </c>
      <c r="AL58" s="37" t="n">
        <f aca="false">(12194^2*B58^4/((B58^2+20.6^2)*SQRT((B58^2+107.7^2)*(B58^2+737.9^2))*(B58^2+12194^2))*1.2589254)^2</f>
        <v>0.000102404867074138</v>
      </c>
      <c r="AM58" s="37" t="n">
        <f aca="false">0.5*(B58-B57)*(S58*AL58+S57*AL57)</f>
        <v>8.63476135823743E-017</v>
      </c>
      <c r="AN58" s="37" t="n">
        <f aca="false">0.5*(B58-B57)*(T58*AL58+T57*AL57)</f>
        <v>6.92577454163901E-016</v>
      </c>
      <c r="AO58" s="37" t="n">
        <f aca="false">0.5*(B58-B57)*(U58*AL58+U57*AL57)</f>
        <v>5.26942597375698E-016</v>
      </c>
      <c r="AP58" s="37" t="n">
        <f aca="false">0.5*(B58-B57)*(V58*AL58+V57*AL57)</f>
        <v>5.4209424965952E-013</v>
      </c>
      <c r="AQ58" s="37" t="n">
        <f aca="false">0.5*(B58-B57)*(W58*AL58+W57*AL57)</f>
        <v>4.28267021875875E-013</v>
      </c>
      <c r="AR58" s="37" t="n">
        <f aca="false">0.5*(B58-B57)*(X58*AL58+X57*AL57)</f>
        <v>1.59534901779337E-015</v>
      </c>
      <c r="AS58" s="37" t="n">
        <f aca="false">0.5*(B58-B57)*(Y58*AL58+Y57*AL57)</f>
        <v>6.50244300779638E-014</v>
      </c>
      <c r="AT58" s="37" t="n">
        <f aca="false">0.5*(B58-B57)*(Z58*AL58+Z57*AL57)</f>
        <v>3.7060621008209E-016</v>
      </c>
      <c r="AU58" s="37" t="n">
        <f aca="false">0.5*(B58-B57)*(AA58*AL58+AA57*AL57)</f>
        <v>1.03865752450636E-012</v>
      </c>
      <c r="AV58" s="37" t="n">
        <f aca="false">0.5*(B58-B57)*(S58+S57)</f>
        <v>8.92583127458911E-013</v>
      </c>
      <c r="AW58" s="37" t="n">
        <f aca="false">0.5*(B58-B57)*(T58+T57)</f>
        <v>7.16399791153807E-012</v>
      </c>
      <c r="AX58" s="37" t="n">
        <f aca="false">0.5*(B58-B57)*(U58+U57)</f>
        <v>5.45067651914435E-012</v>
      </c>
      <c r="AY58" s="37" t="n">
        <f aca="false">0.5*(B58-B57)*(V58+V57)</f>
        <v>5.6112551908907E-009</v>
      </c>
      <c r="AZ58" s="37" t="n">
        <f aca="false">0.5*(B58-B57)*(W58+W57)</f>
        <v>4.43572751611816E-009</v>
      </c>
      <c r="BA58" s="37" t="n">
        <f aca="false">0.5*(B58-B57)*(X58+X57)</f>
        <v>1.6509888108514E-011</v>
      </c>
      <c r="BB58" s="37" t="n">
        <f aca="false">0.5*(B58-B57)*(Y58+Y57)</f>
        <v>6.73483221877219E-010</v>
      </c>
      <c r="BC58" s="37" t="n">
        <f aca="false">0.5*(B58-B57)*(Z58+Z57)</f>
        <v>3.83333496477896E-012</v>
      </c>
      <c r="BD58" s="37" t="n">
        <f aca="false">0.5*(B58-B57)*(AA58+AA57)</f>
        <v>1.07543164095175E-008</v>
      </c>
      <c r="BE58" s="37" t="n">
        <f aca="false">IF(B58&gt;2000,AK58,-999)</f>
        <v>-999</v>
      </c>
      <c r="BF58" s="37" t="n">
        <f aca="false">IF(AND(B58&lt;1000,AK58&gt;=-3),B58,1000000000)</f>
        <v>30.9763323782496</v>
      </c>
    </row>
    <row r="59" customFormat="false" ht="15" hidden="false" customHeight="false" outlineLevel="0" collapsed="false">
      <c r="A59" s="5" t="n">
        <v>20</v>
      </c>
      <c r="B59" s="47" t="n">
        <f aca="false">20*10^(A59/100)</f>
        <v>31.6978638492223</v>
      </c>
      <c r="C59" s="37" t="n">
        <f aca="false">2*PI()*B59</f>
        <v>199.163552406412</v>
      </c>
      <c r="D59" s="37" t="n">
        <f aca="false">SQRT(L_Rp0^2+L_Rp1^2*C59)</f>
        <v>76888455.6300228</v>
      </c>
      <c r="E59" s="5" t="str">
        <f aca="false">COMPLEX(D59,C59*L_Mp)</f>
        <v>76888455.6300228+2942187.22795753i</v>
      </c>
      <c r="F59" s="5" t="str">
        <f aca="false">IMDIV(1,E59)</f>
        <v>1.2986837520385e-08-4.9694986290135e-10i</v>
      </c>
      <c r="G59" s="5" t="str">
        <f aca="false">COMPLEX(0,C59*L_Cf)</f>
        <v>2.1059908259111e-13i</v>
      </c>
      <c r="H59" s="5" t="str">
        <f aca="false">COMPLEX(0,C59*L_Cbv)</f>
        <v>2.1059908259111e-12i</v>
      </c>
      <c r="I59" s="5" t="str">
        <f aca="false">COMPLEX(L_Rsq+L_Rh,C59*(L_Md+L_Mh)-1/(C59*L_Cd))</f>
        <v>552400610.124532-5784081076435.37i</v>
      </c>
      <c r="J59" s="5" t="str">
        <f aca="false">IMDIV(1,I59)</f>
        <v>1.65114571499596e-17+1.72888308041378e-13i</v>
      </c>
      <c r="K59" s="5" t="str">
        <f aca="false">IMSUM(F59,G59,H59)</f>
        <v>1.2986837520385e-08-4.94633272992848e-10i</v>
      </c>
      <c r="L59" s="5" t="str">
        <f aca="false">IMSUM(IMPRODUCT(IMSUM(F59,G59),H59),IMPRODUCT(IMSUM(J59,L_Yv),K59))</f>
        <v>2.7105534114522e-20+2.86061583281348e-20i</v>
      </c>
      <c r="M59" s="37" t="n">
        <f aca="false">IMABS(IMDIV(IMPRODUCT(J59,F59,H59),L59))^2</f>
        <v>1.4418125016627E-026</v>
      </c>
      <c r="N59" s="5" t="str">
        <f aca="false">IMDIV(IMPRODUCT(L_Yv,K59,E59),H59)</f>
        <v>0.000169154602386053-0.949665280451675i</v>
      </c>
      <c r="O59" s="37" t="n">
        <f aca="false">IMABS(IMSUM(1,IMPRODUCT(E59,G59),N59))^2</f>
        <v>1.90217048834987</v>
      </c>
      <c r="P59" s="37" t="n">
        <f aca="false">IMABS(N59)^2</f>
        <v>0.901864173508638</v>
      </c>
      <c r="Q59" s="37" t="n">
        <f aca="false">p_Rb^2/(1+(C59*p_Rb*L_Ctot)^2)</f>
        <v>4.15576462523414E+018</v>
      </c>
      <c r="R59" s="37" t="n">
        <f aca="false">M59*L_Kt^2*Q59</f>
        <v>1.20253341746261E-005</v>
      </c>
      <c r="S59" s="37" t="n">
        <f aca="false">L_kT4*D59</f>
        <v>1.26601609079172E-012</v>
      </c>
      <c r="T59" s="37" t="n">
        <f aca="false">L_kT4*L_Rsq*O59</f>
        <v>9.82564526782787E-012</v>
      </c>
      <c r="U59" s="37" t="n">
        <f aca="false">L_kT4*L_Rh*O59</f>
        <v>7.47577185366499E-012</v>
      </c>
      <c r="V59" s="37" t="n">
        <f aca="false">L_kT4*p_Rv*P59</f>
        <v>7.42487637457942E-009</v>
      </c>
      <c r="W59" s="37" t="n">
        <f aca="false">L_kT4/p_Rb*Q59/R59</f>
        <v>5.69025692149843E-009</v>
      </c>
      <c r="X59" s="37" t="n">
        <f aca="false">p_en^2*(1+p_fc/B59)/R59</f>
        <v>2.21121797009794E-011</v>
      </c>
      <c r="Y59" s="37" t="n">
        <f aca="false">p_in^2*Q59/R59</f>
        <v>8.63960320122111E-010</v>
      </c>
      <c r="Z59" s="37" t="n">
        <f aca="false">p_eo^2/L_G^2/R59</f>
        <v>5.2718474828094E-012</v>
      </c>
      <c r="AA59" s="37" t="n">
        <f aca="false">SUM(S59:Z59)</f>
        <v>1.4025045076596E-008</v>
      </c>
      <c r="AB59" s="47" t="n">
        <f aca="false">10*LOG10(AA59/L_PREF^2)</f>
        <v>15.4484427442808</v>
      </c>
      <c r="AC59" s="47" t="n">
        <f aca="false">10*LOG10(S59/L_PREF^2)</f>
        <v>-24.9962076582226</v>
      </c>
      <c r="AD59" s="47" t="n">
        <f aca="false">10*LOG10(T59/L_PREF^2)</f>
        <v>-16.0969891044284</v>
      </c>
      <c r="AE59" s="47" t="n">
        <f aca="false">10*LOG10(U59/L_PREF^2)</f>
        <v>-17.2840395226031</v>
      </c>
      <c r="AF59" s="47" t="n">
        <f aca="false">10*LOG10(V59/L_PREF^2)</f>
        <v>12.6862923564648</v>
      </c>
      <c r="AG59" s="47" t="n">
        <f aca="false">10*LOG10(W59/L_PREF^2)</f>
        <v>11.53071884394</v>
      </c>
      <c r="AH59" s="47" t="n">
        <f aca="false">10*LOG10(X59/L_PREF^2)</f>
        <v>-12.5742843620067</v>
      </c>
      <c r="AI59" s="47" t="n">
        <f aca="false">10*LOG10(Y59/L_PREF^2)</f>
        <v>3.34433805378089</v>
      </c>
      <c r="AJ59" s="47" t="n">
        <f aca="false">10*LOG10(Z59/L_PREF^2)</f>
        <v>-18.8009715391735</v>
      </c>
      <c r="AK59" s="47" t="n">
        <f aca="false">10*LOG10(R59/$R$6)</f>
        <v>-2.48673750725249</v>
      </c>
      <c r="AL59" s="37" t="n">
        <f aca="false">(12194^2*B59^4/((B59^2+20.6^2)*SQRT((B59^2+107.7^2)*(B59^2+737.9^2))*(B59^2+12194^2))*1.2589254)^2</f>
        <v>0.000115025566301019</v>
      </c>
      <c r="AM59" s="37" t="n">
        <f aca="false">0.5*(B59-B58)*(S59*AL59+S58*AL58)</f>
        <v>9.93048227073851E-017</v>
      </c>
      <c r="AN59" s="37" t="n">
        <f aca="false">0.5*(B59-B58)*(T59*AL59+T58*AL58)</f>
        <v>7.7884913620043E-016</v>
      </c>
      <c r="AO59" s="37" t="n">
        <f aca="false">0.5*(B59-B58)*(U59*AL59+U58*AL58)</f>
        <v>5.92581788976555E-016</v>
      </c>
      <c r="AP59" s="37" t="n">
        <f aca="false">0.5*(B59-B58)*(V59*AL59+V58*AL58)</f>
        <v>5.95345883864215E-013</v>
      </c>
      <c r="AQ59" s="37" t="n">
        <f aca="false">0.5*(B59-B58)*(W59*AL59+W58*AL58)</f>
        <v>4.60772684494125E-013</v>
      </c>
      <c r="AR59" s="37" t="n">
        <f aca="false">0.5*(B59-B58)*(X59*AL59+X58*AL58)</f>
        <v>1.76600532056585E-015</v>
      </c>
      <c r="AS59" s="37" t="n">
        <f aca="false">0.5*(B59-B58)*(Y59*AL59+Y58*AL58)</f>
        <v>6.99598140279119E-014</v>
      </c>
      <c r="AT59" s="37" t="n">
        <f aca="false">0.5*(B59-B58)*(Z59*AL59+Z58*AL58)</f>
        <v>4.17524577567633E-016</v>
      </c>
      <c r="AU59" s="37" t="n">
        <f aca="false">0.5*(B59-B58)*(AA59*AL59+AA58*AL58)</f>
        <v>1.12973264803227E-012</v>
      </c>
      <c r="AV59" s="37" t="n">
        <f aca="false">0.5*(B59-B58)*(S59+S58)</f>
        <v>9.13438076379036E-013</v>
      </c>
      <c r="AW59" s="37" t="n">
        <f aca="false">0.5*(B59-B58)*(T59+T58)</f>
        <v>7.16872016026568E-012</v>
      </c>
      <c r="AX59" s="37" t="n">
        <f aca="false">0.5*(B59-B58)*(U59+U58)</f>
        <v>5.45426940827901E-012</v>
      </c>
      <c r="AY59" s="37" t="n">
        <f aca="false">0.5*(B59-B58)*(V59+V58)</f>
        <v>5.48352414963272E-009</v>
      </c>
      <c r="AZ59" s="37" t="n">
        <f aca="false">0.5*(B59-B58)*(W59+W58)</f>
        <v>4.24651970167002E-009</v>
      </c>
      <c r="BA59" s="37" t="n">
        <f aca="false">0.5*(B59-B58)*(X59+X58)</f>
        <v>1.62621763253718E-011</v>
      </c>
      <c r="BB59" s="37" t="n">
        <f aca="false">0.5*(B59-B58)*(Y59+Y58)</f>
        <v>6.44755513059252E-010</v>
      </c>
      <c r="BC59" s="37" t="n">
        <f aca="false">0.5*(B59-B58)*(Z59+Z58)</f>
        <v>3.84279826278465E-012</v>
      </c>
      <c r="BD59" s="37" t="n">
        <f aca="false">0.5*(B59-B58)*(AA59+AA58)</f>
        <v>1.04084407665951E-008</v>
      </c>
      <c r="BE59" s="37" t="n">
        <f aca="false">IF(B59&gt;2000,AK59,-999)</f>
        <v>-999</v>
      </c>
      <c r="BF59" s="37" t="n">
        <f aca="false">IF(AND(B59&lt;1000,AK59&gt;=-3),B59,1000000000)</f>
        <v>31.6978638492223</v>
      </c>
    </row>
    <row r="60" customFormat="false" ht="15" hidden="false" customHeight="false" outlineLevel="0" collapsed="false">
      <c r="A60" s="5" t="n">
        <v>21</v>
      </c>
      <c r="B60" s="47" t="n">
        <f aca="false">20*10^(A60/100)</f>
        <v>32.4362019471786</v>
      </c>
      <c r="C60" s="37" t="n">
        <f aca="false">2*PI()*B60</f>
        <v>203.802667495223</v>
      </c>
      <c r="D60" s="37" t="n">
        <f aca="false">SQRT(L_Rp0^2+L_Rp1^2*C60)</f>
        <v>76894032.4565433</v>
      </c>
      <c r="E60" s="5" t="str">
        <f aca="false">COMPLEX(D60,C60*L_Mp)</f>
        <v>76894032.4565433+3010719.57234688i</v>
      </c>
      <c r="F60" s="5" t="str">
        <f aca="false">IMDIV(1,E60)</f>
        <v>1.29850037538546e-08-5.08416631301291e-10i</v>
      </c>
      <c r="G60" s="5" t="str">
        <f aca="false">COMPLEX(0,C60*L_Cf)</f>
        <v>2.15504565396238e-13i</v>
      </c>
      <c r="H60" s="5" t="str">
        <f aca="false">COMPLEX(0,C60*L_Cbv)</f>
        <v>2.15504565396238e-12i</v>
      </c>
      <c r="I60" s="5" t="str">
        <f aca="false">COMPLEX(L_Rsq+L_Rh,C60*(L_Md+L_Mh)-1/(C60*L_Cd))</f>
        <v>552400610.124532-5652419282356.4i</v>
      </c>
      <c r="J60" s="5" t="str">
        <f aca="false">IMDIV(1,I60)</f>
        <v>1.72896183556487e-17+1.7691539507174e-13i</v>
      </c>
      <c r="K60" s="5" t="str">
        <f aca="false">IMSUM(F60,G60,H60)</f>
        <v>1.29850037538546e-08-5.06046081081932e-10i</v>
      </c>
      <c r="L60" s="5" t="str">
        <f aca="false">IMSUM(IMPRODUCT(IMSUM(F60,G60),H60),IMPRODUCT(IMSUM(J60,L_Yv),K60))</f>
        <v>2.71549559853386e-20+2.92684220640433e-20i</v>
      </c>
      <c r="M60" s="37" t="n">
        <f aca="false">IMABS(IMDIV(IMPRODUCT(J60,F60,H60),L60))^2</f>
        <v>1.53991436309535E-026</v>
      </c>
      <c r="N60" s="5" t="str">
        <f aca="false">IMDIV(IMPRODUCT(L_Yv,K60,E60),H60)</f>
        <v>0.000169166871404317-0.92804796139647i</v>
      </c>
      <c r="O60" s="37" t="n">
        <f aca="false">IMABS(IMSUM(1,IMPRODUCT(E60,G60),N60))^2</f>
        <v>1.86157932602679</v>
      </c>
      <c r="P60" s="37" t="n">
        <f aca="false">IMABS(N60)^2</f>
        <v>0.861273047269574</v>
      </c>
      <c r="Q60" s="37" t="n">
        <f aca="false">p_Rb^2/(1+(C60*p_Rb*L_Ctot)^2)</f>
        <v>3.96872514865997E+018</v>
      </c>
      <c r="R60" s="37" t="n">
        <f aca="false">M60*L_Kt^2*Q60</f>
        <v>1.22654932560014E-005</v>
      </c>
      <c r="S60" s="37" t="n">
        <f aca="false">L_kT4*D60</f>
        <v>1.26610791669786E-012</v>
      </c>
      <c r="T60" s="37" t="n">
        <f aca="false">L_kT4*L_Rsq*O60</f>
        <v>9.61597196859516E-012</v>
      </c>
      <c r="U60" s="37" t="n">
        <f aca="false">L_kT4*L_Rh*O60</f>
        <v>7.31624342513508E-012</v>
      </c>
      <c r="V60" s="37" t="n">
        <f aca="false">L_kT4*p_Rv*P60</f>
        <v>7.09069734509488E-009</v>
      </c>
      <c r="W60" s="37" t="n">
        <f aca="false">L_kT4/p_Rb*Q60/R60</f>
        <v>5.32775312946488E-009</v>
      </c>
      <c r="X60" s="37" t="n">
        <f aca="false">p_en^2*(1+p_fc/B60)/R60</f>
        <v>2.13045162670338E-011</v>
      </c>
      <c r="Y60" s="37" t="n">
        <f aca="false">p_in^2*Q60/R60</f>
        <v>8.08920820758292E-010</v>
      </c>
      <c r="Z60" s="37" t="n">
        <f aca="false">p_eo^2/L_G^2/R60</f>
        <v>5.16862439816072E-012</v>
      </c>
      <c r="AA60" s="37" t="n">
        <f aca="false">SUM(S60:Z60)</f>
        <v>1.32720427592937E-008</v>
      </c>
      <c r="AB60" s="47" t="n">
        <f aca="false">10*LOG10(AA60/L_PREF^2)</f>
        <v>15.2087778088178</v>
      </c>
      <c r="AC60" s="47" t="n">
        <f aca="false">10*LOG10(S60/L_PREF^2)</f>
        <v>-24.9958926698237</v>
      </c>
      <c r="AD60" s="47" t="n">
        <f aca="false">10*LOG10(T60/L_PREF^2)</f>
        <v>-16.190668026741</v>
      </c>
      <c r="AE60" s="47" t="n">
        <f aca="false">10*LOG10(U60/L_PREF^2)</f>
        <v>-17.3777184449157</v>
      </c>
      <c r="AF60" s="47" t="n">
        <f aca="false">10*LOG10(V60/L_PREF^2)</f>
        <v>12.4862895728725</v>
      </c>
      <c r="AG60" s="47" t="n">
        <f aca="false">10*LOG10(W60/L_PREF^2)</f>
        <v>11.2448410152439</v>
      </c>
      <c r="AH60" s="47" t="n">
        <f aca="false">10*LOG10(X60/L_PREF^2)</f>
        <v>-12.735883136196</v>
      </c>
      <c r="AI60" s="47" t="n">
        <f aca="false">10*LOG10(Y60/L_PREF^2)</f>
        <v>3.05846022508476</v>
      </c>
      <c r="AJ60" s="47" t="n">
        <f aca="false">10*LOG10(Z60/L_PREF^2)</f>
        <v>-18.8868501801751</v>
      </c>
      <c r="AK60" s="47" t="n">
        <f aca="false">10*LOG10(R60/$R$6)</f>
        <v>-2.40085886625094</v>
      </c>
      <c r="AL60" s="37" t="n">
        <f aca="false">(12194^2*B60^4/((B60^2+20.6^2)*SQRT((B60^2+107.7^2)*(B60^2+737.9^2))*(B60^2+12194^2))*1.2589254)^2</f>
        <v>0.000129066738543608</v>
      </c>
      <c r="AM60" s="37" t="n">
        <f aca="false">0.5*(B60-B59)*(S60*AL60+S59*AL59)</f>
        <v>1.14086761470022E-016</v>
      </c>
      <c r="AN60" s="37" t="n">
        <f aca="false">0.5*(B60-B59)*(T60*AL60+T59*AL59)</f>
        <v>8.75411507635788E-016</v>
      </c>
      <c r="AO60" s="37" t="n">
        <f aca="false">0.5*(B60-B59)*(U60*AL60+U59*AL59)</f>
        <v>6.66050577928589E-016</v>
      </c>
      <c r="AP60" s="37" t="n">
        <f aca="false">0.5*(B60-B59)*(V60*AL60+V59*AL59)</f>
        <v>6.53142663995757E-013</v>
      </c>
      <c r="AQ60" s="37" t="n">
        <f aca="false">0.5*(B60-B59)*(W60*AL60+W59*AL59)</f>
        <v>4.9548420579979E-013</v>
      </c>
      <c r="AR60" s="37" t="n">
        <f aca="false">0.5*(B60-B59)*(X60*AL60+X59*AL59)</f>
        <v>1.95407469117161E-015</v>
      </c>
      <c r="AS60" s="37" t="n">
        <f aca="false">0.5*(B60-B59)*(Y60*AL60+Y59*AL59)</f>
        <v>7.52301168407541E-014</v>
      </c>
      <c r="AT60" s="37" t="n">
        <f aca="false">0.5*(B60-B59)*(Z60*AL60+Z59*AL59)</f>
        <v>4.70134840564229E-016</v>
      </c>
      <c r="AU60" s="37" t="n">
        <f aca="false">0.5*(B60-B59)*(AA60*AL60+AA59*AL59)</f>
        <v>1.22793674501507E-012</v>
      </c>
      <c r="AV60" s="37" t="n">
        <f aca="false">0.5*(B60-B59)*(S60+S59)</f>
        <v>9.34781811739708E-013</v>
      </c>
      <c r="AW60" s="37" t="n">
        <f aca="false">0.5*(B60-B59)*(T60+T59)</f>
        <v>7.17724334576779E-012</v>
      </c>
      <c r="AX60" s="37" t="n">
        <f aca="false">0.5*(B60-B59)*(U60+U59)</f>
        <v>5.46075421294511E-012</v>
      </c>
      <c r="AY60" s="37" t="n">
        <f aca="false">0.5*(B60-B59)*(V60+V59)</f>
        <v>5.3587005454646E-009</v>
      </c>
      <c r="AZ60" s="37" t="n">
        <f aca="false">0.5*(B60-B59)*(W60+W59)</f>
        <v>4.06750829214599E-009</v>
      </c>
      <c r="BA60" s="37" t="n">
        <f aca="false">0.5*(B60-B59)*(X60+X59)</f>
        <v>1.60281003602856E-011</v>
      </c>
      <c r="BB60" s="37" t="n">
        <f aca="false">0.5*(B60-B59)*(Y60+Y59)</f>
        <v>6.17575939832326E-010</v>
      </c>
      <c r="BC60" s="37" t="n">
        <f aca="false">0.5*(B60-B59)*(Z60+Z59)</f>
        <v>3.85429907518101E-012</v>
      </c>
      <c r="BD60" s="37" t="n">
        <f aca="false">0.5*(B60-B59)*(AA60+AA59)</f>
        <v>1.00772399562488E-008</v>
      </c>
      <c r="BE60" s="37" t="n">
        <f aca="false">IF(B60&gt;2000,AK60,-999)</f>
        <v>-999</v>
      </c>
      <c r="BF60" s="37" t="n">
        <f aca="false">IF(AND(B60&lt;1000,AK60&gt;=-3),B60,1000000000)</f>
        <v>32.4362019471786</v>
      </c>
    </row>
    <row r="61" customFormat="false" ht="15" hidden="false" customHeight="false" outlineLevel="0" collapsed="false">
      <c r="A61" s="5" t="n">
        <v>22</v>
      </c>
      <c r="B61" s="47" t="n">
        <f aca="false">20*10^(A61/100)</f>
        <v>33.1917381487512</v>
      </c>
      <c r="C61" s="37" t="n">
        <f aca="false">2*PI()*B61</f>
        <v>208.549841455986</v>
      </c>
      <c r="D61" s="37" t="n">
        <f aca="false">SQRT(L_Rp0^2+L_Rp1^2*C61)</f>
        <v>76899738.7653648</v>
      </c>
      <c r="E61" s="5" t="str">
        <f aca="false">COMPLEX(D61,C61*L_Mp)</f>
        <v>76899738.7653648+3080848.24010507i</v>
      </c>
      <c r="F61" s="5" t="str">
        <f aca="false">IMDIV(1,E61)</f>
        <v>1.29831066990793e-08-5.20144568332006e-10i</v>
      </c>
      <c r="G61" s="5" t="str">
        <f aca="false">COMPLEX(0,C61*L_Cf)</f>
        <v>2.2052431157448e-13i</v>
      </c>
      <c r="H61" s="5" t="str">
        <f aca="false">COMPLEX(0,C61*L_Cbv)</f>
        <v>2.2052431157448e-12i</v>
      </c>
      <c r="I61" s="5" t="str">
        <f aca="false">COMPLEX(L_Rsq+L_Rh,C61*(L_Md+L_Mh)-1/(C61*L_Cd))</f>
        <v>552400610.124532-5523754475799.56i</v>
      </c>
      <c r="J61" s="5" t="str">
        <f aca="false">IMDIV(1,I61)</f>
        <v>1.81044531887936e-17+1.81036285081143e-13i</v>
      </c>
      <c r="K61" s="5" t="str">
        <f aca="false">IMSUM(F61,G61,H61)</f>
        <v>1.29831066990793e-08-5.17718800904687e-10i</v>
      </c>
      <c r="L61" s="5" t="str">
        <f aca="false">IMSUM(IMPRODUCT(IMSUM(F61,G61),H61),IMPRODUCT(IMSUM(J61,L_Yv),K61))</f>
        <v>2.72067332574247e-20+2.9945873099913e-20i</v>
      </c>
      <c r="M61" s="37" t="n">
        <f aca="false">IMABS(IMDIV(IMPRODUCT(J61,F61,H61),L61))^2</f>
        <v>1.64383971725089E-026</v>
      </c>
      <c r="N61" s="5" t="str">
        <f aca="false">IMDIV(IMPRODUCT(L_Yv,K61,E61),H61)</f>
        <v>0.000169179425283885-0.906922705654571i</v>
      </c>
      <c r="O61" s="37" t="n">
        <f aca="false">IMABS(IMSUM(1,IMPRODUCT(E61,G61),N61))^2</f>
        <v>1.82281506309272</v>
      </c>
      <c r="P61" s="37" t="n">
        <f aca="false">IMABS(N61)^2</f>
        <v>0.822508822653486</v>
      </c>
      <c r="Q61" s="37" t="n">
        <f aca="false">p_Rb^2/(1+(C61*p_Rb*L_Ctot)^2)</f>
        <v>3.79010376992322E+018</v>
      </c>
      <c r="R61" s="37" t="n">
        <f aca="false">M61*L_Kt^2*Q61</f>
        <v>1.25039720771974E-005</v>
      </c>
      <c r="S61" s="37" t="n">
        <f aca="false">L_kT4*D61</f>
        <v>1.26620187461037E-012</v>
      </c>
      <c r="T61" s="37" t="n">
        <f aca="false">L_kT4*L_Rsq*O61</f>
        <v>9.41573550241522E-012</v>
      </c>
      <c r="U61" s="37" t="n">
        <f aca="false">L_kT4*L_Rh*O61</f>
        <v>7.16389494346877E-012</v>
      </c>
      <c r="V61" s="37" t="n">
        <f aca="false">L_kT4*p_Rv*P61</f>
        <v>6.77155884953723E-009</v>
      </c>
      <c r="W61" s="37" t="n">
        <f aca="false">L_kT4/p_Rb*Q61/R61</f>
        <v>4.99092671930919E-009</v>
      </c>
      <c r="X61" s="37" t="n">
        <f aca="false">p_en^2*(1+p_fc/B61)/R61</f>
        <v>2.05389988043989E-011</v>
      </c>
      <c r="Y61" s="37" t="n">
        <f aca="false">p_in^2*Q61/R61</f>
        <v>7.57779957145572E-010</v>
      </c>
      <c r="Z61" s="37" t="n">
        <f aca="false">p_eo^2/L_G^2/R61</f>
        <v>5.07004712638913E-012</v>
      </c>
      <c r="AA61" s="37" t="n">
        <f aca="false">SUM(S61:Z61)</f>
        <v>1.25637204042433E-008</v>
      </c>
      <c r="AB61" s="47" t="n">
        <f aca="false">10*LOG10(AA61/L_PREF^2)</f>
        <v>14.9705827162252</v>
      </c>
      <c r="AC61" s="47" t="n">
        <f aca="false">10*LOG10(S61/L_PREF^2)</f>
        <v>-24.9955703916957</v>
      </c>
      <c r="AD61" s="47" t="n">
        <f aca="false">10*LOG10(T61/L_PREF^2)</f>
        <v>-16.2820574109485</v>
      </c>
      <c r="AE61" s="47" t="n">
        <f aca="false">10*LOG10(U61/L_PREF^2)</f>
        <v>-17.4691078291232</v>
      </c>
      <c r="AF61" s="47" t="n">
        <f aca="false">10*LOG10(V61/L_PREF^2)</f>
        <v>12.2862866580942</v>
      </c>
      <c r="AG61" s="47" t="n">
        <f aca="false">10*LOG10(W61/L_PREF^2)</f>
        <v>10.9612120193361</v>
      </c>
      <c r="AH61" s="47" t="n">
        <f aca="false">10*LOG10(X61/L_PREF^2)</f>
        <v>-12.8948072170265</v>
      </c>
      <c r="AI61" s="47" t="n">
        <f aca="false">10*LOG10(Y61/L_PREF^2)</f>
        <v>2.77483122917698</v>
      </c>
      <c r="AJ61" s="47" t="n">
        <f aca="false">10*LOG10(Z61/L_PREF^2)</f>
        <v>-18.9704799518286</v>
      </c>
      <c r="AK61" s="47" t="n">
        <f aca="false">10*LOG10(R61/$R$6)</f>
        <v>-2.31722909459736</v>
      </c>
      <c r="AL61" s="37" t="n">
        <f aca="false">(12194^2*B61^4/((B61^2+20.6^2)*SQRT((B61^2+107.7^2)*(B61^2+737.9^2))*(B61^2+12194^2))*1.2589254)^2</f>
        <v>0.000144672177731661</v>
      </c>
      <c r="AM61" s="37" t="n">
        <f aca="false">0.5*(B61-B60)*(S61*AL61+S60*AL60)</f>
        <v>1.3093314011439E-016</v>
      </c>
      <c r="AN61" s="37" t="n">
        <f aca="false">0.5*(B61-B60)*(T61*AL61+T60*AL60)</f>
        <v>9.83442601246872E-016</v>
      </c>
      <c r="AO61" s="37" t="n">
        <f aca="false">0.5*(B61-B60)*(U61*AL61+U60*AL60)</f>
        <v>7.48245262035776E-016</v>
      </c>
      <c r="AP61" s="37" t="n">
        <f aca="false">0.5*(B61-B60)*(V61*AL61+V60*AL60)</f>
        <v>7.15806083251283E-013</v>
      </c>
      <c r="AQ61" s="37" t="n">
        <f aca="false">0.5*(B61-B60)*(W61*AL61+W60*AL60)</f>
        <v>5.32533631359055E-013</v>
      </c>
      <c r="AR61" s="37" t="n">
        <f aca="false">0.5*(B61-B60)*(X61*AL61+X60*AL60)</f>
        <v>2.16125894731194E-015</v>
      </c>
      <c r="AS61" s="37" t="n">
        <f aca="false">0.5*(B61-B60)*(Y61*AL61+Y60*AL60)</f>
        <v>8.08553871946443E-014</v>
      </c>
      <c r="AT61" s="37" t="n">
        <f aca="false">0.5*(B61-B60)*(Z61*AL61+Z60*AL60)</f>
        <v>5.29099075317925E-016</v>
      </c>
      <c r="AU61" s="37" t="n">
        <f aca="false">0.5*(B61-B60)*(AA61*AL61+AA60*AL60)</f>
        <v>1.33374808083101E-012</v>
      </c>
      <c r="AV61" s="37" t="n">
        <f aca="false">0.5*(B61-B60)*(S61+S60)</f>
        <v>9.56625860465077E-013</v>
      </c>
      <c r="AW61" s="37" t="n">
        <f aca="false">0.5*(B61-B60)*(T61+T60)</f>
        <v>7.18957198604413E-012</v>
      </c>
      <c r="AX61" s="37" t="n">
        <f aca="false">0.5*(B61-B60)*(U61+U60)</f>
        <v>5.47013437063038E-012</v>
      </c>
      <c r="AY61" s="37" t="n">
        <f aca="false">0.5*(B61-B60)*(V61+V60)</f>
        <v>5.23671819525936E-009</v>
      </c>
      <c r="AZ61" s="37" t="n">
        <f aca="false">0.5*(B61-B60)*(W61+W60)</f>
        <v>3.8980680890933E-009</v>
      </c>
      <c r="BA61" s="37" t="n">
        <f aca="false">0.5*(B61-B60)*(X61+X60)</f>
        <v>1.58071452187583E-011</v>
      </c>
      <c r="BB61" s="37" t="n">
        <f aca="false">0.5*(B61-B60)*(Y61+Y60)</f>
        <v>5.91849577369169E-010</v>
      </c>
      <c r="BC61" s="37" t="n">
        <f aca="false">0.5*(B61-B60)*(Z61+Z60)</f>
        <v>3.86784349640402E-012</v>
      </c>
      <c r="BD61" s="37" t="n">
        <f aca="false">0.5*(B61-B60)*(AA61+AA60)</f>
        <v>9.75992718265413E-009</v>
      </c>
      <c r="BE61" s="37" t="n">
        <f aca="false">IF(B61&gt;2000,AK61,-999)</f>
        <v>-999</v>
      </c>
      <c r="BF61" s="37" t="n">
        <f aca="false">IF(AND(B61&lt;1000,AK61&gt;=-3),B61,1000000000)</f>
        <v>33.1917381487512</v>
      </c>
    </row>
    <row r="62" customFormat="false" ht="15" hidden="false" customHeight="false" outlineLevel="0" collapsed="false">
      <c r="A62" s="5" t="n">
        <v>23</v>
      </c>
      <c r="B62" s="47" t="n">
        <f aca="false">20*10^(A62/100)</f>
        <v>33.9648730492349</v>
      </c>
      <c r="C62" s="37" t="n">
        <f aca="false">2*PI()*B62</f>
        <v>213.407591303173</v>
      </c>
      <c r="D62" s="37" t="n">
        <f aca="false">SQRT(L_Rp0^2+L_Rp1^2*C62)</f>
        <v>76905577.5528835</v>
      </c>
      <c r="E62" s="5" t="str">
        <f aca="false">COMPLEX(D62,C62*L_Mp)</f>
        <v>76905577.5528835+3152610.41438001i</v>
      </c>
      <c r="F62" s="5" t="str">
        <f aca="false">IMDIV(1,E62)</f>
        <v>1.2981143936287e-08-5.32139421694907e-10i</v>
      </c>
      <c r="G62" s="5" t="str">
        <f aca="false">COMPLEX(0,C62*L_Cf)</f>
        <v>2.25660982661703e-13i</v>
      </c>
      <c r="H62" s="5" t="str">
        <f aca="false">COMPLEX(0,C62*L_Cbv)</f>
        <v>2.25660982661703e-12i</v>
      </c>
      <c r="I62" s="5" t="str">
        <f aca="false">COMPLEX(L_Rsq+L_Rh,C62*(L_Md+L_Mh)-1/(C62*L_Cd))</f>
        <v>552400610.124532-5398018436981.32i</v>
      </c>
      <c r="J62" s="5" t="str">
        <f aca="false">IMDIV(1,I62)</f>
        <v>1.8957690026107e-17+1.85253163026798e-13i</v>
      </c>
      <c r="K62" s="5" t="str">
        <f aca="false">IMSUM(F62,G62,H62)</f>
        <v>1.2981143936287e-08-5.29657150885628e-10i</v>
      </c>
      <c r="L62" s="5" t="str">
        <f aca="false">IMSUM(IMPRODUCT(IMSUM(F62,G62),H62),IMPRODUCT(IMSUM(J62,L_Yv),K62))</f>
        <v>2.72609764469344e-20+3.06388505984113e-20i</v>
      </c>
      <c r="M62" s="37" t="n">
        <f aca="false">IMABS(IMDIV(IMPRODUCT(J62,F62,H62),L62))^2</f>
        <v>1.75387716783587E-026</v>
      </c>
      <c r="N62" s="5" t="str">
        <f aca="false">IMDIV(IMPRODUCT(L_Yv,K62,E62),H62)</f>
        <v>0.000169192270616424-0.88627831233574i</v>
      </c>
      <c r="O62" s="37" t="n">
        <f aca="false">IMABS(IMSUM(1,IMPRODUCT(E62,G62),N62))^2</f>
        <v>1.78579547531228</v>
      </c>
      <c r="P62" s="37" t="n">
        <f aca="false">IMABS(N62)^2</f>
        <v>0.785489275542712</v>
      </c>
      <c r="Q62" s="37" t="n">
        <f aca="false">p_Rb^2/(1+(C62*p_Rb*L_Ctot)^2)</f>
        <v>3.61952161795659E+018</v>
      </c>
      <c r="R62" s="37" t="n">
        <f aca="false">M62*L_Kt^2*Q62</f>
        <v>1.27405382005922E-005</v>
      </c>
      <c r="S62" s="37" t="n">
        <f aca="false">L_kT4*D62</f>
        <v>1.26629801386676E-012</v>
      </c>
      <c r="T62" s="37" t="n">
        <f aca="false">L_kT4*L_Rsq*O62</f>
        <v>9.22451114070859E-012</v>
      </c>
      <c r="U62" s="37" t="n">
        <f aca="false">L_kT4*L_Rh*O62</f>
        <v>7.0184032569673E-012</v>
      </c>
      <c r="V62" s="37" t="n">
        <f aca="false">L_kT4*p_Rv*P62</f>
        <v>6.46678395236944E-009</v>
      </c>
      <c r="W62" s="37" t="n">
        <f aca="false">L_kT4/p_Rb*Q62/R62</f>
        <v>4.67779826178621E-009</v>
      </c>
      <c r="X62" s="37" t="n">
        <f aca="false">p_en^2*(1+p_fc/B62)/R62</f>
        <v>1.98131323606138E-011</v>
      </c>
      <c r="Y62" s="37" t="n">
        <f aca="false">p_in^2*Q62/R62</f>
        <v>7.10237189545956E-010</v>
      </c>
      <c r="Z62" s="37" t="n">
        <f aca="false">p_eo^2/L_G^2/R62</f>
        <v>4.97590656692179E-012</v>
      </c>
      <c r="AA62" s="37" t="n">
        <f aca="false">SUM(S62:Z62)</f>
        <v>1.18971176550407E-008</v>
      </c>
      <c r="AB62" s="47" t="n">
        <f aca="false">10*LOG10(AA62/L_PREF^2)</f>
        <v>14.7338176517925</v>
      </c>
      <c r="AC62" s="47" t="n">
        <f aca="false">10*LOG10(S62/L_PREF^2)</f>
        <v>-24.9952406562532</v>
      </c>
      <c r="AD62" s="47" t="n">
        <f aca="false">10*LOG10(T62/L_PREF^2)</f>
        <v>-16.371166316208</v>
      </c>
      <c r="AE62" s="47" t="n">
        <f aca="false">10*LOG10(U62/L_PREF^2)</f>
        <v>-17.5582167343827</v>
      </c>
      <c r="AF62" s="47" t="n">
        <f aca="false">10*LOG10(V62/L_PREF^2)</f>
        <v>12.0862836059471</v>
      </c>
      <c r="AG62" s="47" t="n">
        <f aca="false">10*LOG10(W62/L_PREF^2)</f>
        <v>10.6798149684157</v>
      </c>
      <c r="AH62" s="47" t="n">
        <f aca="false">10*LOG10(X62/L_PREF^2)</f>
        <v>-13.0510685049964</v>
      </c>
      <c r="AI62" s="47" t="n">
        <f aca="false">10*LOG10(Y62/L_PREF^2)</f>
        <v>2.49343417825651</v>
      </c>
      <c r="AJ62" s="47" t="n">
        <f aca="false">10*LOG10(Z62/L_PREF^2)</f>
        <v>-19.0518777435807</v>
      </c>
      <c r="AK62" s="47" t="n">
        <f aca="false">10*LOG10(R62/$R$6)</f>
        <v>-2.23583130284528</v>
      </c>
      <c r="AL62" s="37" t="n">
        <f aca="false">(12194^2*B62^4/((B62^2+20.6^2)*SQRT((B62^2+107.7^2)*(B62^2+737.9^2))*(B62^2+12194^2))*1.2589254)^2</f>
        <v>0.000161998532987539</v>
      </c>
      <c r="AM62" s="37" t="n">
        <f aca="false">0.5*(B62-B61)*(S62*AL62+S61*AL61)</f>
        <v>1.50112878597736E-016</v>
      </c>
      <c r="AN62" s="37" t="n">
        <f aca="false">0.5*(B62-B61)*(T62*AL62+T61*AL61)</f>
        <v>1.10425011296217E-015</v>
      </c>
      <c r="AO62" s="37" t="n">
        <f aca="false">0.5*(B62-B61)*(U62*AL62+U61*AL61)</f>
        <v>8.40160792382635E-016</v>
      </c>
      <c r="AP62" s="37" t="n">
        <f aca="false">0.5*(B62-B61)*(V62*AL62+V61*AL61)</f>
        <v>7.83674924428821E-013</v>
      </c>
      <c r="AQ62" s="37" t="n">
        <f aca="false">0.5*(B62-B61)*(W62*AL62+W61*AL61)</f>
        <v>5.72059789882566E-013</v>
      </c>
      <c r="AR62" s="37" t="n">
        <f aca="false">0.5*(B62-B61)*(X62*AL62+X61*AL61)</f>
        <v>2.38941982191623E-015</v>
      </c>
      <c r="AS62" s="37" t="n">
        <f aca="false">0.5*(B62-B61)*(Y62*AL62+Y61*AL61)</f>
        <v>8.68567036628253E-014</v>
      </c>
      <c r="AT62" s="37" t="n">
        <f aca="false">0.5*(B62-B61)*(Z62*AL62+Z61*AL61)</f>
        <v>5.95153186213559E-016</v>
      </c>
      <c r="AU62" s="37" t="n">
        <f aca="false">0.5*(B62-B61)*(AA62*AL62+AA61*AL61)</f>
        <v>1.44767051476628E-012</v>
      </c>
      <c r="AV62" s="37" t="n">
        <f aca="false">0.5*(B62-B61)*(S62+S61)</f>
        <v>9.78982024626346E-013</v>
      </c>
      <c r="AW62" s="37" t="n">
        <f aca="false">0.5*(B62-B61)*(T62+T61)</f>
        <v>7.20571261671135E-012</v>
      </c>
      <c r="AX62" s="37" t="n">
        <f aca="false">0.5*(B62-B61)*(U62+U61)</f>
        <v>5.48241485391198E-012</v>
      </c>
      <c r="AY62" s="37" t="n">
        <f aca="false">0.5*(B62-B61)*(V62+V61)</f>
        <v>5.11751242236045E-009</v>
      </c>
      <c r="AZ62" s="37" t="n">
        <f aca="false">0.5*(B62-B61)*(W62+W61)</f>
        <v>3.73761436303161E-009</v>
      </c>
      <c r="BA62" s="37" t="n">
        <f aca="false">0.5*(B62-B61)*(X62+X61)</f>
        <v>1.55988204562832E-011</v>
      </c>
      <c r="BB62" s="37" t="n">
        <f aca="false">0.5*(B62-B61)*(Y62+Y61)</f>
        <v>5.67487645307842E-010</v>
      </c>
      <c r="BC62" s="37" t="n">
        <f aca="false">0.5*(B62-B61)*(Z62+Z61)</f>
        <v>3.88343870447078E-012</v>
      </c>
      <c r="BD62" s="37" t="n">
        <f aca="false">0.5*(B62-B61)*(AA62+AA61)</f>
        <v>9.45576379935591E-009</v>
      </c>
      <c r="BE62" s="37" t="n">
        <f aca="false">IF(B62&gt;2000,AK62,-999)</f>
        <v>-999</v>
      </c>
      <c r="BF62" s="37" t="n">
        <f aca="false">IF(AND(B62&lt;1000,AK62&gt;=-3),B62,1000000000)</f>
        <v>33.9648730492349</v>
      </c>
    </row>
    <row r="63" customFormat="false" ht="15" hidden="false" customHeight="false" outlineLevel="0" collapsed="false">
      <c r="A63" s="5" t="n">
        <v>24</v>
      </c>
      <c r="B63" s="47" t="n">
        <f aca="false">20*10^(A63/100)</f>
        <v>34.7560165749875</v>
      </c>
      <c r="C63" s="37" t="n">
        <f aca="false">2*PI()*B63</f>
        <v>218.378492680052</v>
      </c>
      <c r="D63" s="37" t="n">
        <f aca="false">SQRT(L_Rp0^2+L_Rp1^2*C63)</f>
        <v>76911551.8843724</v>
      </c>
      <c r="E63" s="5" t="str">
        <f aca="false">COMPLEX(D63,C63*L_Mp)</f>
        <v>76911551.8843724+3226044.14442639i</v>
      </c>
      <c r="F63" s="5" t="str">
        <f aca="false">IMDIV(1,E63)</f>
        <v>1.2979112946706e-08-5.4440705324108e-10i</v>
      </c>
      <c r="G63" s="5" t="str">
        <f aca="false">COMPLEX(0,C63*L_Cf)</f>
        <v>2.30917302188909e-13i</v>
      </c>
      <c r="H63" s="5" t="str">
        <f aca="false">COMPLEX(0,C63*L_Cbv)</f>
        <v>2.30917302188909e-12i</v>
      </c>
      <c r="I63" s="5" t="str">
        <f aca="false">COMPLEX(L_Rsq+L_Rh,C63*(L_Md+L_Mh)-1/(C63*L_Cd))</f>
        <v>552400610.124532-5275144498989.59i</v>
      </c>
      <c r="J63" s="5" t="str">
        <f aca="false">IMDIV(1,I63)</f>
        <v>1.98511387003698e-17+1.89568264760474e-13i</v>
      </c>
      <c r="K63" s="5" t="str">
        <f aca="false">IMSUM(F63,G63,H63)</f>
        <v>1.2979112946706e-08-5.41866962917002e-10i</v>
      </c>
      <c r="L63" s="5" t="str">
        <f aca="false">IMSUM(IMPRODUCT(IMSUM(F63,G63),H63),IMPRODUCT(IMSUM(J63,L_Yv),K63))</f>
        <v>2.73178011757404e-20+3.13477007015119e-20i</v>
      </c>
      <c r="M63" s="37" t="n">
        <f aca="false">IMABS(IMDIV(IMPRODUCT(J63,F63,H63),L63))^2</f>
        <v>1.87032719501531E-026</v>
      </c>
      <c r="N63" s="5" t="str">
        <f aca="false">IMDIV(IMPRODUCT(L_Yv,K63,E63),H63)</f>
        <v>0.000169205414145635-0.866103835509399i</v>
      </c>
      <c r="O63" s="37" t="n">
        <f aca="false">IMABS(IMSUM(1,IMPRODUCT(E63,G63),N63))^2</f>
        <v>1.75044203913925</v>
      </c>
      <c r="P63" s="37" t="n">
        <f aca="false">IMABS(N63)^2</f>
        <v>0.750135882514564</v>
      </c>
      <c r="Q63" s="37" t="n">
        <f aca="false">p_Rb^2/(1+(C63*p_Rb*L_Ctot)^2)</f>
        <v>3.4566168731941E+018</v>
      </c>
      <c r="R63" s="37" t="n">
        <f aca="false">M63*L_Kt^2*Q63</f>
        <v>1.29749669214384E-005</v>
      </c>
      <c r="S63" s="37" t="n">
        <f aca="false">L_kT4*D63</f>
        <v>1.26639638493866E-012</v>
      </c>
      <c r="T63" s="37" t="n">
        <f aca="false">L_kT4*L_Rsq*O63</f>
        <v>9.04189327077397E-012</v>
      </c>
      <c r="U63" s="37" t="n">
        <f aca="false">L_kT4*L_Rh*O63</f>
        <v>6.87945975811093E-012</v>
      </c>
      <c r="V63" s="37" t="n">
        <f aca="false">L_kT4*p_Rv*P63</f>
        <v>6.17572618517297E-009</v>
      </c>
      <c r="W63" s="37" t="n">
        <f aca="false">L_kT4/p_Rb*Q63/R63</f>
        <v>4.38654989830375E-009</v>
      </c>
      <c r="X63" s="37" t="n">
        <f aca="false">p_en^2*(1+p_fc/B63)/R63</f>
        <v>1.91245790028096E-011</v>
      </c>
      <c r="Y63" s="37" t="n">
        <f aca="false">p_in^2*Q63/R63</f>
        <v>6.66016509738218E-010</v>
      </c>
      <c r="Z63" s="37" t="n">
        <f aca="false">p_eo^2/L_G^2/R63</f>
        <v>4.88600303047374E-012</v>
      </c>
      <c r="AA63" s="37" t="n">
        <f aca="false">SUM(S63:Z63)</f>
        <v>1.1269490924662E-008</v>
      </c>
      <c r="AB63" s="47" t="n">
        <f aca="false">10*LOG10(AA63/L_PREF^2)</f>
        <v>14.4984430682962</v>
      </c>
      <c r="AC63" s="47" t="n">
        <f aca="false">10*LOG10(S63/L_PREF^2)</f>
        <v>-24.9949032921105</v>
      </c>
      <c r="AD63" s="47" t="n">
        <f aca="false">10*LOG10(T63/L_PREF^2)</f>
        <v>-16.4580061494991</v>
      </c>
      <c r="AE63" s="47" t="n">
        <f aca="false">10*LOG10(U63/L_PREF^2)</f>
        <v>-17.6450565676739</v>
      </c>
      <c r="AF63" s="47" t="n">
        <f aca="false">10*LOG10(V63/L_PREF^2)</f>
        <v>11.8862804099573</v>
      </c>
      <c r="AG63" s="47" t="n">
        <f aca="false">10*LOG10(W63/L_PREF^2)</f>
        <v>10.4006308262302</v>
      </c>
      <c r="AH63" s="47" t="n">
        <f aca="false">10*LOG10(X63/L_PREF^2)</f>
        <v>-13.2046810769938</v>
      </c>
      <c r="AI63" s="47" t="n">
        <f aca="false">10*LOG10(Y63/L_PREF^2)</f>
        <v>2.21425003607108</v>
      </c>
      <c r="AJ63" s="47" t="n">
        <f aca="false">10*LOG10(Z63/L_PREF^2)</f>
        <v>-19.131062593255</v>
      </c>
      <c r="AK63" s="47" t="n">
        <f aca="false">10*LOG10(R63/$R$6)</f>
        <v>-2.15664645317102</v>
      </c>
      <c r="AL63" s="37" t="n">
        <f aca="false">(12194^2*B63^4/((B63^2+20.6^2)*SQRT((B63^2+107.7^2)*(B63^2+737.9^2))*(B63^2+12194^2))*1.2589254)^2</f>
        <v>0.00018121629706369</v>
      </c>
      <c r="AM63" s="37" t="n">
        <f aca="false">0.5*(B63-B62)*(S63*AL63+S62*AL62)</f>
        <v>1.71927388552622E-016</v>
      </c>
      <c r="AN63" s="37" t="n">
        <f aca="false">0.5*(B63-B62)*(T63*AL63+T62*AL62)</f>
        <v>1.23928507072271E-015</v>
      </c>
      <c r="AO63" s="37" t="n">
        <f aca="false">0.5*(B63-B62)*(U63*AL63+U62*AL62)</f>
        <v>9.42901173189224E-016</v>
      </c>
      <c r="AP63" s="37" t="n">
        <f aca="false">0.5*(B63-B62)*(V63*AL63+V62*AL62)</f>
        <v>8.57105807242689E-013</v>
      </c>
      <c r="AQ63" s="37" t="n">
        <f aca="false">0.5*(B63-B62)*(W63*AL63+W62*AL62)</f>
        <v>6.14208542648091E-013</v>
      </c>
      <c r="AR63" s="37" t="n">
        <f aca="false">0.5*(B63-B62)*(X63*AL63+X62*AL62)</f>
        <v>2.64059332423148E-015</v>
      </c>
      <c r="AS63" s="37" t="n">
        <f aca="false">0.5*(B63-B62)*(Y63*AL63+Y62*AL62)</f>
        <v>9.32562125838498E-014</v>
      </c>
      <c r="AT63" s="37" t="n">
        <f aca="false">0.5*(B63-B62)*(Z63*AL63+Z62*AL62)</f>
        <v>6.69114755900096E-016</v>
      </c>
      <c r="AU63" s="37" t="n">
        <f aca="false">0.5*(B63-B62)*(AA63*AL63+AA62*AL62)</f>
        <v>1.57023438418723E-012</v>
      </c>
      <c r="AV63" s="37" t="n">
        <f aca="false">0.5*(B63-B62)*(S63+S62)</f>
        <v>1.00186238816241E-012</v>
      </c>
      <c r="AW63" s="37" t="n">
        <f aca="false">0.5*(B63-B62)*(T63+T62)</f>
        <v>7.22567379446173E-012</v>
      </c>
      <c r="AX63" s="37" t="n">
        <f aca="false">0.5*(B63-B62)*(U63+U62)</f>
        <v>5.49760217308794E-012</v>
      </c>
      <c r="AY63" s="37" t="n">
        <f aca="false">0.5*(B63-B62)*(V63+V62)</f>
        <v>5.00102002228925E-009</v>
      </c>
      <c r="AZ63" s="37" t="n">
        <f aca="false">0.5*(B63-B62)*(W63+W62)</f>
        <v>3.58560018101141E-009</v>
      </c>
      <c r="BA63" s="37" t="n">
        <f aca="false">0.5*(B63-B62)*(X63+X62)</f>
        <v>1.54026591263982E-011</v>
      </c>
      <c r="BB63" s="37" t="n">
        <f aca="false">0.5*(B63-B62)*(Y63+Y62)</f>
        <v>5.44407101990882E-010</v>
      </c>
      <c r="BC63" s="37" t="n">
        <f aca="false">0.5*(B63-B62)*(Z63+Z62)</f>
        <v>3.90109296476853E-012</v>
      </c>
      <c r="BD63" s="37" t="n">
        <f aca="false">0.5*(B63-B62)*(AA63+AA62)</f>
        <v>9.16405619573841E-009</v>
      </c>
      <c r="BE63" s="37" t="n">
        <f aca="false">IF(B63&gt;2000,AK63,-999)</f>
        <v>-999</v>
      </c>
      <c r="BF63" s="37" t="n">
        <f aca="false">IF(AND(B63&lt;1000,AK63&gt;=-3),B63,1000000000)</f>
        <v>34.7560165749875</v>
      </c>
    </row>
    <row r="64" customFormat="false" ht="15" hidden="false" customHeight="false" outlineLevel="0" collapsed="false">
      <c r="A64" s="5" t="n">
        <v>25</v>
      </c>
      <c r="B64" s="47" t="n">
        <f aca="false">20*10^(A64/100)</f>
        <v>35.5655882007785</v>
      </c>
      <c r="C64" s="37" t="n">
        <f aca="false">2*PI()*B64</f>
        <v>223.465181224331</v>
      </c>
      <c r="D64" s="37" t="n">
        <f aca="false">SQRT(L_Rp0^2+L_Rp1^2*C64)</f>
        <v>76917664.8955424</v>
      </c>
      <c r="E64" s="5" t="str">
        <f aca="false">COMPLEX(D64,C64*L_Mp)</f>
        <v>76917664.8955424+3301188.36577988i</v>
      </c>
      <c r="F64" s="5" t="str">
        <f aca="false">IMDIV(1,E64)</f>
        <v>1.29770111084067e-08-5.56953440433308e-10i</v>
      </c>
      <c r="G64" s="5" t="str">
        <f aca="false">COMPLEX(0,C64*L_Cf)</f>
        <v>2.36296057126288e-13i</v>
      </c>
      <c r="H64" s="5" t="str">
        <f aca="false">COMPLEX(0,C64*L_Cbv)</f>
        <v>2.36296057126288e-12i</v>
      </c>
      <c r="I64" s="5" t="str">
        <f aca="false">COMPLEX(L_Rsq+L_Rh,C64*(L_Md+L_Mh)-1/(C64*L_Cd))</f>
        <v>552400610.124532-5155067512436.01i</v>
      </c>
      <c r="J64" s="5" t="str">
        <f aca="false">IMDIV(1,I64)</f>
        <v>2.07866943393548e-17+1.93983878214016e-13i</v>
      </c>
      <c r="K64" s="5" t="str">
        <f aca="false">IMSUM(F64,G64,H64)</f>
        <v>1.29770111084067e-08-5.54354183804919e-10i</v>
      </c>
      <c r="L64" s="5" t="str">
        <f aca="false">IMSUM(IMPRODUCT(IMSUM(F64,G64),H64),IMPRODUCT(IMSUM(J64,L_Yv),K64))</f>
        <v>2.73773284019624e-20+3.20727766336397e-20i</v>
      </c>
      <c r="M64" s="37" t="n">
        <f aca="false">IMABS(IMDIV(IMPRODUCT(J64,F64,H64),L64))^2</f>
        <v>1.9935026752916E-026</v>
      </c>
      <c r="N64" s="5" t="str">
        <f aca="false">IMDIV(IMPRODUCT(L_Yv,K64,E64),H64)</f>
        <v>0.000169218862770052-0.846388578400875i</v>
      </c>
      <c r="O64" s="37" t="n">
        <f aca="false">IMABS(IMSUM(1,IMPRODUCT(E64,G64),N64))^2</f>
        <v>1.71667976515743</v>
      </c>
      <c r="P64" s="37" t="n">
        <f aca="false">IMABS(N64)^2</f>
        <v>0.716373654282478</v>
      </c>
      <c r="Q64" s="37" t="n">
        <f aca="false">p_Rb^2/(1+(C64*p_Rb*L_Ctot)^2)</f>
        <v>3.30104400017155E+018</v>
      </c>
      <c r="R64" s="37" t="n">
        <f aca="false">M64*L_Kt^2*Q64</f>
        <v>1.32070420641171E-005</v>
      </c>
      <c r="S64" s="37" t="n">
        <f aca="false">L_kT4*D64</f>
        <v>1.26649703945748E-012</v>
      </c>
      <c r="T64" s="37" t="n">
        <f aca="false">L_kT4*L_Rsq*O64</f>
        <v>8.86749453542804E-012</v>
      </c>
      <c r="U64" s="37" t="n">
        <f aca="false">L_kT4*L_Rh*O64</f>
        <v>6.74676972896009E-012</v>
      </c>
      <c r="V64" s="37" t="n">
        <f aca="false">L_kT4*p_Rv*P64</f>
        <v>5.89776817540047E-009</v>
      </c>
      <c r="W64" s="37" t="n">
        <f aca="false">L_kT4/p_Rb*Q64/R64</f>
        <v>4.11551169144484E-009</v>
      </c>
      <c r="X64" s="37" t="n">
        <f aca="false">p_en^2*(1+p_fc/B64)/R64</f>
        <v>1.8471147655667E-011</v>
      </c>
      <c r="Y64" s="37" t="n">
        <f aca="false">p_in^2*Q64/R64</f>
        <v>6.24864368597027E-010</v>
      </c>
      <c r="Z64" s="37" t="n">
        <f aca="false">p_eo^2/L_G^2/R64</f>
        <v>4.80014581544249E-012</v>
      </c>
      <c r="AA64" s="37" t="n">
        <f aca="false">SUM(S64:Z64)</f>
        <v>1.06782962902173E-008</v>
      </c>
      <c r="AB64" s="47" t="n">
        <f aca="false">10*LOG10(AA64/L_PREF^2)</f>
        <v>14.2644197571099</v>
      </c>
      <c r="AC64" s="47" t="n">
        <f aca="false">10*LOG10(S64/L_PREF^2)</f>
        <v>-24.994558123998</v>
      </c>
      <c r="AD64" s="47" t="n">
        <f aca="false">10*LOG10(T64/L_PREF^2)</f>
        <v>-16.5425906181682</v>
      </c>
      <c r="AE64" s="47" t="n">
        <f aca="false">10*LOG10(U64/L_PREF^2)</f>
        <v>-17.7296410363429</v>
      </c>
      <c r="AF64" s="47" t="n">
        <f aca="false">10*LOG10(V64/L_PREF^2)</f>
        <v>11.6862770633457</v>
      </c>
      <c r="AG64" s="47" t="n">
        <f aca="false">10*LOG10(W64/L_PREF^2)</f>
        <v>10.1236384845252</v>
      </c>
      <c r="AH64" s="47" t="n">
        <f aca="false">10*LOG10(X64/L_PREF^2)</f>
        <v>-13.3556611131604</v>
      </c>
      <c r="AI64" s="47" t="n">
        <f aca="false">10*LOG10(Y64/L_PREF^2)</f>
        <v>1.93725769436606</v>
      </c>
      <c r="AJ64" s="47" t="n">
        <f aca="false">10*LOG10(Z64/L_PREF^2)</f>
        <v>-19.2080556106067</v>
      </c>
      <c r="AK64" s="47" t="n">
        <f aca="false">10*LOG10(R64/$R$6)</f>
        <v>-2.07965343581932</v>
      </c>
      <c r="AL64" s="37" t="n">
        <f aca="false">(12194^2*B64^4/((B64^2+20.6^2)*SQRT((B64^2+107.7^2)*(B64^2+737.9^2))*(B64^2+12194^2))*1.2589254)^2</f>
        <v>0.000202510856099082</v>
      </c>
      <c r="AM64" s="37" t="n">
        <f aca="false">0.5*(B64-B63)*(S64*AL64+S63*AL63)</f>
        <v>1.96714191861461E-016</v>
      </c>
      <c r="AN64" s="37" t="n">
        <f aca="false">0.5*(B64-B63)*(T64*AL64+T63*AL63)</f>
        <v>1.39015685908184E-015</v>
      </c>
      <c r="AO64" s="37" t="n">
        <f aca="false">0.5*(B64-B63)*(U64*AL64+U63*AL63)</f>
        <v>1.0576908931703E-015</v>
      </c>
      <c r="AP64" s="37" t="n">
        <f aca="false">0.5*(B64-B63)*(V64*AL64+V63*AL63)</f>
        <v>9.36473724068231E-013</v>
      </c>
      <c r="AQ64" s="37" t="n">
        <f aca="false">0.5*(B64-B63)*(W64*AL64+W63*AL63)</f>
        <v>6.59133029178769E-013</v>
      </c>
      <c r="AR64" s="37" t="n">
        <f aca="false">0.5*(B64-B63)*(X64*AL64+X63*AL63)</f>
        <v>2.91700529734308E-015</v>
      </c>
      <c r="AS64" s="37" t="n">
        <f aca="false">0.5*(B64-B63)*(Y64*AL64+Y63*AL63)</f>
        <v>1.0007716536328E-013</v>
      </c>
      <c r="AT64" s="37" t="n">
        <f aca="false">0.5*(B64-B63)*(Z64*AL64+Z63*AL63)</f>
        <v>7.51891677498767E-016</v>
      </c>
      <c r="AU64" s="37" t="n">
        <f aca="false">0.5*(B64-B63)*(AA64*AL64+AA63*AL63)</f>
        <v>1.70199737752924E-012</v>
      </c>
      <c r="AV64" s="37" t="n">
        <f aca="false">0.5*(B64-B63)*(S64+S63)</f>
        <v>1.0252793237718E-012</v>
      </c>
      <c r="AW64" s="37" t="n">
        <f aca="false">0.5*(B64-B63)*(T64+T63)</f>
        <v>7.2494661015938E-012</v>
      </c>
      <c r="AX64" s="37" t="n">
        <f aca="false">0.5*(B64-B63)*(U64+U63)</f>
        <v>5.51570437962435E-012</v>
      </c>
      <c r="AY64" s="37" t="n">
        <f aca="false">0.5*(B64-B63)*(V64+V63)</f>
        <v>4.88717922923366E-009</v>
      </c>
      <c r="AZ64" s="37" t="n">
        <f aca="false">0.5*(B64-B63)*(W64+W63)</f>
        <v>3.44151391189378E-009</v>
      </c>
      <c r="BA64" s="37" t="n">
        <f aca="false">0.5*(B64-B63)*(X64+X63)</f>
        <v>1.52182167768476E-011</v>
      </c>
      <c r="BB64" s="37" t="n">
        <f aca="false">0.5*(B64-B63)*(Y64+Y63)</f>
        <v>5.22530265688158E-010</v>
      </c>
      <c r="BC64" s="37" t="n">
        <f aca="false">0.5*(B64-B63)*(Z64+Z63)</f>
        <v>3.92081563442078E-012</v>
      </c>
      <c r="BD64" s="37" t="n">
        <f aca="false">0.5*(B64-B63)*(AA64+AA63)</f>
        <v>8.88415288903186E-009</v>
      </c>
      <c r="BE64" s="37" t="n">
        <f aca="false">IF(B64&gt;2000,AK64,-999)</f>
        <v>-999</v>
      </c>
      <c r="BF64" s="37" t="n">
        <f aca="false">IF(AND(B64&lt;1000,AK64&gt;=-3),B64,1000000000)</f>
        <v>35.5655882007785</v>
      </c>
    </row>
    <row r="65" customFormat="false" ht="15" hidden="false" customHeight="false" outlineLevel="0" collapsed="false">
      <c r="A65" s="5" t="n">
        <v>26</v>
      </c>
      <c r="B65" s="47" t="n">
        <f aca="false">20*10^(A65/100)</f>
        <v>36.3940171721997</v>
      </c>
      <c r="C65" s="37" t="n">
        <f aca="false">2*PI()*B65</f>
        <v>228.670353965607</v>
      </c>
      <c r="D65" s="37" t="n">
        <f aca="false">SQRT(L_Rp0^2+L_Rp1^2*C65)</f>
        <v>76923919.794139</v>
      </c>
      <c r="E65" s="5" t="str">
        <f aca="false">COMPLEX(D65,C65*L_Mp)</f>
        <v>76923919.794139+3378082.92090131i</v>
      </c>
      <c r="F65" s="5" t="str">
        <f aca="false">IMDIV(1,E65)</f>
        <v>1.29748356919727e-08-5.69784677767984e-10i</v>
      </c>
      <c r="G65" s="5" t="str">
        <f aca="false">COMPLEX(0,C65*L_Cf)</f>
        <v>2.41800099360904e-13i</v>
      </c>
      <c r="H65" s="5" t="str">
        <f aca="false">COMPLEX(0,C65*L_Cbv)</f>
        <v>2.41800099360904e-12i</v>
      </c>
      <c r="I65" s="5" t="str">
        <f aca="false">COMPLEX(L_Rsq+L_Rh,C65*(L_Md+L_Mh)-1/(C65*L_Cd))</f>
        <v>552400610.124532-5037723810912.92i</v>
      </c>
      <c r="J65" s="5" t="str">
        <f aca="false">IMDIV(1,I65)</f>
        <v>2.17663413856754e-17+1.98502344612466e-13i</v>
      </c>
      <c r="K65" s="5" t="str">
        <f aca="false">IMSUM(F65,G65,H65)</f>
        <v>1.29748356919727e-08-5.67124876675014e-10i</v>
      </c>
      <c r="L65" s="5" t="str">
        <f aca="false">IMSUM(IMPRODUCT(IMSUM(F65,G65),H65),IMPRODUCT(IMSUM(J65,L_Yv),K65))</f>
        <v>2.74396846604623e-20+3.28144388033384e-20i</v>
      </c>
      <c r="M65" s="37" t="n">
        <f aca="false">IMABS(IMDIV(IMPRODUCT(J65,F65,H65),L65))^2</f>
        <v>2.12372943587056E-026</v>
      </c>
      <c r="N65" s="5" t="str">
        <f aca="false">IMDIV(IMPRODUCT(L_Yv,K65,E65),H65)</f>
        <v>0.000169232623547086-0.827122087719903i</v>
      </c>
      <c r="O65" s="37" t="n">
        <f aca="false">IMABS(IMSUM(1,IMPRODUCT(E65,G65),N65))^2</f>
        <v>1.68443703901805</v>
      </c>
      <c r="P65" s="37" t="n">
        <f aca="false">IMABS(N65)^2</f>
        <v>0.684130976633812</v>
      </c>
      <c r="Q65" s="37" t="n">
        <f aca="false">p_Rb^2/(1+(C65*p_Rb*L_Ctot)^2)</f>
        <v>3.15247301466188E+018</v>
      </c>
      <c r="R65" s="37" t="n">
        <f aca="false">M65*L_Kt^2*Q65</f>
        <v>1.34365567077779E-005</v>
      </c>
      <c r="S65" s="37" t="n">
        <f aca="false">L_kT4*D65</f>
        <v>1.26660003024075E-012</v>
      </c>
      <c r="T65" s="37" t="n">
        <f aca="false">L_kT4*L_Rsq*O65</f>
        <v>8.70094501136927E-012</v>
      </c>
      <c r="U65" s="37" t="n">
        <f aca="false">L_kT4*L_Rh*O65</f>
        <v>6.62005171601934E-012</v>
      </c>
      <c r="V65" s="37" t="n">
        <f aca="false">L_kT4*p_Rv*P65</f>
        <v>5.63232033684691E-009</v>
      </c>
      <c r="W65" s="37" t="n">
        <f aca="false">L_kT4/p_Rb*Q65/R65</f>
        <v>3.86314915097744E-009</v>
      </c>
      <c r="X65" s="37" t="n">
        <f aca="false">p_en^2*(1+p_fc/B65)/R65</f>
        <v>1.78507846058207E-011</v>
      </c>
      <c r="Y65" s="37" t="n">
        <f aca="false">p_in^2*Q65/R65</f>
        <v>5.86547782148127E-010</v>
      </c>
      <c r="Z65" s="37" t="n">
        <f aca="false">p_eo^2/L_G^2/R65</f>
        <v>4.71815280337015E-012</v>
      </c>
      <c r="AA65" s="37" t="n">
        <f aca="false">SUM(S65:Z65)</f>
        <v>1.01211738041393E-008</v>
      </c>
      <c r="AB65" s="47" t="n">
        <f aca="false">10*LOG10(AA65/L_PREF^2)</f>
        <v>14.0317089144249</v>
      </c>
      <c r="AC65" s="47" t="n">
        <f aca="false">10*LOG10(S65/L_PREF^2)</f>
        <v>-24.9942049726765</v>
      </c>
      <c r="AD65" s="47" t="n">
        <f aca="false">10*LOG10(T65/L_PREF^2)</f>
        <v>-16.6249356733754</v>
      </c>
      <c r="AE65" s="47" t="n">
        <f aca="false">10*LOG10(U65/L_PREF^2)</f>
        <v>-17.8119860915502</v>
      </c>
      <c r="AF65" s="47" t="n">
        <f aca="false">10*LOG10(V65/L_PREF^2)</f>
        <v>11.4862735590138</v>
      </c>
      <c r="AG65" s="47" t="n">
        <f aca="false">10*LOG10(W65/L_PREF^2)</f>
        <v>9.84881484664647</v>
      </c>
      <c r="AH65" s="47" t="n">
        <f aca="false">10*LOG10(X65/L_PREF^2)</f>
        <v>-13.5040268166464</v>
      </c>
      <c r="AI65" s="47" t="n">
        <f aca="false">10*LOG10(Y65/L_PREF^2)</f>
        <v>1.66243405648731</v>
      </c>
      <c r="AJ65" s="47" t="n">
        <f aca="false">10*LOG10(Z65/L_PREF^2)</f>
        <v>-19.2828798937231</v>
      </c>
      <c r="AK65" s="47" t="n">
        <f aca="false">10*LOG10(R65/$R$6)</f>
        <v>-2.00482915270289</v>
      </c>
      <c r="AL65" s="37" t="n">
        <f aca="false">(12194^2*B65^4/((B65^2+20.6^2)*SQRT((B65^2+107.7^2)*(B65^2+737.9^2))*(B65^2+12194^2))*1.2589254)^2</f>
        <v>0.000226083602952654</v>
      </c>
      <c r="AM65" s="37" t="n">
        <f aca="false">0.5*(B65-B64)*(S65*AL65+S64*AL64)</f>
        <v>2.24850906548142E-016</v>
      </c>
      <c r="AN65" s="37" t="n">
        <f aca="false">0.5*(B65-B64)*(T65*AL65+T64*AL64)</f>
        <v>1.55864972086685E-015</v>
      </c>
      <c r="AO65" s="37" t="n">
        <f aca="false">0.5*(B65-B64)*(U65*AL65+U64*AL64)</f>
        <v>1.1858874807064E-015</v>
      </c>
      <c r="AP65" s="37" t="n">
        <f aca="false">0.5*(B65-B64)*(V65*AL65+V64*AL64)</f>
        <v>1.02217256020363E-012</v>
      </c>
      <c r="AQ65" s="37" t="n">
        <f aca="false">0.5*(B65-B64)*(W65*AL65+W64*AL64)</f>
        <v>7.06993907279983E-013</v>
      </c>
      <c r="AR65" s="37" t="n">
        <f aca="false">0.5*(B65-B64)*(X65*AL65+X64*AL64)</f>
        <v>3.22108825825696E-015</v>
      </c>
      <c r="AS65" s="37" t="n">
        <f aca="false">0.5*(B65-B64)*(Y65*AL65+Y64*AL64)</f>
        <v>1.07343954918849E-013</v>
      </c>
      <c r="AT65" s="37" t="n">
        <f aca="false">0.5*(B65-B64)*(Z65*AL65+Z64*AL64)</f>
        <v>8.44491639032688E-016</v>
      </c>
      <c r="AU65" s="37" t="n">
        <f aca="false">0.5*(B65-B64)*(AA65*AL65+AA64*AL64)</f>
        <v>1.84354539040787E-012</v>
      </c>
      <c r="AV65" s="37" t="n">
        <f aca="false">0.5*(B65-B64)*(S65+S64)</f>
        <v>1.04924549998009E-012</v>
      </c>
      <c r="AW65" s="37" t="n">
        <f aca="false">0.5*(B65-B64)*(T65+T64)</f>
        <v>7.27710215161451E-012</v>
      </c>
      <c r="AX65" s="37" t="n">
        <f aca="false">0.5*(B65-B64)*(U65+U64)</f>
        <v>5.53673107041765E-012</v>
      </c>
      <c r="AY65" s="37" t="n">
        <f aca="false">0.5*(B65-B64)*(V65+V64)</f>
        <v>4.77592968329831E-009</v>
      </c>
      <c r="AZ65" s="37" t="n">
        <f aca="false">0.5*(B65-B64)*(W65+W64)</f>
        <v>3.30487689750329E-009</v>
      </c>
      <c r="BA65" s="37" t="n">
        <f aca="false">0.5*(B65-B64)*(X65+X64)</f>
        <v>1.50450704917076E-011</v>
      </c>
      <c r="BB65" s="37" t="n">
        <f aca="false">0.5*(B65-B64)*(Y65+Y64)</f>
        <v>5.01784461004482E-010</v>
      </c>
      <c r="BC65" s="37" t="n">
        <f aca="false">0.5*(B65-B64)*(Z65+Z64)</f>
        <v>3.94261716723145E-012</v>
      </c>
      <c r="BD65" s="37" t="n">
        <f aca="false">0.5*(B65-B64)*(AA65+AA64)</f>
        <v>8.61544180818703E-009</v>
      </c>
      <c r="BE65" s="37" t="n">
        <f aca="false">IF(B65&gt;2000,AK65,-999)</f>
        <v>-999</v>
      </c>
      <c r="BF65" s="37" t="n">
        <f aca="false">IF(AND(B65&lt;1000,AK65&gt;=-3),B65,1000000000)</f>
        <v>36.3940171721997</v>
      </c>
    </row>
    <row r="66" customFormat="false" ht="15" hidden="false" customHeight="false" outlineLevel="0" collapsed="false">
      <c r="A66" s="5" t="n">
        <v>27</v>
      </c>
      <c r="B66" s="47" t="n">
        <f aca="false">20*10^(A66/100)</f>
        <v>37.2417427332574</v>
      </c>
      <c r="C66" s="37" t="n">
        <f aca="false">2*PI()*B66</f>
        <v>233.996770755365</v>
      </c>
      <c r="D66" s="37" t="n">
        <f aca="false">SQRT(L_Rp0^2+L_Rp1^2*C66)</f>
        <v>76930319.8615725</v>
      </c>
      <c r="E66" s="5" t="str">
        <f aca="false">COMPLEX(D66,C66*L_Mp)</f>
        <v>76930319.8615725+3456768.58030161i</v>
      </c>
      <c r="F66" s="5" t="str">
        <f aca="false">IMDIV(1,E66)</f>
        <v>1.2972583855994e-08-5.82906978151374e-10i</v>
      </c>
      <c r="G66" s="5" t="str">
        <f aca="false">COMPLEX(0,C66*L_Cf)</f>
        <v>2.47432347208803e-13i</v>
      </c>
      <c r="H66" s="5" t="str">
        <f aca="false">COMPLEX(0,C66*L_Cbv)</f>
        <v>2.47432347208803e-12i</v>
      </c>
      <c r="I66" s="5" t="str">
        <f aca="false">COMPLEX(L_Rsq+L_Rh,C66*(L_Md+L_Mh)-1/(C66*L_Cd))</f>
        <v>552400610.124532-4923051177236.53i</v>
      </c>
      <c r="J66" s="5" t="str">
        <f aca="false">IMDIV(1,I66)</f>
        <v>2.27921578060856e-17+2.03126059715457e-13i</v>
      </c>
      <c r="K66" s="5" t="str">
        <f aca="false">IMSUM(F66,G66,H66)</f>
        <v>1.2972583855994e-08-5.80185222332077e-10i</v>
      </c>
      <c r="L66" s="5" t="str">
        <f aca="false">IMSUM(IMPRODUCT(IMSUM(F66,G66),H66),IMPRODUCT(IMSUM(J66,L_Yv),K66))</f>
        <v>2.75050023137033e-20+3.35730549031753e-20i</v>
      </c>
      <c r="M66" s="37" t="n">
        <f aca="false">IMABS(IMDIV(IMPRODUCT(J66,F66,H66),L66))^2</f>
        <v>2.26134684524281E-026</v>
      </c>
      <c r="N66" s="5" t="str">
        <f aca="false">IMDIV(IMPRODUCT(L_Yv,K66,E66),H66)</f>
        <v>0.000169246703695556-0.808294148118099i</v>
      </c>
      <c r="O66" s="37" t="n">
        <f aca="false">IMABS(IMSUM(1,IMPRODUCT(E66,G66),N66))^2</f>
        <v>1.65364546953619</v>
      </c>
      <c r="P66" s="37" t="n">
        <f aca="false">IMABS(N66)^2</f>
        <v>0.65333945852641</v>
      </c>
      <c r="Q66" s="37" t="n">
        <f aca="false">p_Rb^2/(1+(C66*p_Rb*L_Ctot)^2)</f>
        <v>3.0105887837911E+018</v>
      </c>
      <c r="R66" s="37" t="n">
        <f aca="false">M66*L_Kt^2*Q66</f>
        <v>1.36633138369336E-005</v>
      </c>
      <c r="S66" s="37" t="n">
        <f aca="false">L_kT4*D66</f>
        <v>1.26670541131892E-012</v>
      </c>
      <c r="T66" s="37" t="n">
        <f aca="false">L_kT4*L_Rsq*O66</f>
        <v>8.5418914245213E-012</v>
      </c>
      <c r="U66" s="37" t="n">
        <f aca="false">L_kT4*L_Rh*O66</f>
        <v>6.499036933237E-012</v>
      </c>
      <c r="V66" s="37" t="n">
        <f aca="false">L_kT4*p_Rv*P66</f>
        <v>5.3788196190574E-009</v>
      </c>
      <c r="W66" s="37" t="n">
        <f aca="false">L_kT4/p_Rb*Q66/R66</f>
        <v>3.62805183306952E-009</v>
      </c>
      <c r="X66" s="37" t="n">
        <f aca="false">p_en^2*(1+p_fc/B66)/R66</f>
        <v>1.7261564628703E-011</v>
      </c>
      <c r="Y66" s="37" t="n">
        <f aca="false">p_in^2*Q66/R66</f>
        <v>5.50852600569913E-010</v>
      </c>
      <c r="Z66" s="37" t="n">
        <f aca="false">p_eo^2/L_G^2/R66</f>
        <v>4.63985007261402E-012</v>
      </c>
      <c r="AA66" s="37" t="n">
        <f aca="false">SUM(S66:Z66)</f>
        <v>9.59593310116723E-009</v>
      </c>
      <c r="AB66" s="47" t="n">
        <f aca="false">10*LOG10(AA66/L_PREF^2)</f>
        <v>13.8002722025887</v>
      </c>
      <c r="AC66" s="47" t="n">
        <f aca="false">10*LOG10(S66/L_PREF^2)</f>
        <v>-24.9938436548502</v>
      </c>
      <c r="AD66" s="47" t="n">
        <f aca="false">10*LOG10(T66/L_PREF^2)</f>
        <v>-16.7050594449365</v>
      </c>
      <c r="AE66" s="47" t="n">
        <f aca="false">10*LOG10(U66/L_PREF^2)</f>
        <v>-17.8921098631112</v>
      </c>
      <c r="AF66" s="47" t="n">
        <f aca="false">10*LOG10(V66/L_PREF^2)</f>
        <v>11.2862698895285</v>
      </c>
      <c r="AG66" s="47" t="n">
        <f aca="false">10*LOG10(W66/L_PREF^2)</f>
        <v>9.57613491761106</v>
      </c>
      <c r="AH66" s="47" t="n">
        <f aca="false">10*LOG10(X66/L_PREF^2)</f>
        <v>-13.6497983269415</v>
      </c>
      <c r="AI66" s="47" t="n">
        <f aca="false">10*LOG10(Y66/L_PREF^2)</f>
        <v>1.3897541274519</v>
      </c>
      <c r="AJ66" s="47" t="n">
        <f aca="false">10*LOG10(Z66/L_PREF^2)</f>
        <v>-19.3555604389558</v>
      </c>
      <c r="AK66" s="47" t="n">
        <f aca="false">10*LOG10(R66/$R$6)</f>
        <v>-1.9321486074702</v>
      </c>
      <c r="AL66" s="37" t="n">
        <f aca="false">(12194^2*B66^4/((B66^2+20.6^2)*SQRT((B66^2+107.7^2)*(B66^2+737.9^2))*(B66^2+12194^2))*1.2589254)^2</f>
        <v>0.000252153116251011</v>
      </c>
      <c r="AM66" s="37" t="n">
        <f aca="false">0.5*(B66-B65)*(S66*AL66+S65*AL65)</f>
        <v>2.56759632999696E-016</v>
      </c>
      <c r="AN66" s="37" t="n">
        <f aca="false">0.5*(B66-B65)*(T66*AL66+T65*AL65)</f>
        <v>1.74674086618022E-015</v>
      </c>
      <c r="AO66" s="37" t="n">
        <f aca="false">0.5*(B66-B65)*(U66*AL66+U65*AL65)</f>
        <v>1.32899528194785E-015</v>
      </c>
      <c r="AP66" s="37" t="n">
        <f aca="false">0.5*(B66-B65)*(V66*AL66+V65*AL65)</f>
        <v>1.11461559430945E-012</v>
      </c>
      <c r="AQ66" s="37" t="n">
        <f aca="false">0.5*(B66-B65)*(W66*AL66+W65*AL65)</f>
        <v>7.57959585375853E-013</v>
      </c>
      <c r="AR66" s="37" t="n">
        <f aca="false">0.5*(B66-B65)*(X66*AL66+X65*AL65)</f>
        <v>3.5554996111692E-015</v>
      </c>
      <c r="AS66" s="37" t="n">
        <f aca="false">0.5*(B66-B65)*(Y66*AL66+Y65*AL65)</f>
        <v>1.15082150956464E-013</v>
      </c>
      <c r="AT66" s="37" t="n">
        <f aca="false">0.5*(B66-B65)*(Z66*AL66+Z65*AL65)</f>
        <v>9.4803253540048E-016</v>
      </c>
      <c r="AU66" s="37" t="n">
        <f aca="false">0.5*(B66-B65)*(AA66*AL66+AA65*AL65)</f>
        <v>1.99549335856946E-012</v>
      </c>
      <c r="AV66" s="37" t="n">
        <f aca="false">0.5*(B66-B65)*(S66+S65)</f>
        <v>1.07377388838833E-012</v>
      </c>
      <c r="AW66" s="37" t="n">
        <f aca="false">0.5*(B66-B65)*(T66+T65)</f>
        <v>7.30859659592062E-012</v>
      </c>
      <c r="AX66" s="37" t="n">
        <f aca="false">0.5*(B66-B65)*(U66+U65)</f>
        <v>5.56069339287818E-012</v>
      </c>
      <c r="AY66" s="37" t="n">
        <f aca="false">0.5*(B66-B65)*(V66+V65)</f>
        <v>4.66721239850184E-009</v>
      </c>
      <c r="AZ66" s="37" t="n">
        <f aca="false">0.5*(B66-B65)*(W66+W65)</f>
        <v>3.17524127859855E-009</v>
      </c>
      <c r="BA66" s="37" t="n">
        <f aca="false">0.5*(B66-B65)*(X66+X65)</f>
        <v>1.4882817977445E-011</v>
      </c>
      <c r="BB66" s="37" t="n">
        <f aca="false">0.5*(B66-B65)*(Y66+Y65)</f>
        <v>4.82101688793439E-010</v>
      </c>
      <c r="BC66" s="37" t="n">
        <f aca="false">0.5*(B66-B65)*(Z66+Z65)</f>
        <v>3.96650911921156E-012</v>
      </c>
      <c r="BD66" s="37" t="n">
        <f aca="false">0.5*(B66-B65)*(AA66+AA65)</f>
        <v>8.35734775686767E-009</v>
      </c>
      <c r="BE66" s="37" t="n">
        <f aca="false">IF(B66&gt;2000,AK66,-999)</f>
        <v>-999</v>
      </c>
      <c r="BF66" s="37" t="n">
        <f aca="false">IF(AND(B66&lt;1000,AK66&gt;=-3),B66,1000000000)</f>
        <v>37.2417427332574</v>
      </c>
    </row>
    <row r="67" customFormat="false" ht="15" hidden="false" customHeight="false" outlineLevel="0" collapsed="false">
      <c r="A67" s="5" t="n">
        <v>28</v>
      </c>
      <c r="B67" s="47" t="n">
        <f aca="false">20*10^(A67/100)</f>
        <v>38.1092143592649</v>
      </c>
      <c r="C67" s="37" t="n">
        <f aca="false">2*PI()*B67</f>
        <v>239.447255730291</v>
      </c>
      <c r="D67" s="37" t="n">
        <f aca="false">SQRT(L_Rp0^2+L_Rp1^2*C67)</f>
        <v>76936868.4545855</v>
      </c>
      <c r="E67" s="5" t="str">
        <f aca="false">COMPLEX(D67,C67*L_Mp)</f>
        <v>76936868.4545855+3537287.06415893i</v>
      </c>
      <c r="F67" s="5" t="str">
        <f aca="false">IMDIV(1,E67)</f>
        <v>1.29702526423764e-08-5.96326674224246e-10i</v>
      </c>
      <c r="G67" s="5" t="str">
        <f aca="false">COMPLEX(0,C67*L_Cf)</f>
        <v>2.53195786962346e-13i</v>
      </c>
      <c r="H67" s="5" t="str">
        <f aca="false">COMPLEX(0,C67*L_Cbv)</f>
        <v>2.53195786962346e-12i</v>
      </c>
      <c r="I67" s="5" t="str">
        <f aca="false">COMPLEX(L_Rsq+L_Rh,C67*(L_Md+L_Mh)-1/(C67*L_Cd))</f>
        <v>552400610.124532-4810988810458.59i</v>
      </c>
      <c r="J67" s="5" t="str">
        <f aca="false">IMDIV(1,I67)</f>
        <v>2.38663194991604e-17+2.07857475087519e-13i</v>
      </c>
      <c r="K67" s="5" t="str">
        <f aca="false">IMSUM(F67,G67,H67)</f>
        <v>1.29702526423764e-08-5.9354152056766e-10i</v>
      </c>
      <c r="L67" s="5" t="str">
        <f aca="false">IMSUM(IMPRODUCT(IMSUM(F67,G67),H67),IMPRODUCT(IMSUM(J67,L_Yv),K67))</f>
        <v>2.75734198133743e-20+3.43490000075741e-20i</v>
      </c>
      <c r="M67" s="37" t="n">
        <f aca="false">IMABS(IMDIV(IMPRODUCT(J67,F67,H67),L67))^2</f>
        <v>2.40670844167672E-026</v>
      </c>
      <c r="N67" s="5" t="str">
        <f aca="false">IMDIV(IMPRODUCT(L_Yv,K67,E67),H67)</f>
        <v>0.000169261110600061-0.789894776772659i</v>
      </c>
      <c r="O67" s="37" t="n">
        <f aca="false">IMABS(IMSUM(1,IMPRODUCT(E67,G67),N67))^2</f>
        <v>1.62423974362379</v>
      </c>
      <c r="P67" s="37" t="n">
        <f aca="false">IMABS(N67)^2</f>
        <v>0.623933787022052</v>
      </c>
      <c r="Q67" s="37" t="n">
        <f aca="false">p_Rb^2/(1+(C67*p_Rb*L_Ctot)^2)</f>
        <v>2.87509035765113E+018</v>
      </c>
      <c r="R67" s="37" t="n">
        <f aca="false">M67*L_Kt^2*Q67</f>
        <v>1.38871269135798E-005</v>
      </c>
      <c r="S67" s="37" t="n">
        <f aca="false">L_kT4*D67</f>
        <v>1.26681323796283E-012</v>
      </c>
      <c r="T67" s="37" t="n">
        <f aca="false">L_kT4*L_Rsq*O67</f>
        <v>8.38999640069044E-012</v>
      </c>
      <c r="U67" s="37" t="n">
        <f aca="false">L_kT4*L_Rh*O67</f>
        <v>6.3834686918733E-012</v>
      </c>
      <c r="V67" s="37" t="n">
        <f aca="false">L_kT4*p_Rv*P67</f>
        <v>5.13672831302188E-009</v>
      </c>
      <c r="W67" s="37" t="n">
        <f aca="false">L_kT4/p_Rb*Q67/R67</f>
        <v>3.4089229193767E-009</v>
      </c>
      <c r="X67" s="37" t="n">
        <f aca="false">p_en^2*(1+p_fc/B67)/R67</f>
        <v>1.6701682696737E-011</v>
      </c>
      <c r="Y67" s="37" t="n">
        <f aca="false">p_in^2*Q67/R67</f>
        <v>5.1758192597053E-010</v>
      </c>
      <c r="Z67" s="37" t="n">
        <f aca="false">p_eo^2/L_G^2/R67</f>
        <v>4.56507152940698E-012</v>
      </c>
      <c r="AA67" s="37" t="n">
        <f aca="false">SUM(S67:Z67)</f>
        <v>9.10054019092578E-009</v>
      </c>
      <c r="AB67" s="47" t="n">
        <f aca="false">10*LOG10(AA67/L_PREF^2)</f>
        <v>13.5700718066075</v>
      </c>
      <c r="AC67" s="47" t="n">
        <f aca="false">10*LOG10(S67/L_PREF^2)</f>
        <v>-24.9934739830778</v>
      </c>
      <c r="AD67" s="47" t="n">
        <f aca="false">10*LOG10(T67/L_PREF^2)</f>
        <v>-16.7829821681161</v>
      </c>
      <c r="AE67" s="47" t="n">
        <f aca="false">10*LOG10(U67/L_PREF^2)</f>
        <v>-17.9700325862909</v>
      </c>
      <c r="AF67" s="47" t="n">
        <f aca="false">10*LOG10(V67/L_PREF^2)</f>
        <v>11.0862660471062</v>
      </c>
      <c r="AG67" s="47" t="n">
        <f aca="false">10*LOG10(W67/L_PREF^2)</f>
        <v>9.30557189992502</v>
      </c>
      <c r="AH67" s="47" t="n">
        <f aca="false">10*LOG10(X67/L_PREF^2)</f>
        <v>-13.7929976274966</v>
      </c>
      <c r="AI67" s="47" t="n">
        <f aca="false">10*LOG10(Y67/L_PREF^2)</f>
        <v>1.11919110976586</v>
      </c>
      <c r="AJ67" s="47" t="n">
        <f aca="false">10*LOG10(Z67/L_PREF^2)</f>
        <v>-19.4261240451058</v>
      </c>
      <c r="AK67" s="47" t="n">
        <f aca="false">10*LOG10(R67/$R$6)</f>
        <v>-1.86158500132024</v>
      </c>
      <c r="AL67" s="37" t="n">
        <f aca="false">(12194^2*B67^4/((B67^2+20.6^2)*SQRT((B67^2+107.7^2)*(B67^2+737.9^2))*(B67^2+12194^2))*1.2589254)^2</f>
        <v>0.000280956407133799</v>
      </c>
      <c r="AM67" s="37" t="n">
        <f aca="false">0.5*(B67-B66)*(S67*AL67+S66*AL66)</f>
        <v>2.92911775946518E-016</v>
      </c>
      <c r="AN67" s="37" t="n">
        <f aca="false">0.5*(B67-B66)*(T67*AL67+T66*AL66)</f>
        <v>1.95662032838107E-015</v>
      </c>
      <c r="AO67" s="37" t="n">
        <f aca="false">0.5*(B67-B66)*(U67*AL67+U66*AL66)</f>
        <v>1.48868056809602E-015</v>
      </c>
      <c r="AP67" s="37" t="n">
        <f aca="false">0.5*(B67-B66)*(V67*AL67+V66*AL66)</f>
        <v>1.21423597424908E-012</v>
      </c>
      <c r="AQ67" s="37" t="n">
        <f aca="false">0.5*(B67-B66)*(W67*AL67+W66*AL66)</f>
        <v>8.12206444923578E-013</v>
      </c>
      <c r="AR67" s="37" t="n">
        <f aca="false">0.5*(B67-B66)*(X67*AL67+X66*AL66)</f>
        <v>3.92314132908076E-015</v>
      </c>
      <c r="AS67" s="37" t="n">
        <f aca="false">0.5*(B67-B66)*(Y67*AL67+Y66*AL66)</f>
        <v>1.23318533739709E-013</v>
      </c>
      <c r="AT67" s="37" t="n">
        <f aca="false">0.5*(B67-B66)*(Z67*AL67+Z66*AL66)</f>
        <v>1.06375388863638E-015</v>
      </c>
      <c r="AU67" s="37" t="n">
        <f aca="false">0.5*(B67-B66)*(AA67*AL67+AA66*AL66)</f>
        <v>2.15848606080251E-012</v>
      </c>
      <c r="AV67" s="37" t="n">
        <f aca="false">0.5*(B67-B66)*(S67+S66)</f>
        <v>1.0988777711065E-012</v>
      </c>
      <c r="AW67" s="37" t="n">
        <f aca="false">0.5*(B67-B66)*(T67+T66)</f>
        <v>7.34396613155729E-012</v>
      </c>
      <c r="AX67" s="37" t="n">
        <f aca="false">0.5*(B67-B66)*(U67+U66)</f>
        <v>5.58760405083319E-012</v>
      </c>
      <c r="AY67" s="37" t="n">
        <f aca="false">0.5*(B67-B66)*(V67+V66)</f>
        <v>4.5609697315008E-009</v>
      </c>
      <c r="AZ67" s="37" t="n">
        <f aca="false">0.5*(B67-B66)*(W67+W66)</f>
        <v>3.05218796533945E-009</v>
      </c>
      <c r="BA67" s="37" t="n">
        <f aca="false">0.5*(B67-B66)*(X67+X66)</f>
        <v>1.47310766909487E-011</v>
      </c>
      <c r="BB67" s="37" t="n">
        <f aca="false">0.5*(B67-B66)*(Y67+Y66)</f>
        <v>4.63418318010345E-010</v>
      </c>
      <c r="BC67" s="37" t="n">
        <f aca="false">0.5*(B67-B66)*(Z67+Z66)</f>
        <v>3.99250415468879E-012</v>
      </c>
      <c r="BD67" s="37" t="n">
        <f aca="false">0.5*(B67-B66)*(AA67+AA66)</f>
        <v>8.10933004364973E-009</v>
      </c>
      <c r="BE67" s="37" t="n">
        <f aca="false">IF(B67&gt;2000,AK67,-999)</f>
        <v>-999</v>
      </c>
      <c r="BF67" s="37" t="n">
        <f aca="false">IF(AND(B67&lt;1000,AK67&gt;=-3),B67,1000000000)</f>
        <v>38.1092143592649</v>
      </c>
    </row>
    <row r="68" customFormat="false" ht="15" hidden="false" customHeight="false" outlineLevel="0" collapsed="false">
      <c r="A68" s="5" t="n">
        <v>29</v>
      </c>
      <c r="B68" s="47" t="n">
        <f aca="false">20*10^(A68/100)</f>
        <v>38.9968919951609</v>
      </c>
      <c r="C68" s="37" t="n">
        <f aca="false">2*PI()*B68</f>
        <v>245.024698809664</v>
      </c>
      <c r="D68" s="37" t="n">
        <f aca="false">SQRT(L_Rp0^2+L_Rp1^2*C68)</f>
        <v>76943569.0069561</v>
      </c>
      <c r="E68" s="5" t="str">
        <f aca="false">COMPLEX(D68,C68*L_Mp)</f>
        <v>76943569.0069561+3619681.06443919i</v>
      </c>
      <c r="F68" s="5" t="str">
        <f aca="false">IMDIV(1,E68)</f>
        <v>1.29678389714603e-08-6.10050219628466e-10i</v>
      </c>
      <c r="G68" s="5" t="str">
        <f aca="false">COMPLEX(0,C68*L_Cf)</f>
        <v>2.5909347447358e-13i</v>
      </c>
      <c r="H68" s="5" t="str">
        <f aca="false">COMPLEX(0,C68*L_Cbv)</f>
        <v>2.5909347447358e-12i</v>
      </c>
      <c r="I68" s="5" t="str">
        <f aca="false">COMPLEX(L_Rsq+L_Rh,C68*(L_Md+L_Mh)-1/(C68*L_Cd))</f>
        <v>552400610.124532-4701477293628.93i</v>
      </c>
      <c r="J68" s="5" t="str">
        <f aca="false">IMDIV(1,I68)</f>
        <v>2.49911049107053e-17+2.12699099397974e-13i</v>
      </c>
      <c r="K68" s="5" t="str">
        <f aca="false">IMSUM(F68,G68,H68)</f>
        <v>1.29678389714603e-08-6.07200191409257e-10i</v>
      </c>
      <c r="L68" s="5" t="str">
        <f aca="false">IMSUM(IMPRODUCT(IMSUM(F68,G68),H68),IMPRODUCT(IMSUM(J68,L_Yv),K68))</f>
        <v>2.76450819731957e-20+3.51426566682409e-20i</v>
      </c>
      <c r="M68" s="37" t="n">
        <f aca="false">IMABS(IMDIV(IMPRODUCT(J68,F68,H68),L68))^2</f>
        <v>2.56018260129053E-026</v>
      </c>
      <c r="N68" s="5" t="str">
        <f aca="false">IMDIV(IMPRODUCT(L_Yv,K68,E68),H68)</f>
        <v>0.000169275851815147-0.771914218093355i</v>
      </c>
      <c r="O68" s="37" t="n">
        <f aca="false">IMABS(IMSUM(1,IMPRODUCT(E68,G68),N68))^2</f>
        <v>1.59615748775183</v>
      </c>
      <c r="P68" s="37" t="n">
        <f aca="false">IMABS(N68)^2</f>
        <v>0.59585158874899</v>
      </c>
      <c r="Q68" s="37" t="n">
        <f aca="false">p_Rb^2/(1+(C68*p_Rb*L_Ctot)^2)</f>
        <v>2.74569033099192E+018</v>
      </c>
      <c r="R68" s="37" t="n">
        <f aca="false">M68*L_Kt^2*Q68</f>
        <v>1.41078203684415E-005</v>
      </c>
      <c r="S68" s="37" t="n">
        <f aca="false">L_kT4*D68</f>
        <v>1.26692356671178E-012</v>
      </c>
      <c r="T68" s="37" t="n">
        <f aca="false">L_kT4*L_Rsq*O68</f>
        <v>8.24493774995007E-012</v>
      </c>
      <c r="U68" s="37" t="n">
        <f aca="false">L_kT4*L_Rh*O68</f>
        <v>6.27310185602932E-012</v>
      </c>
      <c r="V68" s="37" t="n">
        <f aca="false">L_kT4*p_Rv*P68</f>
        <v>4.9055329106225E-009</v>
      </c>
      <c r="W68" s="37" t="n">
        <f aca="false">L_kT4/p_Rb*Q68/R68</f>
        <v>3.20456969083125E-009</v>
      </c>
      <c r="X68" s="37" t="n">
        <f aca="false">p_en^2*(1+p_fc/B68)/R68</f>
        <v>1.6169446230512E-011</v>
      </c>
      <c r="Y68" s="37" t="n">
        <f aca="false">p_in^2*Q68/R68</f>
        <v>4.86554666008845E-010</v>
      </c>
      <c r="Z68" s="37" t="n">
        <f aca="false">p_eo^2/L_G^2/R68</f>
        <v>4.49365855552413E-012</v>
      </c>
      <c r="AA68" s="37" t="n">
        <f aca="false">SUM(S68:Z68)</f>
        <v>8.63310533542132E-009</v>
      </c>
      <c r="AB68" s="47" t="n">
        <f aca="false">10*LOG10(AA68/L_PREF^2)</f>
        <v>13.3410704858854</v>
      </c>
      <c r="AC68" s="47" t="n">
        <f aca="false">10*LOG10(S68/L_PREF^2)</f>
        <v>-24.9930957656812</v>
      </c>
      <c r="AD68" s="47" t="n">
        <f aca="false">10*LOG10(T68/L_PREF^2)</f>
        <v>-16.8587261029894</v>
      </c>
      <c r="AE68" s="47" t="n">
        <f aca="false">10*LOG10(U68/L_PREF^2)</f>
        <v>-18.0457765211641</v>
      </c>
      <c r="AF68" s="47" t="n">
        <f aca="false">10*LOG10(V68/L_PREF^2)</f>
        <v>10.8862620235967</v>
      </c>
      <c r="AG68" s="47" t="n">
        <f aca="false">10*LOG10(W68/L_PREF^2)</f>
        <v>9.03709729439788</v>
      </c>
      <c r="AH68" s="47" t="n">
        <f aca="false">10*LOG10(X68/L_PREF^2)</f>
        <v>-13.9336484483845</v>
      </c>
      <c r="AI68" s="47" t="n">
        <f aca="false">10*LOG10(Y68/L_PREF^2)</f>
        <v>0.850716504238722</v>
      </c>
      <c r="AJ68" s="47" t="n">
        <f aca="false">10*LOG10(Z68/L_PREF^2)</f>
        <v>-19.4945992126117</v>
      </c>
      <c r="AK68" s="47" t="n">
        <f aca="false">10*LOG10(R68/$R$6)</f>
        <v>-1.79310983381434</v>
      </c>
      <c r="AL68" s="37" t="n">
        <f aca="false">(12194^2*B68^4/((B68^2+20.6^2)*SQRT((B68^2+107.7^2)*(B68^2+737.9^2))*(B68^2+12194^2))*1.2589254)^2</f>
        <v>0.000312750235491107</v>
      </c>
      <c r="AM68" s="37" t="n">
        <f aca="false">0.5*(B68-B67)*(S68*AL68+S67*AL67)</f>
        <v>3.33833340149839E-016</v>
      </c>
      <c r="AN68" s="37" t="n">
        <f aca="false">0.5*(B68-B67)*(T68*AL68+T67*AL67)</f>
        <v>2.19071271645238E-015</v>
      </c>
      <c r="AO68" s="37" t="n">
        <f aca="false">0.5*(B68-B67)*(U68*AL68+U67*AL67)</f>
        <v>1.66678808553621E-015</v>
      </c>
      <c r="AP68" s="37" t="n">
        <f aca="false">0.5*(B68-B67)*(V68*AL68+V67*AL67)</f>
        <v>1.32148716311523E-012</v>
      </c>
      <c r="AQ68" s="37" t="n">
        <f aca="false">0.5*(B68-B67)*(W68*AL68+W67*AL67)</f>
        <v>8.69919050524864E-013</v>
      </c>
      <c r="AR68" s="37" t="n">
        <f aca="false">0.5*(B68-B67)*(X68*AL68+X67*AL67)</f>
        <v>4.32718120347386E-015</v>
      </c>
      <c r="AS68" s="37" t="n">
        <f aca="false">0.5*(B68-B67)*(Y68*AL68+Y67*AL67)</f>
        <v>1.32081125991385E-013</v>
      </c>
      <c r="AT68" s="37" t="n">
        <f aca="false">0.5*(B68-B67)*(Z68*AL68+Z67*AL67)</f>
        <v>1.19302936285097E-015</v>
      </c>
      <c r="AU68" s="37" t="n">
        <f aca="false">0.5*(B68-B67)*(AA68*AL68+AA67*AL67)</f>
        <v>2.33319888433994E-012</v>
      </c>
      <c r="AV68" s="37" t="n">
        <f aca="false">0.5*(B68-B67)*(S68+S67)</f>
        <v>1.12457074837807E-012</v>
      </c>
      <c r="AW68" s="37" t="n">
        <f aca="false">0.5*(B68-B67)*(T68+T67)</f>
        <v>7.38322951006273E-012</v>
      </c>
      <c r="AX68" s="37" t="n">
        <f aca="false">0.5*(B68-B67)*(U68+U67)</f>
        <v>5.61747731125628E-012</v>
      </c>
      <c r="AY68" s="37" t="n">
        <f aca="false">0.5*(B68-B67)*(V68+V67)</f>
        <v>4.45714535102713E-009</v>
      </c>
      <c r="AZ68" s="37" t="n">
        <f aca="false">0.5*(B68-B67)*(W68+W67)</f>
        <v>2.93532474262238E-009</v>
      </c>
      <c r="BA68" s="37" t="n">
        <f aca="false">0.5*(B68-B67)*(X68+X67)</f>
        <v>1.45894830076858E-011</v>
      </c>
      <c r="BB68" s="37" t="n">
        <f aca="false">0.5*(B68-B67)*(Y68+Y67)</f>
        <v>4.45674798042436E-010</v>
      </c>
      <c r="BC68" s="37" t="n">
        <f aca="false">0.5*(B68-B67)*(Z68+Z67)</f>
        <v>4.0206160530056E-012</v>
      </c>
      <c r="BD68" s="37" t="n">
        <f aca="false">0.5*(B68-B67)*(AA68+AA67)</f>
        <v>7.87088026832233E-009</v>
      </c>
      <c r="BE68" s="37" t="n">
        <f aca="false">IF(B68&gt;2000,AK68,-999)</f>
        <v>-999</v>
      </c>
      <c r="BF68" s="37" t="n">
        <f aca="false">IF(AND(B68&lt;1000,AK68&gt;=-3),B68,1000000000)</f>
        <v>38.9968919951609</v>
      </c>
    </row>
    <row r="69" customFormat="false" ht="15" hidden="false" customHeight="false" outlineLevel="0" collapsed="false">
      <c r="A69" s="5" t="n">
        <v>30</v>
      </c>
      <c r="B69" s="47" t="n">
        <f aca="false">20*10^(A69/100)</f>
        <v>39.9052462993776</v>
      </c>
      <c r="C69" s="37" t="n">
        <f aca="false">2*PI()*B69</f>
        <v>250.732057227632</v>
      </c>
      <c r="D69" s="37" t="n">
        <f aca="false">SQRT(L_Rp0^2+L_Rp1^2*C69)</f>
        <v>76950425.0312385</v>
      </c>
      <c r="E69" s="5" t="str">
        <f aca="false">COMPLEX(D69,C69*L_Mp)</f>
        <v>76950425.0312385+3703994.26753197i</v>
      </c>
      <c r="F69" s="5" t="str">
        <f aca="false">IMDIV(1,E69)</f>
        <v>1.29653396369415e-08-6.24084190208706e-10i</v>
      </c>
      <c r="G69" s="5" t="str">
        <f aca="false">COMPLEX(0,C69*L_Cf)</f>
        <v>2.65128536774486e-13i</v>
      </c>
      <c r="H69" s="5" t="str">
        <f aca="false">COMPLEX(0,C69*L_Cbv)</f>
        <v>2.65128536774486e-12i</v>
      </c>
      <c r="I69" s="5" t="str">
        <f aca="false">COMPLEX(L_Rsq+L_Rh,C69*(L_Md+L_Mh)-1/(C69*L_Cd))</f>
        <v>552400610.124532-4594458562291.75i</v>
      </c>
      <c r="J69" s="5" t="str">
        <f aca="false">IMDIV(1,I69)</f>
        <v>2.61688998666872e-17+2.17653499751117e-13i</v>
      </c>
      <c r="K69" s="5" t="str">
        <f aca="false">IMSUM(F69,G69,H69)</f>
        <v>1.29653396369415e-08-6.21167776304187e-10i</v>
      </c>
      <c r="L69" s="5" t="str">
        <f aca="false">IMSUM(IMPRODUCT(IMSUM(F69,G69),H69),IMPRODUCT(IMSUM(J69,L_Yv),K69))</f>
        <v>2.77201402533341e-20+3.5954415006822e-20i</v>
      </c>
      <c r="M69" s="37" t="n">
        <f aca="false">IMABS(IMDIV(IMPRODUCT(J69,F69,H69),L69))^2</f>
        <v>2.72215324734531E-026</v>
      </c>
      <c r="N69" s="5" t="str">
        <f aca="false">IMDIV(IMPRODUCT(L_Yv,K69,E69),H69)</f>
        <v>0.000169290935068809-0.754342938549987i</v>
      </c>
      <c r="O69" s="37" t="n">
        <f aca="false">IMABS(IMSUM(1,IMPRODUCT(E69,G69),N69))^2</f>
        <v>1.56933913564781</v>
      </c>
      <c r="P69" s="37" t="n">
        <f aca="false">IMABS(N69)^2</f>
        <v>0.56903329759965</v>
      </c>
      <c r="Q69" s="37" t="n">
        <f aca="false">p_Rb^2/(1+(C69*p_Rb*L_Ctot)^2)</f>
        <v>2.62211423363952E+018</v>
      </c>
      <c r="R69" s="37" t="n">
        <f aca="false">M69*L_Kt^2*Q69</f>
        <v>1.43252300099566E-005</v>
      </c>
      <c r="S69" s="37" t="n">
        <f aca="false">L_kT4*D69</f>
        <v>1.26703645540215E-012</v>
      </c>
      <c r="T69" s="37" t="n">
        <f aca="false">L_kT4*L_Rsq*O69</f>
        <v>8.10640778323273E-012</v>
      </c>
      <c r="U69" s="37" t="n">
        <f aca="false">L_kT4*L_Rh*O69</f>
        <v>6.16770232268106E-012</v>
      </c>
      <c r="V69" s="37" t="n">
        <f aca="false">L_kT4*p_Rv*P69</f>
        <v>4.68474301541395E-009</v>
      </c>
      <c r="W69" s="37" t="n">
        <f aca="false">L_kT4/p_Rb*Q69/R69</f>
        <v>3.01389481840896E-009</v>
      </c>
      <c r="X69" s="37" t="n">
        <f aca="false">p_en^2*(1+p_fc/B69)/R69</f>
        <v>1.56632678571147E-011</v>
      </c>
      <c r="Y69" s="37" t="n">
        <f aca="false">p_in^2*Q69/R69</f>
        <v>4.57604211558393E-010</v>
      </c>
      <c r="Z69" s="37" t="n">
        <f aca="false">p_eo^2/L_G^2/R69</f>
        <v>4.42545967180856E-012</v>
      </c>
      <c r="AA69" s="37" t="n">
        <f aca="false">SUM(S69:Z69)</f>
        <v>8.19187191947153E-009</v>
      </c>
      <c r="AB69" s="47" t="n">
        <f aca="false">10*LOG10(AA69/L_PREF^2)</f>
        <v>13.1132316213026</v>
      </c>
      <c r="AC69" s="47" t="n">
        <f aca="false">10*LOG10(S69/L_PREF^2)</f>
        <v>-24.9927088066534</v>
      </c>
      <c r="AD69" s="47" t="n">
        <f aca="false">10*LOG10(T69/L_PREF^2)</f>
        <v>-16.9323154470376</v>
      </c>
      <c r="AE69" s="47" t="n">
        <f aca="false">10*LOG10(U69/L_PREF^2)</f>
        <v>-18.1193658652124</v>
      </c>
      <c r="AF69" s="47" t="n">
        <f aca="false">10*LOG10(V69/L_PREF^2)</f>
        <v>10.6862578104658</v>
      </c>
      <c r="AG69" s="47" t="n">
        <f aca="false">10*LOG10(W69/L_PREF^2)</f>
        <v>8.77068100518711</v>
      </c>
      <c r="AH69" s="47" t="n">
        <f aca="false">10*LOG10(X69/L_PREF^2)</f>
        <v>-14.0717761647604</v>
      </c>
      <c r="AI69" s="47" t="n">
        <f aca="false">10*LOG10(Y69/L_PREF^2)</f>
        <v>0.584300215027949</v>
      </c>
      <c r="AJ69" s="47" t="n">
        <f aca="false">10*LOG10(Z69/L_PREF^2)</f>
        <v>-19.561016038508</v>
      </c>
      <c r="AK69" s="47" t="n">
        <f aca="false">10*LOG10(R69/$R$6)</f>
        <v>-1.72669300791796</v>
      </c>
      <c r="AL69" s="37" t="n">
        <f aca="false">(12194^2*B69^4/((B69^2+20.6^2)*SQRT((B69^2+107.7^2)*(B69^2+737.9^2))*(B69^2+12194^2))*1.2589254)^2</f>
        <v>0.00034781249726076</v>
      </c>
      <c r="AM69" s="37" t="n">
        <f aca="false">0.5*(B69-B68)*(S69*AL69+S68*AL68)</f>
        <v>3.80110740364394E-016</v>
      </c>
      <c r="AN69" s="37" t="n">
        <f aca="false">0.5*(B69-B68)*(T69*AL69+T68*AL68)</f>
        <v>2.45170102330265E-015</v>
      </c>
      <c r="AO69" s="37" t="n">
        <f aca="false">0.5*(B69-B68)*(U69*AL69+U68*AL68)</f>
        <v>1.8653591702135E-015</v>
      </c>
      <c r="AP69" s="37" t="n">
        <f aca="false">0.5*(B69-B68)*(V69*AL69+V68*AL68)</f>
        <v>1.43684334979088E-012</v>
      </c>
      <c r="AQ69" s="37" t="n">
        <f aca="false">0.5*(B69-B68)*(W69*AL69+W68*AL68)</f>
        <v>9.31290345197293E-013</v>
      </c>
      <c r="AR69" s="37" t="n">
        <f aca="false">0.5*(B69-B68)*(X69*AL69+X68*AL68)</f>
        <v>4.77107576631118E-015</v>
      </c>
      <c r="AS69" s="37" t="n">
        <f aca="false">0.5*(B69-B68)*(Y69*AL69+Y68*AL68)</f>
        <v>1.41399222541855E-013</v>
      </c>
      <c r="AT69" s="37" t="n">
        <f aca="false">0.5*(B69-B68)*(Z69*AL69+Z68*AL68)</f>
        <v>1.33738046611576E-015</v>
      </c>
      <c r="AU69" s="37" t="n">
        <f aca="false">0.5*(B69-B68)*(AA69*AL69+AA68*AL68)</f>
        <v>2.52033854469634E-012</v>
      </c>
      <c r="AV69" s="37" t="n">
        <f aca="false">0.5*(B69-B68)*(S69+S68)</f>
        <v>1.1508667464001E-012</v>
      </c>
      <c r="AW69" s="37" t="n">
        <f aca="false">0.5*(B69-B68)*(T69+T68)</f>
        <v>7.42640754740045E-012</v>
      </c>
      <c r="AX69" s="37" t="n">
        <f aca="false">0.5*(B69-B68)*(U69+U68)</f>
        <v>5.65032901182426E-012</v>
      </c>
      <c r="AY69" s="37" t="n">
        <f aca="false">0.5*(B69-B68)*(V69+V68)</f>
        <v>4.35568420802044E-009</v>
      </c>
      <c r="AZ69" s="37" t="n">
        <f aca="false">0.5*(B69-B68)*(W69+W68)</f>
        <v>2.82428450129352E-009</v>
      </c>
      <c r="BA69" s="37" t="n">
        <f aca="false">0.5*(B69-B68)*(X69+X68)</f>
        <v>1.44576914281974E-011</v>
      </c>
      <c r="BB69" s="37" t="n">
        <f aca="false">0.5*(B69-B68)*(Y69+Y68)</f>
        <v>4.28815390151298E-010</v>
      </c>
      <c r="BC69" s="37" t="n">
        <f aca="false">0.5*(B69-B68)*(Z69+Z68)</f>
        <v>4.05085971580757E-012</v>
      </c>
      <c r="BD69" s="37" t="n">
        <f aca="false">0.5*(B69-B68)*(AA69+AA68)</f>
        <v>7.64152025391489E-009</v>
      </c>
      <c r="BE69" s="37" t="n">
        <f aca="false">IF(B69&gt;2000,AK69,-999)</f>
        <v>-999</v>
      </c>
      <c r="BF69" s="37" t="n">
        <f aca="false">IF(AND(B69&lt;1000,AK69&gt;=-3),B69,1000000000)</f>
        <v>39.9052462993776</v>
      </c>
    </row>
    <row r="70" customFormat="false" ht="15" hidden="false" customHeight="false" outlineLevel="0" collapsed="false">
      <c r="A70" s="5" t="n">
        <v>31</v>
      </c>
      <c r="B70" s="47" t="n">
        <f aca="false">20*10^(A70/100)</f>
        <v>40.8347588933906</v>
      </c>
      <c r="C70" s="37" t="n">
        <f aca="false">2*PI()*B70</f>
        <v>256.572357101173</v>
      </c>
      <c r="D70" s="37" t="n">
        <f aca="false">SQRT(L_Rp0^2+L_Rp1^2*C70)</f>
        <v>76957440.120542</v>
      </c>
      <c r="E70" s="5" t="str">
        <f aca="false">COMPLEX(D70,C70*L_Mp)</f>
        <v>76957440.120542+3790271.37741355i</v>
      </c>
      <c r="F70" s="5" t="str">
        <f aca="false">IMDIV(1,E70)</f>
        <v>1.29627513005869e-08-6.38435285141847e-10i</v>
      </c>
      <c r="G70" s="5" t="str">
        <f aca="false">COMPLEX(0,C70*L_Cf)</f>
        <v>2.71304173734982e-13i</v>
      </c>
      <c r="H70" s="5" t="str">
        <f aca="false">COMPLEX(0,C70*L_Cbv)</f>
        <v>2.71304173734982e-12i</v>
      </c>
      <c r="I70" s="5" t="str">
        <f aca="false">COMPLEX(L_Rsq+L_Rh,C70*(L_Md+L_Mh)-1/(C70*L_Cd))</f>
        <v>552400610.124532-4489875873699.15i</v>
      </c>
      <c r="J70" s="5" t="str">
        <f aca="false">IMDIV(1,I70)</f>
        <v>2.74022026339356e-17+2.22723303047378e-13i</v>
      </c>
      <c r="K70" s="5" t="str">
        <f aca="false">IMSUM(F70,G70,H70)</f>
        <v>1.29627513005869e-08-6.35450939230762e-10i</v>
      </c>
      <c r="L70" s="5" t="str">
        <f aca="false">IMSUM(IMPRODUCT(IMSUM(F70,G70),H70),IMPRODUCT(IMSUM(J70,L_Yv),K70))</f>
        <v>2.77987530568614e-20+3.67846728044094e-20i</v>
      </c>
      <c r="M70" s="37" t="n">
        <f aca="false">IMABS(IMDIV(IMPRODUCT(J70,F70,H70),L70))^2</f>
        <v>2.89302060238053E-026</v>
      </c>
      <c r="N70" s="5" t="str">
        <f aca="false">IMDIV(IMPRODUCT(L_Yv,K70,E70),H70)</f>
        <v>0.00016930636826516-0.737171621617534i</v>
      </c>
      <c r="O70" s="37" t="n">
        <f aca="false">IMABS(IMSUM(1,IMPRODUCT(E70,G70),N70))^2</f>
        <v>1.54372780194745</v>
      </c>
      <c r="P70" s="37" t="n">
        <f aca="false">IMABS(N70)^2</f>
        <v>0.543422028382871</v>
      </c>
      <c r="Q70" s="37" t="n">
        <f aca="false">p_Rb^2/(1+(C70*p_Rb*L_Ctot)^2)</f>
        <v>2.50409994834733E+018</v>
      </c>
      <c r="R70" s="37" t="n">
        <f aca="false">M70*L_Kt^2*Q70</f>
        <v>1.45392033506038E-005</v>
      </c>
      <c r="S70" s="37" t="n">
        <f aca="false">L_kT4*D70</f>
        <v>1.26715196319671E-012</v>
      </c>
      <c r="T70" s="37" t="n">
        <f aca="false">L_kT4*L_Rsq*O70</f>
        <v>7.97411265967939E-012</v>
      </c>
      <c r="U70" s="37" t="n">
        <f aca="false">L_kT4*L_Rh*O70</f>
        <v>6.06704652511471E-012</v>
      </c>
      <c r="V70" s="37" t="n">
        <f aca="false">L_kT4*p_Rv*P70</f>
        <v>4.4738903024263E-009</v>
      </c>
      <c r="W70" s="37" t="n">
        <f aca="false">L_kT4/p_Rb*Q70/R70</f>
        <v>2.83588839994373E-009</v>
      </c>
      <c r="X70" s="37" t="n">
        <f aca="false">p_en^2*(1+p_fc/B70)/R70</f>
        <v>1.5181658642166E-011</v>
      </c>
      <c r="Y70" s="37" t="n">
        <f aca="false">p_in^2*Q70/R70</f>
        <v>4.30577227644894E-010</v>
      </c>
      <c r="Z70" s="37" t="n">
        <f aca="false">p_eo^2/L_G^2/R70</f>
        <v>4.36033021684176E-012</v>
      </c>
      <c r="AA70" s="37" t="n">
        <f aca="false">SUM(S70:Z70)</f>
        <v>7.77520623002192E-009</v>
      </c>
      <c r="AB70" s="47" t="n">
        <f aca="false">10*LOG10(AA70/L_PREF^2)</f>
        <v>12.8865192577576</v>
      </c>
      <c r="AC70" s="47" t="n">
        <f aca="false">10*LOG10(S70/L_PREF^2)</f>
        <v>-24.9923129055637</v>
      </c>
      <c r="AD70" s="47" t="n">
        <f aca="false">10*LOG10(T70/L_PREF^2)</f>
        <v>-17.003776241687</v>
      </c>
      <c r="AE70" s="47" t="n">
        <f aca="false">10*LOG10(U70/L_PREF^2)</f>
        <v>-18.1908266598617</v>
      </c>
      <c r="AF70" s="47" t="n">
        <f aca="false">10*LOG10(V70/L_PREF^2)</f>
        <v>10.4862533987766</v>
      </c>
      <c r="AG70" s="47" t="n">
        <f aca="false">10*LOG10(W70/L_PREF^2)</f>
        <v>8.50629144829657</v>
      </c>
      <c r="AH70" s="47" t="n">
        <f aca="false">10*LOG10(X70/L_PREF^2)</f>
        <v>-14.2074076918951</v>
      </c>
      <c r="AI70" s="47" t="n">
        <f aca="false">10*LOG10(Y70/L_PREF^2)</f>
        <v>0.319910658137413</v>
      </c>
      <c r="AJ70" s="47" t="n">
        <f aca="false">10*LOG10(Z70/L_PREF^2)</f>
        <v>-19.6254061079294</v>
      </c>
      <c r="AK70" s="47" t="n">
        <f aca="false">10*LOG10(R70/$R$6)</f>
        <v>-1.66230293849658</v>
      </c>
      <c r="AL70" s="37" t="n">
        <f aca="false">(12194^2*B70^4/((B70^2+20.6^2)*SQRT((B70^2+107.7^2)*(B70^2+737.9^2))*(B70^2+12194^2))*1.2589254)^2</f>
        <v>0.000386443684087659</v>
      </c>
      <c r="AM70" s="37" t="n">
        <f aca="false">0.5*(B70-B69)*(S70*AL70+S69*AL69)</f>
        <v>4.32397168857559E-016</v>
      </c>
      <c r="AN70" s="37" t="n">
        <f aca="false">0.5*(B70-B69)*(T70*AL70+T69*AL69)</f>
        <v>2.74255266005525E-015</v>
      </c>
      <c r="AO70" s="37" t="n">
        <f aca="false">0.5*(B70-B69)*(U70*AL70+U69*AL69)</f>
        <v>2.08665155563545E-015</v>
      </c>
      <c r="AP70" s="37" t="n">
        <f aca="false">0.5*(B70-B69)*(V70*AL70+V69*AL69)</f>
        <v>1.56079981796966E-012</v>
      </c>
      <c r="AQ70" s="37" t="n">
        <f aca="false">0.5*(B70-B69)*(W70*AL70+W69*AL69)</f>
        <v>9.96521828120061E-013</v>
      </c>
      <c r="AR70" s="37" t="n">
        <f aca="false">0.5*(B70-B69)*(X70*AL70+X69*AL69)</f>
        <v>5.25859499313997E-015</v>
      </c>
      <c r="AS70" s="37" t="n">
        <f aca="false">0.5*(B70-B69)*(Y70*AL70+Y69*AL69)</f>
        <v>1.51303417316447E-013</v>
      </c>
      <c r="AT70" s="37" t="n">
        <f aca="false">0.5*(B70-B69)*(Z70*AL70+Z69*AL69)</f>
        <v>1.4984915376325E-015</v>
      </c>
      <c r="AU70" s="37" t="n">
        <f aca="false">0.5*(B70-B69)*(AA70*AL70+AA69*AL69)</f>
        <v>2.72064375132149E-012</v>
      </c>
      <c r="AV70" s="37" t="n">
        <f aca="false">0.5*(B70-B69)*(S70+S69)</f>
        <v>1.17778002534476E-012</v>
      </c>
      <c r="AW70" s="37" t="n">
        <f aca="false">0.5*(B70-B69)*(T70+T69)</f>
        <v>7.47352313498515E-012</v>
      </c>
      <c r="AX70" s="37" t="n">
        <f aca="false">0.5*(B70-B69)*(U70+U69)</f>
        <v>5.68617656930609E-012</v>
      </c>
      <c r="AY70" s="37" t="n">
        <f aca="false">0.5*(B70-B69)*(V70+V69)</f>
        <v>4.25653250643978E-009</v>
      </c>
      <c r="AZ70" s="37" t="n">
        <f aca="false">0.5*(B70-B69)*(W70+W69)</f>
        <v>2.71872358685235E-009</v>
      </c>
      <c r="BA70" s="37" t="n">
        <f aca="false">0.5*(B70-B69)*(X70+X69)</f>
        <v>1.43353738212433E-011</v>
      </c>
      <c r="BB70" s="37" t="n">
        <f aca="false">0.5*(B70-B69)*(Y70+Y69)</f>
        <v>4.12787916754023E-010</v>
      </c>
      <c r="BC70" s="37" t="n">
        <f aca="false">0.5*(B70-B69)*(Z70+Z69)</f>
        <v>4.08325117492626E-012</v>
      </c>
      <c r="BD70" s="37" t="n">
        <f aca="false">0.5*(B70-B69)*(AA70+AA69)</f>
        <v>7.42080011477196E-009</v>
      </c>
      <c r="BE70" s="37" t="n">
        <f aca="false">IF(B70&gt;2000,AK70,-999)</f>
        <v>-999</v>
      </c>
      <c r="BF70" s="37" t="n">
        <f aca="false">IF(AND(B70&lt;1000,AK70&gt;=-3),B70,1000000000)</f>
        <v>40.8347588933906</v>
      </c>
    </row>
    <row r="71" customFormat="false" ht="15" hidden="false" customHeight="false" outlineLevel="0" collapsed="false">
      <c r="A71" s="5" t="n">
        <v>32</v>
      </c>
      <c r="B71" s="47" t="n">
        <f aca="false">20*10^(A71/100)</f>
        <v>41.7859226170808</v>
      </c>
      <c r="C71" s="37" t="n">
        <f aca="false">2*PI()*B71</f>
        <v>262.548695034585</v>
      </c>
      <c r="D71" s="37" t="n">
        <f aca="false">SQRT(L_Rp0^2+L_Rp1^2*C71)</f>
        <v>76964617.9503487</v>
      </c>
      <c r="E71" s="5" t="str">
        <f aca="false">COMPLEX(D71,C71*L_Mp)</f>
        <v>76964617.9503487+3878558.13934961i</v>
      </c>
      <c r="F71" s="5" t="str">
        <f aca="false">IMDIV(1,E71)</f>
        <v>1.29600704867395e-08-6.53110327986244e-10i</v>
      </c>
      <c r="G71" s="5" t="str">
        <f aca="false">COMPLEX(0,C71*L_Cf)</f>
        <v>2.77623659759528e-13i</v>
      </c>
      <c r="H71" s="5" t="str">
        <f aca="false">COMPLEX(0,C71*L_Cbv)</f>
        <v>2.77623659759528e-12i</v>
      </c>
      <c r="I71" s="5" t="str">
        <f aca="false">COMPLEX(L_Rsq+L_Rh,C71*(L_Md+L_Mh)-1/(C71*L_Cd))</f>
        <v>552400610.124532-4387673776725.32i</v>
      </c>
      <c r="J71" s="5" t="str">
        <f aca="false">IMDIV(1,I71)</f>
        <v>2.8693629219351e-17+2.279111973762e-13i</v>
      </c>
      <c r="K71" s="5" t="str">
        <f aca="false">IMSUM(F71,G71,H71)</f>
        <v>1.29600704867395e-08-6.50056467728889e-10i</v>
      </c>
      <c r="L71" s="5" t="str">
        <f aca="false">IMSUM(IMPRODUCT(IMSUM(F71,G71),H71),IMPRODUCT(IMSUM(J71,L_Yv),K71))</f>
        <v>2.78810860387167e-20+3.76338355874764e-20i</v>
      </c>
      <c r="M71" s="37" t="n">
        <f aca="false">IMABS(IMDIV(IMPRODUCT(J71,F71,H71),L71))^2</f>
        <v>3.07320198480068E-026</v>
      </c>
      <c r="N71" s="5" t="str">
        <f aca="false">IMDIV(IMPRODUCT(L_Yv,K71,E71),H71)</f>
        <v>0.000169322159490734-0.720391162836492i</v>
      </c>
      <c r="O71" s="37" t="n">
        <f aca="false">IMABS(IMSUM(1,IMPRODUCT(E71,G71),N71))^2</f>
        <v>1.51926916153342</v>
      </c>
      <c r="P71" s="37" t="n">
        <f aca="false">IMABS(N71)^2</f>
        <v>0.518963456162907</v>
      </c>
      <c r="Q71" s="37" t="n">
        <f aca="false">p_Rb^2/(1+(C71*p_Rb*L_Ctot)^2)</f>
        <v>2.39139715484614E+018</v>
      </c>
      <c r="R71" s="37" t="n">
        <f aca="false">M71*L_Kt^2*Q71</f>
        <v>1.47495998511245E-005</v>
      </c>
      <c r="S71" s="37" t="n">
        <f aca="false">L_kT4*D71</f>
        <v>1.26727015061454E-012</v>
      </c>
      <c r="T71" s="37" t="n">
        <f aca="false">L_kT4*L_Rsq*O71</f>
        <v>7.84777176336466E-012</v>
      </c>
      <c r="U71" s="37" t="n">
        <f aca="false">L_kT4*L_Rh*O71</f>
        <v>5.97092095871257E-012</v>
      </c>
      <c r="V71" s="37" t="n">
        <f aca="false">L_kT4*p_Rv*P71</f>
        <v>4.27252752478602E-009</v>
      </c>
      <c r="W71" s="37" t="n">
        <f aca="false">L_kT4/p_Rb*Q71/R71</f>
        <v>2.66962067825857E-009</v>
      </c>
      <c r="X71" s="37" t="n">
        <f aca="false">p_en^2*(1+p_fc/B71)/R71</f>
        <v>1.47232217643306E-011</v>
      </c>
      <c r="Y71" s="37" t="n">
        <f aca="false">p_in^2*Q71/R71</f>
        <v>4.05332547829056E-010</v>
      </c>
      <c r="Z71" s="37" t="n">
        <f aca="false">p_eo^2/L_G^2/R71</f>
        <v>4.29813204007777E-012</v>
      </c>
      <c r="AA71" s="37" t="n">
        <f aca="false">SUM(S71:Z71)</f>
        <v>7.38158806755074E-009</v>
      </c>
      <c r="AB71" s="47" t="n">
        <f aca="false">10*LOG10(AA71/L_PREF^2)</f>
        <v>12.6608981423212</v>
      </c>
      <c r="AC71" s="47" t="n">
        <f aca="false">10*LOG10(S71/L_PREF^2)</f>
        <v>-24.991907857461</v>
      </c>
      <c r="AD71" s="47" t="n">
        <f aca="false">10*LOG10(T71/L_PREF^2)</f>
        <v>-17.0731362735269</v>
      </c>
      <c r="AE71" s="47" t="n">
        <f aca="false">10*LOG10(U71/L_PREF^2)</f>
        <v>-18.2601866917016</v>
      </c>
      <c r="AF71" s="47" t="n">
        <f aca="false">10*LOG10(V71/L_PREF^2)</f>
        <v>10.2862487791717</v>
      </c>
      <c r="AG71" s="47" t="n">
        <f aca="false">10*LOG10(W71/L_PREF^2)</f>
        <v>8.24389566275475</v>
      </c>
      <c r="AH71" s="47" t="n">
        <f aca="false">10*LOG10(X71/L_PREF^2)</f>
        <v>-14.3405713775499</v>
      </c>
      <c r="AI71" s="47" t="n">
        <f aca="false">10*LOG10(Y71/L_PREF^2)</f>
        <v>0.0575148725955904</v>
      </c>
      <c r="AJ71" s="47" t="n">
        <f aca="false">10*LOG10(Z71/L_PREF^2)</f>
        <v>-19.6878023829345</v>
      </c>
      <c r="AK71" s="47" t="n">
        <f aca="false">10*LOG10(R71/$R$6)</f>
        <v>-1.59990666349155</v>
      </c>
      <c r="AL71" s="37" t="n">
        <f aca="false">(12194^2*B71^4/((B71^2+20.6^2)*SQRT((B71^2+107.7^2)*(B71^2+737.9^2))*(B71^2+12194^2))*1.2589254)^2</f>
        <v>0.000428968416341015</v>
      </c>
      <c r="AM71" s="37" t="n">
        <f aca="false">0.5*(B71-B70)*(S71*AL71+S70*AL70)</f>
        <v>4.91419566565916E-016</v>
      </c>
      <c r="AN71" s="37" t="n">
        <f aca="false">0.5*(B71-B70)*(T71*AL71+T70*AL70)</f>
        <v>3.06654789721659E-015</v>
      </c>
      <c r="AO71" s="37" t="n">
        <f aca="false">0.5*(B71-B70)*(U71*AL71+U70*AL70)</f>
        <v>2.3331610121312E-015</v>
      </c>
      <c r="AP71" s="37" t="n">
        <f aca="false">0.5*(B71-B70)*(V71*AL71+V70*AL70)</f>
        <v>1.69387326715579E-012</v>
      </c>
      <c r="AQ71" s="37" t="n">
        <f aca="false">0.5*(B71-B70)*(W71*AL71+W70*AL70)</f>
        <v>1.06582371202888E-012</v>
      </c>
      <c r="AR71" s="37" t="n">
        <f aca="false">0.5*(B71-B70)*(X71*AL71+X70*AL70)</f>
        <v>5.79384890054392E-015</v>
      </c>
      <c r="AS71" s="37" t="n">
        <f aca="false">0.5*(B71-B70)*(Y71*AL71+Y70*AL70)</f>
        <v>1.61825627232965E-013</v>
      </c>
      <c r="AT71" s="37" t="n">
        <f aca="false">0.5*(B71-B70)*(Z71*AL71+Z70*AL70)</f>
        <v>1.67822612479565E-015</v>
      </c>
      <c r="AU71" s="37" t="n">
        <f aca="false">0.5*(B71-B70)*(AA71*AL71+AA70*AL70)</f>
        <v>2.93488580991888E-012</v>
      </c>
      <c r="AV71" s="37" t="n">
        <f aca="false">0.5*(B71-B70)*(S71+S70)</f>
        <v>1.20532518758776E-012</v>
      </c>
      <c r="AW71" s="37" t="n">
        <f aca="false">0.5*(B71-B70)*(T71+T70)</f>
        <v>7.52460125180934E-012</v>
      </c>
      <c r="AX71" s="37" t="n">
        <f aca="false">0.5*(B71-B70)*(U71+U70)</f>
        <v>5.7250389887894E-012</v>
      </c>
      <c r="AY71" s="37" t="n">
        <f aca="false">0.5*(B71-B70)*(V71+V70)</f>
        <v>4.15963767474084E-009</v>
      </c>
      <c r="AZ71" s="37" t="n">
        <f aca="false">0.5*(B71-B70)*(W71+W70)</f>
        <v>2.61832025781657E-009</v>
      </c>
      <c r="BA71" s="37" t="n">
        <f aca="false">0.5*(B71-B70)*(X71+X70)</f>
        <v>1.42222187019768E-011</v>
      </c>
      <c r="BB71" s="37" t="n">
        <f aca="false">0.5*(B71-B70)*(Y71+Y70)</f>
        <v>3.97543527354424E-010</v>
      </c>
      <c r="BC71" s="37" t="n">
        <f aca="false">0.5*(B71-B70)*(Z71+Z70)</f>
        <v>4.11780760086135E-012</v>
      </c>
      <c r="BD71" s="37" t="n">
        <f aca="false">0.5*(B71-B70)*(AA71+AA70)</f>
        <v>7.20829645164286E-009</v>
      </c>
      <c r="BE71" s="37" t="n">
        <f aca="false">IF(B71&gt;2000,AK71,-999)</f>
        <v>-999</v>
      </c>
      <c r="BF71" s="37" t="n">
        <f aca="false">IF(AND(B71&lt;1000,AK71&gt;=-3),B71,1000000000)</f>
        <v>41.7859226170808</v>
      </c>
    </row>
    <row r="72" customFormat="false" ht="15" hidden="false" customHeight="false" outlineLevel="0" collapsed="false">
      <c r="A72" s="5" t="n">
        <v>33</v>
      </c>
      <c r="B72" s="47" t="n">
        <f aca="false">20*10^(A72/100)</f>
        <v>42.7592417900446</v>
      </c>
      <c r="C72" s="37" t="n">
        <f aca="false">2*PI()*B72</f>
        <v>268.664239761348</v>
      </c>
      <c r="D72" s="37" t="n">
        <f aca="false">SQRT(L_Rp0^2+L_Rp1^2*C72)</f>
        <v>76971962.2803706</v>
      </c>
      <c r="E72" s="5" t="str">
        <f aca="false">COMPLEX(D72,C72*L_Mp)</f>
        <v>76971962.2803706+3968901.36414993i</v>
      </c>
      <c r="F72" s="5" t="str">
        <f aca="false">IMDIV(1,E72)</f>
        <v>1.29572935766026e-08-6.68116267642353e-10i</v>
      </c>
      <c r="G72" s="5" t="str">
        <f aca="false">COMPLEX(0,C72*L_Cf)</f>
        <v>2.84090345523261e-13i</v>
      </c>
      <c r="H72" s="5" t="str">
        <f aca="false">COMPLEX(0,C72*L_Cbv)</f>
        <v>2.84090345523261e-12i</v>
      </c>
      <c r="I72" s="5" t="str">
        <f aca="false">COMPLEX(L_Rsq+L_Rh,C72*(L_Md+L_Mh)-1/(C72*L_Cd))</f>
        <v>552400610.124532-4287798082465.64i</v>
      </c>
      <c r="J72" s="5" t="str">
        <f aca="false">IMDIV(1,I72)</f>
        <v>3.00459189188606e-17+2.33219933441357e-13i</v>
      </c>
      <c r="K72" s="5" t="str">
        <f aca="false">IMSUM(F72,G72,H72)</f>
        <v>1.29572935766026e-08-6.64991273841597e-10i</v>
      </c>
      <c r="L72" s="5" t="str">
        <f aca="false">IMSUM(IMPRODUCT(IMSUM(F72,G72),H72),IMPRODUCT(IMSUM(J72,L_Yv),K72))</f>
        <v>2.79673124276199e-20+3.85023167097919e-20i</v>
      </c>
      <c r="M72" s="37" t="n">
        <f aca="false">IMABS(IMDIV(IMPRODUCT(J72,F72,H72),L72))^2</f>
        <v>3.26313265151792E-026</v>
      </c>
      <c r="N72" s="5" t="str">
        <f aca="false">IMDIV(IMPRODUCT(L_Yv,K72,E72),H72)</f>
        <v>0.000169338317016822-0.703992664985486i</v>
      </c>
      <c r="O72" s="37" t="n">
        <f aca="false">IMABS(IMSUM(1,IMPRODUCT(E72,G72),N72))^2</f>
        <v>1.49591133430428</v>
      </c>
      <c r="P72" s="37" t="n">
        <f aca="false">IMABS(N72)^2</f>
        <v>0.495605701028832</v>
      </c>
      <c r="Q72" s="37" t="n">
        <f aca="false">p_Rb^2/(1+(C72*p_Rb*L_Ctot)^2)</f>
        <v>2.28376679891402E+018</v>
      </c>
      <c r="R72" s="37" t="n">
        <f aca="false">M72*L_Kt^2*Q72</f>
        <v>1.49562910840892E-005</v>
      </c>
      <c r="S72" s="37" t="n">
        <f aca="false">L_kT4*D72</f>
        <v>1.26739107956165E-012</v>
      </c>
      <c r="T72" s="37" t="n">
        <f aca="false">L_kT4*L_Rsq*O72</f>
        <v>7.72711710807143E-012</v>
      </c>
      <c r="U72" s="37" t="n">
        <f aca="false">L_kT4*L_Rh*O72</f>
        <v>5.87912172808004E-012</v>
      </c>
      <c r="V72" s="37" t="n">
        <f aca="false">L_kT4*p_Rv*P72</f>
        <v>4.08022756504431E-009</v>
      </c>
      <c r="W72" s="37" t="n">
        <f aca="false">L_kT4/p_Rb*Q72/R72</f>
        <v>2.51423538153521E-009</v>
      </c>
      <c r="X72" s="37" t="n">
        <f aca="false">p_en^2*(1+p_fc/B72)/R72</f>
        <v>1.42866466031284E-011</v>
      </c>
      <c r="Y72" s="37" t="n">
        <f aca="false">p_in^2*Q72/R72</f>
        <v>3.81740163064814E-010</v>
      </c>
      <c r="Z72" s="37" t="n">
        <f aca="false">p_eo^2/L_G^2/R72</f>
        <v>4.23873320878905E-012</v>
      </c>
      <c r="AA72" s="37" t="n">
        <f aca="false">SUM(S72:Z72)</f>
        <v>7.00960211937196E-009</v>
      </c>
      <c r="AB72" s="47" t="n">
        <f aca="false">10*LOG10(AA72/L_PREF^2)</f>
        <v>12.4363337581626</v>
      </c>
      <c r="AC72" s="47" t="n">
        <f aca="false">10*LOG10(S72/L_PREF^2)</f>
        <v>-24.9914934527757</v>
      </c>
      <c r="AD72" s="47" t="n">
        <f aca="false">10*LOG10(T72/L_PREF^2)</f>
        <v>-17.1404249709719</v>
      </c>
      <c r="AE72" s="47" t="n">
        <f aca="false">10*LOG10(U72/L_PREF^2)</f>
        <v>-18.3274753891467</v>
      </c>
      <c r="AF72" s="47" t="n">
        <f aca="false">10*LOG10(V72/L_PREF^2)</f>
        <v>10.0862439418519</v>
      </c>
      <c r="AG72" s="47" t="n">
        <f aca="false">10*LOG10(W72/L_PREF^2)</f>
        <v>7.98345942370668</v>
      </c>
      <c r="AH72" s="47" t="n">
        <f aca="false">10*LOG10(X72/L_PREF^2)</f>
        <v>-14.4712968924546</v>
      </c>
      <c r="AI72" s="47" t="n">
        <f aca="false">10*LOG10(Y72/L_PREF^2)</f>
        <v>-0.202921366452482</v>
      </c>
      <c r="AJ72" s="47" t="n">
        <f aca="false">10*LOG10(Z72/L_PREF^2)</f>
        <v>-19.7482390894163</v>
      </c>
      <c r="AK72" s="47" t="n">
        <f aca="false">10*LOG10(R72/$R$6)</f>
        <v>-1.53946995700969</v>
      </c>
      <c r="AL72" s="37" t="n">
        <f aca="false">(12194^2*B72^4/((B72^2+20.6^2)*SQRT((B72^2+107.7^2)*(B72^2+737.9^2))*(B72^2+12194^2))*1.2589254)^2</f>
        <v>0.00047573705013745</v>
      </c>
      <c r="AM72" s="37" t="n">
        <f aca="false">0.5*(B72-B71)*(S72*AL72+S71*AL71)</f>
        <v>5.57986246848051E-016</v>
      </c>
      <c r="AN72" s="37" t="n">
        <f aca="false">0.5*(B72-B71)*(T72*AL72+T71*AL71)</f>
        <v>3.42731090475142E-015</v>
      </c>
      <c r="AO72" s="37" t="n">
        <f aca="false">0.5*(B72-B71)*(U72*AL72+U71*AL71)</f>
        <v>2.60764496347056E-015</v>
      </c>
      <c r="AP72" s="37" t="n">
        <f aca="false">0.5*(B72-B71)*(V72*AL72+V71*AL71)</f>
        <v>1.83660207878642E-012</v>
      </c>
      <c r="AQ72" s="37" t="n">
        <f aca="false">0.5*(B72-B71)*(W72*AL72+W71*AL71)</f>
        <v>1.13941505730715E-012</v>
      </c>
      <c r="AR72" s="37" t="n">
        <f aca="false">0.5*(B72-B71)*(X72*AL72+X71*AL71)</f>
        <v>6.38131615556121E-015</v>
      </c>
      <c r="AS72" s="37" t="n">
        <f aca="false">0.5*(B72-B71)*(Y72*AL72+Y71*AL71)</f>
        <v>1.72999112560951E-013</v>
      </c>
      <c r="AT72" s="37" t="n">
        <f aca="false">0.5*(B72-B71)*(Z72*AL72+Z71*AL71)</f>
        <v>1.87864486119589E-015</v>
      </c>
      <c r="AU72" s="37" t="n">
        <f aca="false">0.5*(B72-B71)*(AA72*AL72+AA71*AL71)</f>
        <v>3.16386915178635E-012</v>
      </c>
      <c r="AV72" s="37" t="n">
        <f aca="false">0.5*(B72-B71)*(S72+S71)</f>
        <v>1.23351718614931E-012</v>
      </c>
      <c r="AW72" s="37" t="n">
        <f aca="false">0.5*(B72-B71)*(T72+T71)</f>
        <v>7.57966897767501E-012</v>
      </c>
      <c r="AX72" s="37" t="n">
        <f aca="false">0.5*(B72-B71)*(U72+U71)</f>
        <v>5.76693687374764E-012</v>
      </c>
      <c r="AY72" s="37" t="n">
        <f aca="false">0.5*(B72-B71)*(V72+V71)</f>
        <v>4.06494833800161E-009</v>
      </c>
      <c r="AZ72" s="37" t="n">
        <f aca="false">0.5*(B72-B71)*(W72+W71)</f>
        <v>2.52277324644105E-009</v>
      </c>
      <c r="BA72" s="37" t="n">
        <f aca="false">0.5*(B72-B71)*(X72+X71)</f>
        <v>1.41179305436027E-011</v>
      </c>
      <c r="BB72" s="37" t="n">
        <f aca="false">0.5*(B72-B71)*(Y72+Y71)</f>
        <v>3.83036480014818E-010</v>
      </c>
      <c r="BC72" s="37" t="n">
        <f aca="false">0.5*(B72-B71)*(Z72+Z71)</f>
        <v>4.15454731186543E-012</v>
      </c>
      <c r="BD72" s="37" t="n">
        <f aca="false">0.5*(B72-B71)*(AA72+AA71)</f>
        <v>7.00361066535052E-009</v>
      </c>
      <c r="BE72" s="37" t="n">
        <f aca="false">IF(B72&gt;2000,AK72,-999)</f>
        <v>-999</v>
      </c>
      <c r="BF72" s="37" t="n">
        <f aca="false">IF(AND(B72&lt;1000,AK72&gt;=-3),B72,1000000000)</f>
        <v>42.7592417900446</v>
      </c>
    </row>
    <row r="73" customFormat="false" ht="15" hidden="false" customHeight="false" outlineLevel="0" collapsed="false">
      <c r="A73" s="5" t="n">
        <v>34</v>
      </c>
      <c r="B73" s="47" t="n">
        <f aca="false">20*10^(A73/100)</f>
        <v>43.7552324789911</v>
      </c>
      <c r="C73" s="37" t="n">
        <f aca="false">2*PI()*B73</f>
        <v>274.922233824224</v>
      </c>
      <c r="D73" s="37" t="n">
        <f aca="false">SQRT(L_Rp0^2+L_Rp1^2*C73)</f>
        <v>76979476.9564473</v>
      </c>
      <c r="E73" s="5" t="str">
        <f aca="false">COMPLEX(D73,C73*L_Mp)</f>
        <v>76979476.9564473+4061348.95298815i</v>
      </c>
      <c r="F73" s="5" t="str">
        <f aca="false">IMDIV(1,E73)</f>
        <v>1.29544168022983e-08-6.83460179215724e-10i</v>
      </c>
      <c r="G73" s="5" t="str">
        <f aca="false">COMPLEX(0,C73*L_Cf)</f>
        <v>2.90707659748571e-13i</v>
      </c>
      <c r="H73" s="5" t="str">
        <f aca="false">COMPLEX(0,C73*L_Cbv)</f>
        <v>2.90707659748571e-12i</v>
      </c>
      <c r="I73" s="5" t="str">
        <f aca="false">COMPLEX(L_Rsq+L_Rh,C73*(L_Md+L_Mh)-1/(C73*L_Cd))</f>
        <v>552400610.124532-4190195835505i</v>
      </c>
      <c r="J73" s="5" t="str">
        <f aca="false">IMDIV(1,I73)</f>
        <v>3.14619401278917e-17+2.3865232601948e-13i</v>
      </c>
      <c r="K73" s="5" t="str">
        <f aca="false">IMSUM(F73,G73,H73)</f>
        <v>1.29544168022983e-08-6.8026239495849e-10i</v>
      </c>
      <c r="L73" s="5" t="str">
        <f aca="false">IMSUM(IMPRODUCT(IMSUM(F73,G73),H73),IMPRODUCT(IMSUM(J73,L_Yv),K73))</f>
        <v>2.805761336142e-20+3.93905374298397e-20i</v>
      </c>
      <c r="M73" s="37" t="n">
        <f aca="false">IMABS(IMDIV(IMPRODUCT(J73,F73,H73),L73))^2</f>
        <v>3.4632666882609E-026</v>
      </c>
      <c r="N73" s="5" t="str">
        <f aca="false">IMDIV(IMPRODUCT(L_Yv,K73,E73),H73)</f>
        <v>0.00016935484930426-0.687967433363906i</v>
      </c>
      <c r="O73" s="37" t="n">
        <f aca="false">IMABS(IMSUM(1,IMPRODUCT(E73,G73),N73))^2</f>
        <v>1.4736047751299</v>
      </c>
      <c r="P73" s="37" t="n">
        <f aca="false">IMABS(N73)^2</f>
        <v>0.473299218050386</v>
      </c>
      <c r="Q73" s="37" t="n">
        <f aca="false">p_Rb^2/(1+(C73*p_Rb*L_Ctot)^2)</f>
        <v>2.18098058534002E+018</v>
      </c>
      <c r="R73" s="37" t="n">
        <f aca="false">M73*L_Kt^2*Q73</f>
        <v>1.51591608190751E-005</v>
      </c>
      <c r="S73" s="37" t="n">
        <f aca="false">L_kT4*D73</f>
        <v>1.26751481336215E-012</v>
      </c>
      <c r="T73" s="37" t="n">
        <f aca="false">L_kT4*L_Rsq*O73</f>
        <v>7.61189276885702E-012</v>
      </c>
      <c r="U73" s="37" t="n">
        <f aca="false">L_kT4*L_Rh*O73</f>
        <v>5.79145411455681E-012</v>
      </c>
      <c r="V73" s="37" t="n">
        <f aca="false">L_kT4*p_Rv*P73</f>
        <v>3.89658252920451E-009</v>
      </c>
      <c r="W73" s="37" t="n">
        <f aca="false">L_kT4/p_Rb*Q73/R73</f>
        <v>2.36894363200455E-009</v>
      </c>
      <c r="X73" s="37" t="n">
        <f aca="false">p_en^2*(1+p_fc/B73)/R73</f>
        <v>1.38707032128174E-011</v>
      </c>
      <c r="Y73" s="37" t="n">
        <f aca="false">p_in^2*Q73/R73</f>
        <v>3.59680296846585E-010</v>
      </c>
      <c r="Z73" s="37" t="n">
        <f aca="false">p_eo^2/L_G^2/R73</f>
        <v>4.18200772820302E-012</v>
      </c>
      <c r="AA73" s="37" t="n">
        <f aca="false">SUM(S73:Z73)</f>
        <v>6.65793003069344E-009</v>
      </c>
      <c r="AB73" s="47" t="n">
        <f aca="false">10*LOG10(AA73/L_PREF^2)</f>
        <v>12.2127923544291</v>
      </c>
      <c r="AC73" s="47" t="n">
        <f aca="false">10*LOG10(S73/L_PREF^2)</f>
        <v>-24.9910694772192</v>
      </c>
      <c r="AD73" s="47" t="n">
        <f aca="false">10*LOG10(T73/L_PREF^2)</f>
        <v>-17.2056732971373</v>
      </c>
      <c r="AE73" s="47" t="n">
        <f aca="false">10*LOG10(U73/L_PREF^2)</f>
        <v>-18.392723715312</v>
      </c>
      <c r="AF73" s="47" t="n">
        <f aca="false">10*LOG10(V73/L_PREF^2)</f>
        <v>9.88623887655694</v>
      </c>
      <c r="AG73" s="47" t="n">
        <f aca="false">10*LOG10(W73/L_PREF^2)</f>
        <v>7.72494735667227</v>
      </c>
      <c r="AH73" s="47" t="n">
        <f aca="false">10*LOG10(X73/L_PREF^2)</f>
        <v>-14.5996151196308</v>
      </c>
      <c r="AI73" s="47" t="n">
        <f aca="false">10*LOG10(Y73/L_PREF^2)</f>
        <v>-0.461433433486892</v>
      </c>
      <c r="AJ73" s="47" t="n">
        <f aca="false">10*LOG10(Z73/L_PREF^2)</f>
        <v>-19.8067516028466</v>
      </c>
      <c r="AK73" s="47" t="n">
        <f aca="false">10*LOG10(R73/$R$6)</f>
        <v>-1.48095744357942</v>
      </c>
      <c r="AL73" s="37" t="n">
        <f aca="false">(12194^2*B73^4/((B73^2+20.6^2)*SQRT((B73^2+107.7^2)*(B73^2+737.9^2))*(B73^2+12194^2))*1.2589254)^2</f>
        <v>0.000527127358628088</v>
      </c>
      <c r="AM73" s="37" t="n">
        <f aca="false">0.5*(B73-B72)*(S73*AL73+S72*AL72)</f>
        <v>6.32995223739206E-016</v>
      </c>
      <c r="AN73" s="37" t="n">
        <f aca="false">0.5*(B73-B72)*(T73*AL73+T72*AL72)</f>
        <v>3.82884359449975E-015</v>
      </c>
      <c r="AO73" s="37" t="n">
        <f aca="false">0.5*(B73-B72)*(U73*AL73+U72*AL72)</f>
        <v>2.91314823562468E-015</v>
      </c>
      <c r="AP73" s="37" t="n">
        <f aca="false">0.5*(B73-B72)*(V73*AL73+V72*AL72)</f>
        <v>1.98954652028101E-012</v>
      </c>
      <c r="AQ73" s="37" t="n">
        <f aca="false">0.5*(B73-B72)*(W73*AL73+W72*AL72)</f>
        <v>1.21752387970927E-012</v>
      </c>
      <c r="AR73" s="37" t="n">
        <f aca="false">0.5*(B73-B72)*(X73*AL73+X72*AL72)</f>
        <v>7.02587481895603E-015</v>
      </c>
      <c r="AS73" s="37" t="n">
        <f aca="false">0.5*(B73-B72)*(Y73*AL73+Y72*AL72)</f>
        <v>1.84858493277477E-013</v>
      </c>
      <c r="AT73" s="37" t="n">
        <f aca="false">0.5*(B73-B72)*(Z73*AL73+Z72*AL72)</f>
        <v>2.10202496320476E-015</v>
      </c>
      <c r="AU73" s="37" t="n">
        <f aca="false">0.5*(B73-B72)*(AA73*AL73+AA72*AL72)</f>
        <v>3.40843178010378E-012</v>
      </c>
      <c r="AV73" s="37" t="n">
        <f aca="false">0.5*(B73-B72)*(S73+S72)</f>
        <v>1.26237133335374E-012</v>
      </c>
      <c r="AW73" s="37" t="n">
        <f aca="false">0.5*(B73-B72)*(T73+T72)</f>
        <v>7.63875550753885E-012</v>
      </c>
      <c r="AX73" s="37" t="n">
        <f aca="false">0.5*(B73-B72)*(U73+U72)</f>
        <v>5.81189243695458E-012</v>
      </c>
      <c r="AY73" s="37" t="n">
        <f aca="false">0.5*(B73-B72)*(V73+V72)</f>
        <v>3.97241429068276E-009</v>
      </c>
      <c r="AZ73" s="37" t="n">
        <f aca="false">0.5*(B73-B72)*(W73+W72)</f>
        <v>2.43180041497205E-009</v>
      </c>
      <c r="BA73" s="37" t="n">
        <f aca="false">0.5*(B73-B72)*(X73+X72)</f>
        <v>1.40222291210444E-011</v>
      </c>
      <c r="BB73" s="37" t="n">
        <f aca="false">0.5*(B73-B72)*(Y73+Y72)</f>
        <v>3.69223937333058E-010</v>
      </c>
      <c r="BC73" s="37" t="n">
        <f aca="false">0.5*(B73-B72)*(Z73+Z72)</f>
        <v>4.19348978363697E-012</v>
      </c>
      <c r="BD73" s="37" t="n">
        <f aca="false">0.5*(B73-B72)*(AA73+AA72)</f>
        <v>6.8063673811704E-009</v>
      </c>
      <c r="BE73" s="37" t="n">
        <f aca="false">IF(B73&gt;2000,AK73,-999)</f>
        <v>-999</v>
      </c>
      <c r="BF73" s="37" t="n">
        <f aca="false">IF(AND(B73&lt;1000,AK73&gt;=-3),B73,1000000000)</f>
        <v>43.7552324789911</v>
      </c>
    </row>
    <row r="74" customFormat="false" ht="15" hidden="false" customHeight="false" outlineLevel="0" collapsed="false">
      <c r="A74" s="5" t="n">
        <v>35</v>
      </c>
      <c r="B74" s="47" t="n">
        <f aca="false">20*10^(A74/100)</f>
        <v>44.7744227713668</v>
      </c>
      <c r="C74" s="37" t="n">
        <f aca="false">2*PI()*B74</f>
        <v>281.325995294499</v>
      </c>
      <c r="D74" s="37" t="n">
        <f aca="false">SQRT(L_Rp0^2+L_Rp1^2*C74)</f>
        <v>76987165.9124852</v>
      </c>
      <c r="E74" s="5" t="str">
        <f aca="false">COMPLEX(D74,C74*L_Mp)</f>
        <v>76987165.9124852+4155949.92279955i</v>
      </c>
      <c r="F74" s="5" t="str">
        <f aca="false">IMDIV(1,E74)</f>
        <v>1.29514362406909e-08-6.99149264772631e-10i</v>
      </c>
      <c r="G74" s="5" t="str">
        <f aca="false">COMPLEX(0,C74*L_Cf)</f>
        <v>2.97479111023051e-13i</v>
      </c>
      <c r="H74" s="5" t="str">
        <f aca="false">COMPLEX(0,C74*L_Cbv)</f>
        <v>2.97479111023051e-12i</v>
      </c>
      <c r="I74" s="5" t="str">
        <f aca="false">COMPLEX(L_Rsq+L_Rh,C74*(L_Md+L_Mh)-1/(C74*L_Cd))</f>
        <v>552400610.124532-4094815285840.14i</v>
      </c>
      <c r="J74" s="5" t="str">
        <f aca="false">IMDIV(1,I74)</f>
        <v>3.29446964256876e-17+2.44211255452554e-13i</v>
      </c>
      <c r="K74" s="5" t="str">
        <f aca="false">IMSUM(F74,G74,H74)</f>
        <v>1.29514362406909e-08-6.95876994551377e-10i</v>
      </c>
      <c r="L74" s="5" t="str">
        <f aca="false">IMSUM(IMPRODUCT(IMSUM(F74,G74),H74),IMPRODUCT(IMSUM(J74,L_Yv),K74))</f>
        <v>2.81521782363519e-20+4.02989269832183e-20i</v>
      </c>
      <c r="M74" s="37" t="n">
        <f aca="false">IMABS(IMDIV(IMPRODUCT(J74,F74,H74),L74))^2</f>
        <v>3.67407794917747E-026</v>
      </c>
      <c r="N74" s="5" t="str">
        <f aca="false">IMDIV(IMPRODUCT(L_Yv,K74,E74),H74)</f>
        <v>0.000169371765007521-0.672306971181814i</v>
      </c>
      <c r="O74" s="37" t="n">
        <f aca="false">IMABS(IMSUM(1,IMPRODUCT(E74,G74),N74))^2</f>
        <v>1.45230216875957</v>
      </c>
      <c r="P74" s="37" t="n">
        <f aca="false">IMABS(N74)^2</f>
        <v>0.451996692186459</v>
      </c>
      <c r="Q74" s="37" t="n">
        <f aca="false">p_Rb^2/(1+(C74*p_Rb*L_Ctot)^2)</f>
        <v>2.08282049370669E+018</v>
      </c>
      <c r="R74" s="37" t="n">
        <f aca="false">M74*L_Kt^2*Q74</f>
        <v>1.53581050324715E-005</v>
      </c>
      <c r="S74" s="37" t="n">
        <f aca="false">L_kT4*D74</f>
        <v>1.26764141679027E-012</v>
      </c>
      <c r="T74" s="37" t="n">
        <f aca="false">L_kT4*L_Rsq*O74</f>
        <v>7.50185433920154E-012</v>
      </c>
      <c r="U74" s="37" t="n">
        <f aca="false">L_kT4*L_Rh*O74</f>
        <v>5.70773216319211E-012</v>
      </c>
      <c r="V74" s="37" t="n">
        <f aca="false">L_kT4*p_Rv*P74</f>
        <v>3.72120288152365E-009</v>
      </c>
      <c r="W74" s="37" t="n">
        <f aca="false">L_kT4/p_Rb*Q74/R74</f>
        <v>2.23301837374623E-009</v>
      </c>
      <c r="X74" s="37" t="n">
        <f aca="false">p_en^2*(1+p_fc/B74)/R74</f>
        <v>1.34742371569135E-011</v>
      </c>
      <c r="Y74" s="37" t="n">
        <f aca="false">p_in^2*Q74/R74</f>
        <v>3.39042559173641E-010</v>
      </c>
      <c r="Z74" s="37" t="n">
        <f aca="false">p_eo^2/L_G^2/R74</f>
        <v>4.12783527423516E-012</v>
      </c>
      <c r="AA74" s="37" t="n">
        <f aca="false">SUM(S74:Z74)</f>
        <v>6.32534311479385E-009</v>
      </c>
      <c r="AB74" s="47" t="n">
        <f aca="false">10*LOG10(AA74/L_PREF^2)</f>
        <v>11.9902409722661</v>
      </c>
      <c r="AC74" s="47" t="n">
        <f aca="false">10*LOG10(S74/L_PREF^2)</f>
        <v>-24.9906357116815</v>
      </c>
      <c r="AD74" s="47" t="n">
        <f aca="false">10*LOG10(T74/L_PREF^2)</f>
        <v>-17.2689136397062</v>
      </c>
      <c r="AE74" s="47" t="n">
        <f aca="false">10*LOG10(U74/L_PREF^2)</f>
        <v>-18.4559640578809</v>
      </c>
      <c r="AF74" s="47" t="n">
        <f aca="false">10*LOG10(V74/L_PREF^2)</f>
        <v>9.68623357254241</v>
      </c>
      <c r="AG74" s="47" t="n">
        <f aca="false">10*LOG10(W74/L_PREF^2)</f>
        <v>7.46832305224788</v>
      </c>
      <c r="AH74" s="47" t="n">
        <f aca="false">10*LOG10(X74/L_PREF^2)</f>
        <v>-14.7255580432789</v>
      </c>
      <c r="AI74" s="47" t="n">
        <f aca="false">10*LOG10(Y74/L_PREF^2)</f>
        <v>-0.718057737911281</v>
      </c>
      <c r="AJ74" s="47" t="n">
        <f aca="false">10*LOG10(Z74/L_PREF^2)</f>
        <v>-19.8633763335757</v>
      </c>
      <c r="AK74" s="47" t="n">
        <f aca="false">10*LOG10(R74/$R$6)</f>
        <v>-1.42433271285027</v>
      </c>
      <c r="AL74" s="37" t="n">
        <f aca="false">(12194^2*B74^4/((B74^2+20.6^2)*SQRT((B74^2+107.7^2)*(B74^2+737.9^2))*(B74^2+12194^2))*1.2589254)^2</f>
        <v>0.000583546287376357</v>
      </c>
      <c r="AM74" s="37" t="n">
        <f aca="false">0.5*(B74-B73)*(S74*AL74+S73*AL73)</f>
        <v>7.17443299618109E-016</v>
      </c>
      <c r="AN74" s="37" t="n">
        <f aca="false">0.5*(B74-B73)*(T74*AL74+T73*AL73)</f>
        <v>4.27556247999976E-015</v>
      </c>
      <c r="AO74" s="37" t="n">
        <f aca="false">0.5*(B74-B73)*(U74*AL74+U73*AL73)</f>
        <v>3.25303110129828E-015</v>
      </c>
      <c r="AP74" s="37" t="n">
        <f aca="false">0.5*(B74-B73)*(V74*AL74+V73*AL73)</f>
        <v>2.15328887953089E-012</v>
      </c>
      <c r="AQ74" s="37" t="n">
        <f aca="false">0.5*(B74-B73)*(W74*AL74+W73*AL73)</f>
        <v>1.30038722855882E-012</v>
      </c>
      <c r="AR74" s="37" t="n">
        <f aca="false">0.5*(B74-B73)*(X74*AL74+X73*AL73)</f>
        <v>7.73283534836241E-015</v>
      </c>
      <c r="AS74" s="37" t="n">
        <f aca="false">0.5*(B74-B73)*(Y74*AL74+Y73*AL73)</f>
        <v>1.97439760940097E-013</v>
      </c>
      <c r="AT74" s="37" t="n">
        <f aca="false">0.5*(B74-B73)*(Z74*AL74+Z73*AL73)</f>
        <v>2.35088146949854E-015</v>
      </c>
      <c r="AU74" s="37" t="n">
        <f aca="false">0.5*(B74-B73)*(AA74*AL74+AA73*AL73)</f>
        <v>3.66944562272858E-012</v>
      </c>
      <c r="AV74" s="37" t="n">
        <f aca="false">0.5*(B74-B73)*(S74+S73)</f>
        <v>1.29190330971361E-012</v>
      </c>
      <c r="AW74" s="37" t="n">
        <f aca="false">0.5*(B74-B73)*(T74+T73)</f>
        <v>7.7018921669776E-012</v>
      </c>
      <c r="AX74" s="37" t="n">
        <f aca="false">0.5*(B74-B73)*(U74+U73)</f>
        <v>5.85992951225101E-012</v>
      </c>
      <c r="AY74" s="37" t="n">
        <f aca="false">0.5*(B74-B73)*(V74+V73)</f>
        <v>3.88198647000784E-009</v>
      </c>
      <c r="AZ74" s="37" t="n">
        <f aca="false">0.5*(B74-B73)*(W74+W73)</f>
        <v>2.34513750107159E-009</v>
      </c>
      <c r="BA74" s="37" t="n">
        <f aca="false">0.5*(B74-B73)*(X74+X73)</f>
        <v>1.39348488852116E-011</v>
      </c>
      <c r="BB74" s="37" t="n">
        <f aca="false">0.5*(B74-B73)*(Y74+Y73)</f>
        <v>3.56065775958433E-010</v>
      </c>
      <c r="BC74" s="37" t="n">
        <f aca="false">0.5*(B74-B73)*(Z74+Z73)</f>
        <v>4.23465565962574E-012</v>
      </c>
      <c r="BD74" s="37" t="n">
        <f aca="false">0.5*(B74-B73)*(AA74+AA73)</f>
        <v>6.61621297657164E-009</v>
      </c>
      <c r="BE74" s="37" t="n">
        <f aca="false">IF(B74&gt;2000,AK74,-999)</f>
        <v>-999</v>
      </c>
      <c r="BF74" s="37" t="n">
        <f aca="false">IF(AND(B74&lt;1000,AK74&gt;=-3),B74,1000000000)</f>
        <v>44.7744227713668</v>
      </c>
    </row>
    <row r="75" customFormat="false" ht="15" hidden="false" customHeight="false" outlineLevel="0" collapsed="false">
      <c r="A75" s="5" t="n">
        <v>36</v>
      </c>
      <c r="B75" s="47" t="n">
        <f aca="false">20*10^(A75/100)</f>
        <v>45.8173530553555</v>
      </c>
      <c r="C75" s="37" t="n">
        <f aca="false">2*PI()*B75</f>
        <v>287.878919531269</v>
      </c>
      <c r="D75" s="37" t="n">
        <f aca="false">SQRT(L_Rp0^2+L_Rp1^2*C75)</f>
        <v>76995033.172438</v>
      </c>
      <c r="E75" s="5" t="str">
        <f aca="false">COMPLEX(D75,C75*L_Mp)</f>
        <v>76995033.172438+4252754.43227052i</v>
      </c>
      <c r="F75" s="5" t="str">
        <f aca="false">IMDIV(1,E75)</f>
        <v>1.29483478069688e-08-7.15190853978082e-10i</v>
      </c>
      <c r="G75" s="5" t="str">
        <f aca="false">COMPLEX(0,C75*L_Cf)</f>
        <v>3.04408289659796e-13i</v>
      </c>
      <c r="H75" s="5" t="str">
        <f aca="false">COMPLEX(0,C75*L_Cbv)</f>
        <v>3.04408289659796e-12i</v>
      </c>
      <c r="I75" s="5" t="str">
        <f aca="false">COMPLEX(L_Rsq+L_Rh,C75*(L_Md+L_Mh)-1/(C75*L_Cd))</f>
        <v>552400610.124532-4001605861441.12i</v>
      </c>
      <c r="J75" s="5" t="str">
        <f aca="false">IMDIV(1,I75)</f>
        <v>3.44973329463739e-17+2.49899669175194e-13i</v>
      </c>
      <c r="K75" s="5" t="str">
        <f aca="false">IMSUM(F75,G75,H75)</f>
        <v>1.29483478069688e-08-7.11842362791824e-10i</v>
      </c>
      <c r="L75" s="5" t="str">
        <f aca="false">IMSUM(IMPRODUCT(IMSUM(F75,G75),H75),IMPRODUCT(IMSUM(J75,L_Yv),K75))</f>
        <v>2.82512050706994e-20+4.12279226494756e-20i</v>
      </c>
      <c r="M75" s="37" t="n">
        <f aca="false">IMABS(IMDIV(IMPRODUCT(J75,F75,H75),L75))^2</f>
        <v>3.89606104738783E-026</v>
      </c>
      <c r="N75" s="5" t="str">
        <f aca="false">IMDIV(IMPRODUCT(L_Yv,K75,E75),H75)</f>
        <v>0.000169389072979474-0.657002975054881i</v>
      </c>
      <c r="O75" s="37" t="n">
        <f aca="false">IMABS(IMSUM(1,IMPRODUCT(E75,G75),N75))^2</f>
        <v>1.43195832945993</v>
      </c>
      <c r="P75" s="37" t="n">
        <f aca="false">IMABS(N75)^2</f>
        <v>0.431652937923623</v>
      </c>
      <c r="Q75" s="37" t="n">
        <f aca="false">p_Rb^2/(1+(C75*p_Rb*L_Ctot)^2)</f>
        <v>1.9890783159643E+018</v>
      </c>
      <c r="R75" s="37" t="n">
        <f aca="false">M75*L_Kt^2*Q75</f>
        <v>1.55530318455837E-005</v>
      </c>
      <c r="S75" s="37" t="n">
        <f aca="false">L_kT4*D75</f>
        <v>1.26777095610289E-012</v>
      </c>
      <c r="T75" s="37" t="n">
        <f aca="false">L_kT4*L_Rsq*O75</f>
        <v>7.39676841258863E-012</v>
      </c>
      <c r="U75" s="37" t="n">
        <f aca="false">L_kT4*L_Rh*O75</f>
        <v>5.62777828830906E-012</v>
      </c>
      <c r="V75" s="37" t="n">
        <f aca="false">L_kT4*p_Rv*P75</f>
        <v>3.55371661825549E-009</v>
      </c>
      <c r="W75" s="37" t="n">
        <f aca="false">L_kT4/p_Rb*Q75/R75</f>
        <v>2.10578927468034E-009</v>
      </c>
      <c r="X75" s="37" t="n">
        <f aca="false">p_en^2*(1+p_fc/B75)/R75</f>
        <v>1.30961646796016E-011</v>
      </c>
      <c r="Y75" s="37" t="n">
        <f aca="false">p_in^2*Q75/R75</f>
        <v>3.19725172511798E-010</v>
      </c>
      <c r="Z75" s="37" t="n">
        <f aca="false">p_eo^2/L_G^2/R75</f>
        <v>4.07610093825184E-012</v>
      </c>
      <c r="AA75" s="37" t="n">
        <f aca="false">SUM(S75:Z75)</f>
        <v>6.01069564872249E-009</v>
      </c>
      <c r="AB75" s="47" t="n">
        <f aca="false">10*LOG10(AA75/L_PREF^2)</f>
        <v>11.7686474671772</v>
      </c>
      <c r="AC75" s="47" t="n">
        <f aca="false">10*LOG10(S75/L_PREF^2)</f>
        <v>-24.9901919321267</v>
      </c>
      <c r="AD75" s="47" t="n">
        <f aca="false">10*LOG10(T75/L_PREF^2)</f>
        <v>-17.3301796985592</v>
      </c>
      <c r="AE75" s="47" t="n">
        <f aca="false">10*LOG10(U75/L_PREF^2)</f>
        <v>-18.5172301167339</v>
      </c>
      <c r="AF75" s="47" t="n">
        <f aca="false">10*LOG10(V75/L_PREF^2)</f>
        <v>9.48622801855791</v>
      </c>
      <c r="AG75" s="47" t="n">
        <f aca="false">10*LOG10(W75/L_PREF^2)</f>
        <v>7.2135491805598</v>
      </c>
      <c r="AH75" s="47" t="n">
        <f aca="false">10*LOG10(X75/L_PREF^2)</f>
        <v>-14.8491586379147</v>
      </c>
      <c r="AI75" s="47" t="n">
        <f aca="false">10*LOG10(Y75/L_PREF^2)</f>
        <v>-0.972831609599359</v>
      </c>
      <c r="AJ75" s="47" t="n">
        <f aca="false">10*LOG10(Z75/L_PREF^2)</f>
        <v>-19.9181506123818</v>
      </c>
      <c r="AK75" s="47" t="n">
        <f aca="false">10*LOG10(R75/$R$6)</f>
        <v>-1.36955843404425</v>
      </c>
      <c r="AL75" s="37" t="n">
        <f aca="false">(12194^2*B75^4/((B75^2+20.6^2)*SQRT((B75^2+107.7^2)*(B75^2+737.9^2))*(B75^2+12194^2))*1.2589254)^2</f>
        <v>0.000645431783181216</v>
      </c>
      <c r="AM75" s="37" t="n">
        <f aca="false">0.5*(B75-B74)*(S75*AL75+S74*AL74)</f>
        <v>8.12435970248244E-016</v>
      </c>
      <c r="AN75" s="37" t="n">
        <f aca="false">0.5*(B75-B74)*(T75*AL75+T74*AL74)</f>
        <v>4.77233878059548E-015</v>
      </c>
      <c r="AO75" s="37" t="n">
        <f aca="false">0.5*(B75-B74)*(U75*AL75+U74*AL74)</f>
        <v>3.63099979285295E-015</v>
      </c>
      <c r="AP75" s="37" t="n">
        <f aca="false">0.5*(B75-B74)*(V75*AL75+V74*AL74)</f>
        <v>2.32843352211019E-012</v>
      </c>
      <c r="AQ75" s="37" t="n">
        <f aca="false">0.5*(B75-B74)*(W75*AL75+W74*AL74)</f>
        <v>1.38825123219556E-012</v>
      </c>
      <c r="AR75" s="37" t="n">
        <f aca="false">0.5*(B75-B74)*(X75*AL75+X74*AL74)</f>
        <v>8.50797599129779E-015</v>
      </c>
      <c r="AS75" s="37" t="n">
        <f aca="false">0.5*(B75-B74)*(Y75*AL75+Y74*AL74)</f>
        <v>2.10780285587131E-013</v>
      </c>
      <c r="AT75" s="37" t="n">
        <f aca="false">0.5*(B75-B74)*(Z75*AL75+Z74*AL74)</f>
        <v>2.62799035470178E-015</v>
      </c>
      <c r="AU75" s="37" t="n">
        <f aca="false">0.5*(B75-B74)*(AA75*AL75+AA74*AL74)</f>
        <v>3.94781678078257E-012</v>
      </c>
      <c r="AV75" s="37" t="n">
        <f aca="false">0.5*(B75-B74)*(S75+S74)</f>
        <v>1.32212917304493E-012</v>
      </c>
      <c r="AW75" s="37" t="n">
        <f aca="false">0.5*(B75-B74)*(T75+T74)</f>
        <v>7.76911242878233E-012</v>
      </c>
      <c r="AX75" s="37" t="n">
        <f aca="false">0.5*(B75-B74)*(U75+U74)</f>
        <v>5.91107356717035E-012</v>
      </c>
      <c r="AY75" s="37" t="n">
        <f aca="false">0.5*(B75-B74)*(V75+V74)</f>
        <v>3.7936169299497E-009</v>
      </c>
      <c r="AZ75" s="37" t="n">
        <f aca="false">0.5*(B75-B74)*(W75+W74)</f>
        <v>2.26253694647288E-009</v>
      </c>
      <c r="BA75" s="37" t="n">
        <f aca="false">0.5*(B75-B74)*(X75+X74)</f>
        <v>1.3855538366525E-011</v>
      </c>
      <c r="BB75" s="37" t="n">
        <f aca="false">0.5*(B75-B74)*(Y75+Y74)</f>
        <v>3.43524408744635E-010</v>
      </c>
      <c r="BC75" s="37" t="n">
        <f aca="false">0.5*(B75-B74)*(Z75+Z74)</f>
        <v>4.27806676195702E-012</v>
      </c>
      <c r="BD75" s="37" t="n">
        <f aca="false">0.5*(B75-B74)*(AA75+AA74)</f>
        <v>6.4328142054647E-009</v>
      </c>
      <c r="BE75" s="37" t="n">
        <f aca="false">IF(B75&gt;2000,AK75,-999)</f>
        <v>-999</v>
      </c>
      <c r="BF75" s="37" t="n">
        <f aca="false">IF(AND(B75&lt;1000,AK75&gt;=-3),B75,1000000000)</f>
        <v>45.8173530553555</v>
      </c>
    </row>
    <row r="76" customFormat="false" ht="15" hidden="false" customHeight="false" outlineLevel="0" collapsed="false">
      <c r="A76" s="5" t="n">
        <v>37</v>
      </c>
      <c r="B76" s="47" t="n">
        <f aca="false">20*10^(A76/100)</f>
        <v>46.8845763063984</v>
      </c>
      <c r="C76" s="37" t="n">
        <f aca="false">2*PI()*B76</f>
        <v>294.584480981703</v>
      </c>
      <c r="D76" s="37" t="n">
        <f aca="false">SQRT(L_Rp0^2+L_Rp1^2*C76)</f>
        <v>77003082.8523313</v>
      </c>
      <c r="E76" s="5" t="str">
        <f aca="false">COMPLEX(D76,C76*L_Mp)</f>
        <v>77003082.8523313+4351813.80843334i</v>
      </c>
      <c r="F76" s="5" t="str">
        <f aca="false">IMDIV(1,E76)</f>
        <v>1.29451472479756e-08-7.31592404605104e-10i</v>
      </c>
      <c r="G76" s="5" t="str">
        <f aca="false">COMPLEX(0,C76*L_Cf)</f>
        <v>3.11498869601039e-13i</v>
      </c>
      <c r="H76" s="5" t="str">
        <f aca="false">COMPLEX(0,C76*L_Cbv)</f>
        <v>3.11498869601039e-12i</v>
      </c>
      <c r="I76" s="5" t="str">
        <f aca="false">COMPLEX(L_Rsq+L_Rh,C76*(L_Md+L_Mh)-1/(C76*L_Cd))</f>
        <v>552400610.124532-3910518141437.36i</v>
      </c>
      <c r="J76" s="5" t="str">
        <f aca="false">IMDIV(1,I76)</f>
        <v>3.61231430502871e-17+2.55720583277486e-13i</v>
      </c>
      <c r="K76" s="5" t="str">
        <f aca="false">IMSUM(F76,G76,H76)</f>
        <v>1.29451472479756e-08-7.28165917039493e-10i</v>
      </c>
      <c r="L76" s="5" t="str">
        <f aca="false">IMSUM(IMPRODUCT(IMSUM(F76,G76),H76),IMPRODUCT(IMSUM(J76,L_Yv),K76))</f>
        <v>2.83549008833595e-20+4.21779698127787e-20i</v>
      </c>
      <c r="M76" s="37" t="n">
        <f aca="false">IMABS(IMDIV(IMPRODUCT(J76,F76,H76),L76))^2</f>
        <v>4.12973239818742E-026</v>
      </c>
      <c r="N76" s="5" t="str">
        <f aca="false">IMDIV(IMPRODUCT(L_Yv,K76,E76),H76)</f>
        <v>0.000169406782275086-0.64204733060178i</v>
      </c>
      <c r="O76" s="37" t="n">
        <f aca="false">IMABS(IMSUM(1,IMPRODUCT(E76,G76),N76))^2</f>
        <v>1.41253010516995</v>
      </c>
      <c r="P76" s="37" t="n">
        <f aca="false">IMABS(N76)^2</f>
        <v>0.41222480343153</v>
      </c>
      <c r="Q76" s="37" t="n">
        <f aca="false">p_Rb^2/(1+(C76*p_Rb*L_Ctot)^2)</f>
        <v>1.8995552148163E+018</v>
      </c>
      <c r="R76" s="37" t="n">
        <f aca="false">M76*L_Kt^2*Q76</f>
        <v>1.57438613952726E-005</v>
      </c>
      <c r="S76" s="37" t="n">
        <f aca="false">L_kT4*D76</f>
        <v>1.26790349907292E-012</v>
      </c>
      <c r="T76" s="37" t="n">
        <f aca="false">L_kT4*L_Rsq*O76</f>
        <v>7.29641208741891E-012</v>
      </c>
      <c r="U76" s="37" t="n">
        <f aca="false">L_kT4*L_Rh*O76</f>
        <v>5.55142289682169E-012</v>
      </c>
      <c r="V76" s="37" t="n">
        <f aca="false">L_kT4*p_Rv*P76</f>
        <v>3.39376847858021E-009</v>
      </c>
      <c r="W76" s="37" t="n">
        <f aca="false">L_kT4/p_Rb*Q76/R76</f>
        <v>1.98663806175192E-009</v>
      </c>
      <c r="X76" s="37" t="n">
        <f aca="false">p_en^2*(1+p_fc/B76)/R76</f>
        <v>1.27354681918576E-011</v>
      </c>
      <c r="Y76" s="37" t="n">
        <f aca="false">p_in^2*Q76/R76</f>
        <v>3.01634263527416E-010</v>
      </c>
      <c r="Z76" s="37" t="n">
        <f aca="false">p_eo^2/L_G^2/R76</f>
        <v>4.02669498332095E-012</v>
      </c>
      <c r="AA76" s="37" t="n">
        <f aca="false">SUM(S76:Z76)</f>
        <v>5.71291870551803E-009</v>
      </c>
      <c r="AB76" s="47" t="n">
        <f aca="false">10*LOG10(AA76/L_PREF^2)</f>
        <v>11.5479805279278</v>
      </c>
      <c r="AC76" s="47" t="n">
        <f aca="false">10*LOG10(S76/L_PREF^2)</f>
        <v>-24.9897379094864</v>
      </c>
      <c r="AD76" s="47" t="n">
        <f aca="false">10*LOG10(T76/L_PREF^2)</f>
        <v>-17.3895063719207</v>
      </c>
      <c r="AE76" s="47" t="n">
        <f aca="false">10*LOG10(U76/L_PREF^2)</f>
        <v>-18.5765567900954</v>
      </c>
      <c r="AF76" s="47" t="n">
        <f aca="false">10*LOG10(V76/L_PREF^2)</f>
        <v>9.28622220282255</v>
      </c>
      <c r="AG76" s="47" t="n">
        <f aca="false">10*LOG10(W76/L_PREF^2)</f>
        <v>6.96058760481504</v>
      </c>
      <c r="AH76" s="47" t="n">
        <f aca="false">10*LOG10(X76/L_PREF^2)</f>
        <v>-14.9704507584045</v>
      </c>
      <c r="AI76" s="47" t="n">
        <f aca="false">10*LOG10(Y76/L_PREF^2)</f>
        <v>-1.22579318534413</v>
      </c>
      <c r="AJ76" s="47" t="n">
        <f aca="false">10*LOG10(Z76/L_PREF^2)</f>
        <v>-19.9711125769212</v>
      </c>
      <c r="AK76" s="47" t="n">
        <f aca="false">10*LOG10(R76/$R$6)</f>
        <v>-1.31659646950484</v>
      </c>
      <c r="AL76" s="37" t="n">
        <f aca="false">(12194^2*B76^4/((B76^2+20.6^2)*SQRT((B76^2+107.7^2)*(B76^2+737.9^2))*(B76^2+12194^2))*1.2589254)^2</f>
        <v>0.000713254695189944</v>
      </c>
      <c r="AM76" s="37" t="n">
        <f aca="false">0.5*(B76-B75)*(S76*AL76+S75*AL75)</f>
        <v>9.19198208242019E-016</v>
      </c>
      <c r="AN76" s="37" t="n">
        <f aca="false">0.5*(B76-B75)*(T76*AL76+T75*AL75)</f>
        <v>5.32454200865843E-015</v>
      </c>
      <c r="AO76" s="37" t="n">
        <f aca="false">0.5*(B76-B75)*(U76*AL76+U75*AL75)</f>
        <v>4.05113966533266E-015</v>
      </c>
      <c r="AP76" s="37" t="n">
        <f aca="false">0.5*(B76-B75)*(V76*AL76+V75*AL75)</f>
        <v>2.51560686332586E-012</v>
      </c>
      <c r="AQ76" s="37" t="n">
        <f aca="false">0.5*(B76-B75)*(W76*AL76+W75*AL75)</f>
        <v>1.48137110740185E-012</v>
      </c>
      <c r="AR76" s="37" t="n">
        <f aca="false">0.5*(B76-B75)*(X76*AL76+X75*AL75)</f>
        <v>9.35758070184299E-015</v>
      </c>
      <c r="AS76" s="37" t="n">
        <f aca="false">0.5*(B76-B75)*(Y76*AL76+Y75*AL75)</f>
        <v>2.24918817168897E-013</v>
      </c>
      <c r="AT76" s="37" t="n">
        <f aca="false">0.5*(B76-B75)*(Z76*AL76+Z75*AL75)</f>
        <v>2.93641365522648E-015</v>
      </c>
      <c r="AU76" s="37" t="n">
        <f aca="false">0.5*(B76-B75)*(AA76*AL76+AA75*AL75)</f>
        <v>4.24448566213591E-012</v>
      </c>
      <c r="AV76" s="37" t="n">
        <f aca="false">0.5*(B76-B75)*(S76+S75)</f>
        <v>1.35306536781969E-012</v>
      </c>
      <c r="AW76" s="37" t="n">
        <f aca="false">0.5*(B76-B75)*(T76+T75)</f>
        <v>7.8404519306897E-012</v>
      </c>
      <c r="AX76" s="37" t="n">
        <f aca="false">0.5*(B76-B75)*(U76+U75)</f>
        <v>5.9653517164294E-012</v>
      </c>
      <c r="AY76" s="37" t="n">
        <f aca="false">0.5*(B76-B75)*(V76+V75)</f>
        <v>3.70725881580883E-009</v>
      </c>
      <c r="AZ76" s="37" t="n">
        <f aca="false">0.5*(B76-B75)*(W76+W75)</f>
        <v>2.1837668033222E-009</v>
      </c>
      <c r="BA76" s="37" t="n">
        <f aca="false">0.5*(B76-B75)*(X76+X75)</f>
        <v>1.37840596064138E-011</v>
      </c>
      <c r="BB76" s="37" t="n">
        <f aca="false">0.5*(B76-B75)*(Y76+Y75)</f>
        <v>3.31564618698002E-010</v>
      </c>
      <c r="BC76" s="37" t="n">
        <f aca="false">0.5*(B76-B75)*(Z76+Z75)</f>
        <v>4.32374610297936E-012</v>
      </c>
      <c r="BD76" s="37" t="n">
        <f aca="false">0.5*(B76-B75)*(AA76+AA75)</f>
        <v>6.25585691255337E-009</v>
      </c>
      <c r="BE76" s="37" t="n">
        <f aca="false">IF(B76&gt;2000,AK76,-999)</f>
        <v>-999</v>
      </c>
      <c r="BF76" s="37" t="n">
        <f aca="false">IF(AND(B76&lt;1000,AK76&gt;=-3),B76,1000000000)</f>
        <v>46.8845763063984</v>
      </c>
    </row>
    <row r="77" customFormat="false" ht="15" hidden="false" customHeight="false" outlineLevel="0" collapsed="false">
      <c r="A77" s="5" t="n">
        <v>38</v>
      </c>
      <c r="B77" s="47" t="n">
        <f aca="false">20*10^(A77/100)</f>
        <v>47.9766583803898</v>
      </c>
      <c r="C77" s="37" t="n">
        <f aca="false">2*PI()*B77</f>
        <v>301.44623502324</v>
      </c>
      <c r="D77" s="37" t="n">
        <f aca="false">SQRT(L_Rp0^2+L_Rp1^2*C77)</f>
        <v>77011319.1623295</v>
      </c>
      <c r="E77" s="5" t="str">
        <f aca="false">COMPLEX(D77,C77*L_Mp)</f>
        <v>77011319.1623295+4453180.57388046i</v>
      </c>
      <c r="F77" s="5" t="str">
        <f aca="false">IMDIV(1,E77)</f>
        <v>1.29418301352843e-08-7.48361502903585e-10i</v>
      </c>
      <c r="G77" s="5" t="str">
        <f aca="false">COMPLEX(0,C77*L_Cf)</f>
        <v>3.1875461036612e-13i</v>
      </c>
      <c r="H77" s="5" t="str">
        <f aca="false">COMPLEX(0,C77*L_Cbv)</f>
        <v>3.1875461036612e-12i</v>
      </c>
      <c r="I77" s="5" t="str">
        <f aca="false">COMPLEX(L_Rsq+L_Rh,C77*(L_Md+L_Mh)-1/(C77*L_Cd))</f>
        <v>552400610.124532-3821503829914.01i</v>
      </c>
      <c r="J77" s="5" t="str">
        <f aca="false">IMDIV(1,I77)</f>
        <v>3.78255753097204e-17+2.61677084104252e-13i</v>
      </c>
      <c r="K77" s="5" t="str">
        <f aca="false">IMSUM(F77,G77,H77)</f>
        <v>1.29418301352843e-08-7.44855202189558e-10i</v>
      </c>
      <c r="L77" s="5" t="str">
        <f aca="false">IMSUM(IMPRODUCT(IMSUM(F77,G77),H77),IMPRODUCT(IMSUM(J77,L_Yv),K77))</f>
        <v>2.8463482087822e-20+4.31495220157887e-20i</v>
      </c>
      <c r="M77" s="37" t="n">
        <f aca="false">IMABS(IMDIV(IMPRODUCT(J77,F77,H77),L77))^2</f>
        <v>4.37563131665285E-026</v>
      </c>
      <c r="N77" s="5" t="str">
        <f aca="false">IMDIV(IMPRODUCT(L_Yv,K77,E77),H77)</f>
        <v>0.000169424902157249-0.627432108141873i</v>
      </c>
      <c r="O77" s="37" t="n">
        <f aca="false">IMABS(IMSUM(1,IMPRODUCT(E77,G77),N77))^2</f>
        <v>1.39397628596973</v>
      </c>
      <c r="P77" s="37" t="n">
        <f aca="false">IMABS(N77)^2</f>
        <v>0.393671079032152</v>
      </c>
      <c r="Q77" s="37" t="n">
        <f aca="false">p_Rb^2/(1+(C77*p_Rb*L_Ctot)^2)</f>
        <v>1.81406130197941E+018</v>
      </c>
      <c r="R77" s="37" t="n">
        <f aca="false">M77*L_Kt^2*Q77</f>
        <v>1.59305256418329E-005</v>
      </c>
      <c r="S77" s="37" t="n">
        <f aca="false">L_kT4*D77</f>
        <v>1.26803911502334E-012</v>
      </c>
      <c r="T77" s="37" t="n">
        <f aca="false">L_kT4*L_Rsq*O77</f>
        <v>7.20057249420615E-012</v>
      </c>
      <c r="U77" s="37" t="n">
        <f aca="false">L_kT4*L_Rh*O77</f>
        <v>5.47850402850547E-012</v>
      </c>
      <c r="V77" s="37" t="n">
        <f aca="false">L_kT4*p_Rv*P77</f>
        <v>3.24101919104897E-009</v>
      </c>
      <c r="W77" s="37" t="n">
        <f aca="false">L_kT4/p_Rb*Q77/R77</f>
        <v>1.87499425188433E-009</v>
      </c>
      <c r="X77" s="37" t="n">
        <f aca="false">p_en^2*(1+p_fc/B77)/R77</f>
        <v>1.2391192051576E-011</v>
      </c>
      <c r="Y77" s="37" t="n">
        <f aca="false">p_in^2*Q77/R77</f>
        <v>2.84683214911591E-010</v>
      </c>
      <c r="Z77" s="37" t="n">
        <f aca="false">p_eo^2/L_G^2/R77</f>
        <v>3.97951261143387E-012</v>
      </c>
      <c r="AA77" s="37" t="n">
        <f aca="false">SUM(S77:Z77)</f>
        <v>5.43101447814564E-009</v>
      </c>
      <c r="AB77" s="47" t="n">
        <f aca="false">10*LOG10(AA77/L_PREF^2)</f>
        <v>11.3282096922021</v>
      </c>
      <c r="AC77" s="47" t="n">
        <f aca="false">10*LOG10(S77/L_PREF^2)</f>
        <v>-24.9892734095513</v>
      </c>
      <c r="AD77" s="47" t="n">
        <f aca="false">10*LOG10(T77/L_PREF^2)</f>
        <v>-17.446929641758</v>
      </c>
      <c r="AE77" s="47" t="n">
        <f aca="false">10*LOG10(U77/L_PREF^2)</f>
        <v>-18.6339800599327</v>
      </c>
      <c r="AF77" s="47" t="n">
        <f aca="false">10*LOG10(V77/L_PREF^2)</f>
        <v>9.0862161130005</v>
      </c>
      <c r="AG77" s="47" t="n">
        <f aca="false">10*LOG10(W77/L_PREF^2)</f>
        <v>6.70939949333779</v>
      </c>
      <c r="AH77" s="47" t="n">
        <f aca="false">10*LOG10(X77/L_PREF^2)</f>
        <v>-15.0894690315053</v>
      </c>
      <c r="AI77" s="47" t="n">
        <f aca="false">10*LOG10(Y77/L_PREF^2)</f>
        <v>-1.47698129682137</v>
      </c>
      <c r="AJ77" s="47" t="n">
        <f aca="false">10*LOG10(Z77/L_PREF^2)</f>
        <v>-20.0223010596944</v>
      </c>
      <c r="AK77" s="47" t="n">
        <f aca="false">10*LOG10(R77/$R$6)</f>
        <v>-1.26540798673156</v>
      </c>
      <c r="AL77" s="37" t="n">
        <f aca="false">(12194^2*B77^4/((B77^2+20.6^2)*SQRT((B77^2+107.7^2)*(B77^2+737.9^2))*(B77^2+12194^2))*1.2589254)^2</f>
        <v>0.000787520746598397</v>
      </c>
      <c r="AM77" s="37" t="n">
        <f aca="false">0.5*(B77-B76)*(S77*AL77+S76*AL76)</f>
        <v>1.03908618910537E-015</v>
      </c>
      <c r="AN77" s="37" t="n">
        <f aca="false">0.5*(B77-B76)*(T77*AL77+T76*AL76)</f>
        <v>5.93808729079436E-015</v>
      </c>
      <c r="AO77" s="37" t="n">
        <f aca="false">0.5*(B77-B76)*(U77*AL77+U76*AL76)</f>
        <v>4.51795120046501E-015</v>
      </c>
      <c r="AP77" s="37" t="n">
        <f aca="false">0.5*(B77-B76)*(V77*AL77+V76*AL76)</f>
        <v>2.71545724714258E-012</v>
      </c>
      <c r="AQ77" s="37" t="n">
        <f aca="false">0.5*(B77-B76)*(W77*AL77+W76*AL76)</f>
        <v>1.58001112952893E-012</v>
      </c>
      <c r="AR77" s="37" t="n">
        <f aca="false">0.5*(B77-B76)*(X77*AL77+X76*AL76)</f>
        <v>1.02884797184025E-014</v>
      </c>
      <c r="AS77" s="37" t="n">
        <f aca="false">0.5*(B77-B76)*(Y77*AL77+Y76*AL76)</f>
        <v>2.39895481011928E-013</v>
      </c>
      <c r="AT77" s="37" t="n">
        <f aca="false">0.5*(B77-B76)*(Z77*AL77+Z76*AL76)</f>
        <v>3.27952675232789E-015</v>
      </c>
      <c r="AU77" s="37" t="n">
        <f aca="false">0.5*(B77-B76)*(AA77*AL77+AA76*AL76)</f>
        <v>4.56042698883453E-012</v>
      </c>
      <c r="AV77" s="37" t="n">
        <f aca="false">0.5*(B77-B76)*(S77+S76)</f>
        <v>1.38472873476266E-012</v>
      </c>
      <c r="AW77" s="37" t="n">
        <f aca="false">0.5*(B77-B76)*(T77+T76)</f>
        <v>7.91594849426096E-012</v>
      </c>
      <c r="AX77" s="37" t="n">
        <f aca="false">0.5*(B77-B76)*(U77+U76)</f>
        <v>6.02279273629224E-012</v>
      </c>
      <c r="AY77" s="37" t="n">
        <f aca="false">0.5*(B77-B76)*(V77+V76)</f>
        <v>3.62286633937048E-009</v>
      </c>
      <c r="AZ77" s="37" t="n">
        <f aca="false">0.5*(B77-B76)*(W77+W76)</f>
        <v>2.10860971303397E-009</v>
      </c>
      <c r="BA77" s="37" t="n">
        <f aca="false">0.5*(B77-B76)*(X77+X76)</f>
        <v>1.37201876155627E-011</v>
      </c>
      <c r="BB77" s="37" t="n">
        <f aca="false">0.5*(B77-B76)*(Y77+Y76)</f>
        <v>3.20153403935529E-010</v>
      </c>
      <c r="BC77" s="37" t="n">
        <f aca="false">0.5*(B77-B76)*(Z77+Z76)</f>
        <v>4.37171789744263E-012</v>
      </c>
      <c r="BD77" s="37" t="n">
        <f aca="false">0.5*(B77-B76)*(AA77+AA76)</f>
        <v>6.0850448318183E-009</v>
      </c>
      <c r="BE77" s="37" t="n">
        <f aca="false">IF(B77&gt;2000,AK77,-999)</f>
        <v>-999</v>
      </c>
      <c r="BF77" s="37" t="n">
        <f aca="false">IF(AND(B77&lt;1000,AK77&gt;=-3),B77,1000000000)</f>
        <v>47.9766583803898</v>
      </c>
    </row>
    <row r="78" customFormat="false" ht="15" hidden="false" customHeight="false" outlineLevel="0" collapsed="false">
      <c r="A78" s="5" t="n">
        <v>39</v>
      </c>
      <c r="B78" s="47" t="n">
        <f aca="false">20*10^(A78/100)</f>
        <v>49.0941783137006</v>
      </c>
      <c r="C78" s="37" t="n">
        <f aca="false">2*PI()*B78</f>
        <v>308.467819848698</v>
      </c>
      <c r="D78" s="37" t="n">
        <f aca="false">SQRT(L_Rp0^2+L_Rp1^2*C78)</f>
        <v>77019746.4088488</v>
      </c>
      <c r="E78" s="5" t="str">
        <f aca="false">COMPLEX(D78,C78*L_Mp)</f>
        <v>77019746.4088487+4556908.47461266i</v>
      </c>
      <c r="F78" s="5" t="str">
        <f aca="false">IMDIV(1,E78)</f>
        <v>1.29383918580044e-08-7.6550586381606e-10i</v>
      </c>
      <c r="G78" s="5" t="str">
        <f aca="false">COMPLEX(0,C78*L_Cf)</f>
        <v>3.26179359044833e-13i</v>
      </c>
      <c r="H78" s="5" t="str">
        <f aca="false">COMPLEX(0,C78*L_Cbv)</f>
        <v>3.26179359044833e-12i</v>
      </c>
      <c r="I78" s="5" t="str">
        <f aca="false">COMPLEX(L_Rsq+L_Rh,C78*(L_Md+L_Mh)-1/(C78*L_Cd))</f>
        <v>552400610.124532-3734515730304.86i</v>
      </c>
      <c r="J78" s="5" t="str">
        <f aca="false">IMDIV(1,I78)</f>
        <v>3.96082408239008e-17+2.67772329891552e-13i</v>
      </c>
      <c r="K78" s="5" t="str">
        <f aca="false">IMSUM(F78,G78,H78)</f>
        <v>1.29383918580044e-08-7.61917890866567e-10i</v>
      </c>
      <c r="L78" s="5" t="str">
        <f aca="false">IMSUM(IMPRODUCT(IMSUM(F78,G78),H78),IMPRODUCT(IMSUM(J78,L_Yv),K78))</f>
        <v>2.85771749020759e-20+4.41430410060549e-20i</v>
      </c>
      <c r="M78" s="37" t="n">
        <f aca="false">IMABS(IMDIV(IMPRODUCT(J78,F78,H78),L78))^2</f>
        <v>4.63432117147431E-026</v>
      </c>
      <c r="N78" s="5" t="str">
        <f aca="false">IMDIV(IMPRODUCT(L_Yv,K78,E78),H78)</f>
        <v>0.000169443442099504-0.61314955849074i</v>
      </c>
      <c r="O78" s="37" t="n">
        <f aca="false">IMABS(IMSUM(1,IMPRODUCT(E78,G78),N78))^2</f>
        <v>1.37625751666846</v>
      </c>
      <c r="P78" s="37" t="n">
        <f aca="false">IMABS(N78)^2</f>
        <v>0.37595240978847</v>
      </c>
      <c r="Q78" s="37" t="n">
        <f aca="false">p_Rb^2/(1+(C78*p_Rb*L_Ctot)^2)</f>
        <v>1.73241523542386E+018</v>
      </c>
      <c r="R78" s="37" t="n">
        <f aca="false">M78*L_Kt^2*Q78</f>
        <v>1.61129681191875E-005</v>
      </c>
      <c r="S78" s="37" t="n">
        <f aca="false">L_kT4*D78</f>
        <v>1.26817787486195E-012</v>
      </c>
      <c r="T78" s="37" t="n">
        <f aca="false">L_kT4*L_Rsq*O78</f>
        <v>7.10904634405135E-012</v>
      </c>
      <c r="U78" s="37" t="n">
        <f aca="false">L_kT4*L_Rh*O78</f>
        <v>5.40886701245707E-012</v>
      </c>
      <c r="V78" s="37" t="n">
        <f aca="false">L_kT4*p_Rv*P78</f>
        <v>3.09514475394323E-009</v>
      </c>
      <c r="W78" s="37" t="n">
        <f aca="false">L_kT4/p_Rb*Q78/R78</f>
        <v>1.77033124453892E-009</v>
      </c>
      <c r="X78" s="37" t="n">
        <f aca="false">p_en^2*(1+p_fc/B78)/R78</f>
        <v>1.20624386183616E-011</v>
      </c>
      <c r="Y78" s="37" t="n">
        <f aca="false">p_in^2*Q78/R78</f>
        <v>2.68792072107572E-010</v>
      </c>
      <c r="Z78" s="37" t="n">
        <f aca="false">p_eo^2/L_G^2/R78</f>
        <v>3.93445374120441E-012</v>
      </c>
      <c r="AA78" s="37" t="n">
        <f aca="false">SUM(S78:Z78)</f>
        <v>5.16405105418065E-009</v>
      </c>
      <c r="AB78" s="47" t="n">
        <f aca="false">10*LOG10(AA78/L_PREF^2)</f>
        <v>11.1093053592237</v>
      </c>
      <c r="AC78" s="47" t="n">
        <f aca="false">10*LOG10(S78/L_PREF^2)</f>
        <v>-24.9887981928603</v>
      </c>
      <c r="AD78" s="47" t="n">
        <f aca="false">10*LOG10(T78/L_PREF^2)</f>
        <v>-17.5024864591388</v>
      </c>
      <c r="AE78" s="47" t="n">
        <f aca="false">10*LOG10(U78/L_PREF^2)</f>
        <v>-18.6895368773135</v>
      </c>
      <c r="AF78" s="47" t="n">
        <f aca="false">10*LOG10(V78/L_PREF^2)</f>
        <v>8.88620973617415</v>
      </c>
      <c r="AG78" s="47" t="n">
        <f aca="false">10*LOG10(W78/L_PREF^2)</f>
        <v>6.45994542952519</v>
      </c>
      <c r="AH78" s="47" t="n">
        <f aca="false">10*LOG10(X78/L_PREF^2)</f>
        <v>-15.2062487494707</v>
      </c>
      <c r="AI78" s="47" t="n">
        <f aca="false">10*LOG10(Y78/L_PREF^2)</f>
        <v>-1.72643536063397</v>
      </c>
      <c r="AJ78" s="47" t="n">
        <f aca="false">10*LOG10(Z78/L_PREF^2)</f>
        <v>-20.071755478092</v>
      </c>
      <c r="AK78" s="47" t="n">
        <f aca="false">10*LOG10(R78/$R$6)</f>
        <v>-1.21595356833397</v>
      </c>
      <c r="AL78" s="37" t="n">
        <f aca="false">(12194^2*B78^4/((B78^2+20.6^2)*SQRT((B78^2+107.7^2)*(B78^2+737.9^2))*(B78^2+12194^2))*1.2589254)^2</f>
        <v>0.00086877257465872</v>
      </c>
      <c r="AM78" s="37" t="n">
        <f aca="false">0.5*(B78-B77)*(S78*AL78+S77*AL77)</f>
        <v>1.17360002713877E-015</v>
      </c>
      <c r="AN78" s="37" t="n">
        <f aca="false">0.5*(B78-B77)*(T78*AL78+T77*AL77)</f>
        <v>6.61948668598659E-015</v>
      </c>
      <c r="AO78" s="37" t="n">
        <f aca="false">0.5*(B78-B77)*(U78*AL78+U77*AL77)</f>
        <v>5.03638905170331E-015</v>
      </c>
      <c r="AP78" s="37" t="n">
        <f aca="false">0.5*(B78-B77)*(V78*AL78+V77*AL77)</f>
        <v>2.92865472402793E-012</v>
      </c>
      <c r="AQ78" s="37" t="n">
        <f aca="false">0.5*(B78-B77)*(W78*AL78+W77*AL77)</f>
        <v>1.68444456006696E-012</v>
      </c>
      <c r="AR78" s="37" t="n">
        <f aca="false">0.5*(B78-B77)*(X78*AL78+X77*AL77)</f>
        <v>1.13080929433749E-014</v>
      </c>
      <c r="AS78" s="37" t="n">
        <f aca="false">0.5*(B78-B77)*(Y78*AL78+Y77*AL77)</f>
        <v>2.55751766821835E-013</v>
      </c>
      <c r="AT78" s="37" t="n">
        <f aca="false">0.5*(B78-B77)*(Z78*AL78+Z77*AL77)</f>
        <v>3.66104796436021E-015</v>
      </c>
      <c r="AU78" s="37" t="n">
        <f aca="false">0.5*(B78-B77)*(AA78*AL78+AA77*AL77)</f>
        <v>4.89664966758929E-012</v>
      </c>
      <c r="AV78" s="37" t="n">
        <f aca="false">0.5*(B78-B77)*(S78+S77)</f>
        <v>1.41713652069917E-012</v>
      </c>
      <c r="AW78" s="37" t="n">
        <f aca="false">0.5*(B78-B77)*(T78+T77)</f>
        <v>7.99564214491626E-012</v>
      </c>
      <c r="AX78" s="37" t="n">
        <f aca="false">0.5*(B78-B77)*(U78+U77)</f>
        <v>6.08342707981321E-012</v>
      </c>
      <c r="AY78" s="37" t="n">
        <f aca="false">0.5*(B78-B77)*(V78+V77)</f>
        <v>3.540394754627E-009</v>
      </c>
      <c r="AZ78" s="37" t="n">
        <f aca="false">0.5*(B78-B77)*(W78+W77)</f>
        <v>2.03686195282954E-009</v>
      </c>
      <c r="BA78" s="37" t="n">
        <f aca="false">0.5*(B78-B77)*(X78+X77)</f>
        <v>1.36637098577378E-011</v>
      </c>
      <c r="BB78" s="37" t="n">
        <f aca="false">0.5*(B78-B77)*(Y78+Y77)</f>
        <v>3.09259832919416E-010</v>
      </c>
      <c r="BC78" s="37" t="n">
        <f aca="false">0.5*(B78-B77)*(Z78+Z77)</f>
        <v>4.42200757531213E-012</v>
      </c>
      <c r="BD78" s="37" t="n">
        <f aca="false">0.5*(B78-B77)*(AA78+AA77)</f>
        <v>5.92009846355443E-009</v>
      </c>
      <c r="BE78" s="37" t="n">
        <f aca="false">IF(B78&gt;2000,AK78,-999)</f>
        <v>-999</v>
      </c>
      <c r="BF78" s="37" t="n">
        <f aca="false">IF(AND(B78&lt;1000,AK78&gt;=-3),B78,1000000000)</f>
        <v>49.0941783137006</v>
      </c>
    </row>
    <row r="79" customFormat="false" ht="15" hidden="false" customHeight="false" outlineLevel="0" collapsed="false">
      <c r="A79" s="5" t="n">
        <v>40</v>
      </c>
      <c r="B79" s="47" t="n">
        <f aca="false">20*10^(A79/100)</f>
        <v>50.2377286301916</v>
      </c>
      <c r="C79" s="37" t="n">
        <f aca="false">2*PI()*B79</f>
        <v>315.652958395295</v>
      </c>
      <c r="D79" s="37" t="n">
        <f aca="false">SQRT(L_Rp0^2+L_Rp1^2*C79)</f>
        <v>77028368.9967143</v>
      </c>
      <c r="E79" s="5" t="str">
        <f aca="false">COMPLEX(D79,C79*L_Mp)</f>
        <v>77028368.9967142+4663052.50853592i</v>
      </c>
      <c r="F79" s="5" t="str">
        <f aca="false">IMDIV(1,E79)</f>
        <v>1.29348276153165e-08-7.83033331027093e-10i</v>
      </c>
      <c r="G79" s="5" t="str">
        <f aca="false">COMPLEX(0,C79*L_Cf)</f>
        <v>3.33777052337205e-13i</v>
      </c>
      <c r="H79" s="5" t="str">
        <f aca="false">COMPLEX(0,C79*L_Cbv)</f>
        <v>3.33777052337205e-12i</v>
      </c>
      <c r="I79" s="5" t="str">
        <f aca="false">COMPLEX(L_Rsq+L_Rh,C79*(L_Md+L_Mh)-1/(C79*L_Cd))</f>
        <v>552400610.124532-3649507720368.09i</v>
      </c>
      <c r="J79" s="5" t="str">
        <f aca="false">IMDIV(1,I79)</f>
        <v>4.14749208787186e-17+2.74009552441327e-13i</v>
      </c>
      <c r="K79" s="5" t="str">
        <f aca="false">IMSUM(F79,G79,H79)</f>
        <v>1.29348276153165e-08-7.79361783451384e-10i</v>
      </c>
      <c r="L79" s="5" t="str">
        <f aca="false">IMSUM(IMPRODUCT(IMSUM(F79,G79),H79),IMPRODUCT(IMSUM(J79,L_Yv),K79))</f>
        <v>2.86962157749717e-20+4.51589967742097e-20i</v>
      </c>
      <c r="M79" s="37" t="n">
        <f aca="false">IMABS(IMDIV(IMPRODUCT(J79,F79,H79),L79))^2</f>
        <v>4.90639059692008E-026</v>
      </c>
      <c r="N79" s="5" t="str">
        <f aca="false">IMDIV(IMPRODUCT(L_Yv,K79,E79),H79)</f>
        <v>0.000169462411792833-0.59919210885152i</v>
      </c>
      <c r="O79" s="37" t="n">
        <f aca="false">IMABS(IMSUM(1,IMPRODUCT(E79,G79),N79))^2</f>
        <v>1.35933621332702</v>
      </c>
      <c r="P79" s="37" t="n">
        <f aca="false">IMABS(N79)^2</f>
        <v>0.359031212027441</v>
      </c>
      <c r="Q79" s="37" t="n">
        <f aca="false">p_Rb^2/(1+(C79*p_Rb*L_Ctot)^2)</f>
        <v>1.65444383473988E+018</v>
      </c>
      <c r="R79" s="37" t="n">
        <f aca="false">M79*L_Kt^2*Q79</f>
        <v>1.62911436327516E-005</v>
      </c>
      <c r="S79" s="37" t="n">
        <f aca="false">L_kT4*D79</f>
        <v>1.26831985111694E-012</v>
      </c>
      <c r="T79" s="37" t="n">
        <f aca="false">L_kT4*L_Rsq*O79</f>
        <v>7.02163949744081E-012</v>
      </c>
      <c r="U79" s="37" t="n">
        <f aca="false">L_kT4*L_Rh*O79</f>
        <v>5.34236413901748E-012</v>
      </c>
      <c r="V79" s="37" t="n">
        <f aca="false">L_kT4*p_Rv*P79</f>
        <v>2.95583574802423E-009</v>
      </c>
      <c r="W79" s="37" t="n">
        <f aca="false">L_kT4/p_Rb*Q79/R79</f>
        <v>1.6721627446945E-009</v>
      </c>
      <c r="X79" s="37" t="n">
        <f aca="false">p_en^2*(1+p_fc/B79)/R79</f>
        <v>1.17483645649248E-011</v>
      </c>
      <c r="Y79" s="37" t="n">
        <f aca="false">p_in^2*Q79/R79</f>
        <v>2.53887000206327E-010</v>
      </c>
      <c r="Z79" s="37" t="n">
        <f aca="false">p_eo^2/L_G^2/R79</f>
        <v>3.89142279557306E-012</v>
      </c>
      <c r="AA79" s="37" t="n">
        <f aca="false">SUM(S79:Z79)</f>
        <v>4.91115760377313E-009</v>
      </c>
      <c r="AB79" s="47" t="n">
        <f aca="false">10*LOG10(AA79/L_PREF^2)</f>
        <v>10.8912387995508</v>
      </c>
      <c r="AC79" s="47" t="n">
        <f aca="false">10*LOG10(S79/L_PREF^2)</f>
        <v>-24.9883120145875</v>
      </c>
      <c r="AD79" s="47" t="n">
        <f aca="false">10*LOG10(T79/L_PREF^2)</f>
        <v>-17.5562146302165</v>
      </c>
      <c r="AE79" s="47" t="n">
        <f aca="false">10*LOG10(U79/L_PREF^2)</f>
        <v>-18.7432650483912</v>
      </c>
      <c r="AF79" s="47" t="n">
        <f aca="false">10*LOG10(V79/L_PREF^2)</f>
        <v>8.68620305881753</v>
      </c>
      <c r="AG79" s="47" t="n">
        <f aca="false">10*LOG10(W79/L_PREF^2)</f>
        <v>6.21218551920498</v>
      </c>
      <c r="AH79" s="47" t="n">
        <f aca="false">10*LOG10(X79/L_PREF^2)</f>
        <v>-15.3208257662339</v>
      </c>
      <c r="AI79" s="47" t="n">
        <f aca="false">10*LOG10(Y79/L_PREF^2)</f>
        <v>-1.97419527095418</v>
      </c>
      <c r="AJ79" s="47" t="n">
        <f aca="false">10*LOG10(Z79/L_PREF^2)</f>
        <v>-20.1195157270383</v>
      </c>
      <c r="AK79" s="47" t="n">
        <f aca="false">10*LOG10(R79/$R$6)</f>
        <v>-1.1681933193877</v>
      </c>
      <c r="AL79" s="37" t="n">
        <f aca="false">(12194^2*B79^4/((B79^2+20.6^2)*SQRT((B79^2+107.7^2)*(B79^2+737.9^2))*(B79^2+12194^2))*1.2589254)^2</f>
        <v>0.000957591836109991</v>
      </c>
      <c r="AM79" s="37" t="n">
        <f aca="false">0.5*(B79-B78)*(S79*AL79+S78*AL78)</f>
        <v>1.32439759158742E-015</v>
      </c>
      <c r="AN79" s="37" t="n">
        <f aca="false">0.5*(B79-B78)*(T79*AL79+T78*AL78)</f>
        <v>7.37590477570914E-015</v>
      </c>
      <c r="AO79" s="37" t="n">
        <f aca="false">0.5*(B79-B78)*(U79*AL79+U78*AL78)</f>
        <v>5.61190433956603E-015</v>
      </c>
      <c r="AP79" s="37" t="n">
        <f aca="false">0.5*(B79-B78)*(V79*AL79+V78*AL78)</f>
        <v>3.15589071987625E-012</v>
      </c>
      <c r="AQ79" s="37" t="n">
        <f aca="false">0.5*(B79-B78)*(W79*AL79+W78*AL78)</f>
        <v>1.79495352846778E-012</v>
      </c>
      <c r="AR79" s="37" t="n">
        <f aca="false">0.5*(B79-B78)*(X79*AL79+X78*AL78)</f>
        <v>1.24244762687909E-014</v>
      </c>
      <c r="AS79" s="37" t="n">
        <f aca="false">0.5*(B79-B78)*(Y79*AL79+Y78*AL78)</f>
        <v>2.72530510740273E-013</v>
      </c>
      <c r="AT79" s="37" t="n">
        <f aca="false">0.5*(B79-B78)*(Z79*AL79+Z78*AL78)</f>
        <v>4.08507060717136E-015</v>
      </c>
      <c r="AU79" s="37" t="n">
        <f aca="false">0.5*(B79-B78)*(AA79*AL79+AA78*AL78)</f>
        <v>5.25419651266713E-012</v>
      </c>
      <c r="AV79" s="37" t="n">
        <f aca="false">0.5*(B79-B78)*(S79+S78)</f>
        <v>1.45030638866093E-012</v>
      </c>
      <c r="AW79" s="37" t="n">
        <f aca="false">0.5*(B79-B78)*(T79+T78)</f>
        <v>8.07957513313658E-012</v>
      </c>
      <c r="AX79" s="37" t="n">
        <f aca="false">0.5*(B79-B78)*(U79+U78)</f>
        <v>6.14728689296828E-012</v>
      </c>
      <c r="AY79" s="37" t="n">
        <f aca="false">0.5*(B79-B78)*(V79+V78)</f>
        <v>3.45980033405286E-009</v>
      </c>
      <c r="AZ79" s="37" t="n">
        <f aca="false">0.5*(B79-B78)*(W79+W78)</f>
        <v>1.96833254545311E-009</v>
      </c>
      <c r="BA79" s="37" t="n">
        <f aca="false">0.5*(B79-B78)*(X79+X78)</f>
        <v>1.3614425758076E-011</v>
      </c>
      <c r="BB79" s="37" t="n">
        <f aca="false">0.5*(B79-B78)*(Y79+Y78)</f>
        <v>2.9885490928389E-010</v>
      </c>
      <c r="BC79" s="37" t="n">
        <f aca="false">0.5*(B79-B78)*(Z79+Z78)</f>
        <v>4.47464179522566E-012</v>
      </c>
      <c r="BD79" s="37" t="n">
        <f aca="false">0.5*(B79-B78)*(AA79+AA78)</f>
        <v>5.76075402475793E-009</v>
      </c>
      <c r="BE79" s="37" t="n">
        <f aca="false">IF(B79&gt;2000,AK79,-999)</f>
        <v>-999</v>
      </c>
      <c r="BF79" s="37" t="n">
        <f aca="false">IF(AND(B79&lt;1000,AK79&gt;=-3),B79,1000000000)</f>
        <v>50.2377286301916</v>
      </c>
    </row>
    <row r="80" customFormat="false" ht="15" hidden="false" customHeight="false" outlineLevel="0" collapsed="false">
      <c r="A80" s="5" t="n">
        <v>41</v>
      </c>
      <c r="B80" s="47" t="n">
        <f aca="false">20*10^(A80/100)</f>
        <v>51.4079156553773</v>
      </c>
      <c r="C80" s="37" t="n">
        <f aca="false">2*PI()*B80</f>
        <v>323.005460318594</v>
      </c>
      <c r="D80" s="37" t="n">
        <f aca="false">SQRT(L_Rp0^2+L_Rp1^2*C80)</f>
        <v>77037191.4313647</v>
      </c>
      <c r="E80" s="5" t="str">
        <f aca="false">COMPLEX(D80,C80*L_Mp)</f>
        <v>77037191.4313647+4771668.954622i</v>
      </c>
      <c r="F80" s="5" t="str">
        <f aca="false">IMDIV(1,E80)</f>
        <v>1.29311324087237e-08-8.00951876831946e-10i</v>
      </c>
      <c r="G80" s="5" t="str">
        <f aca="false">COMPLEX(0,C80*L_Cf)</f>
        <v>3.41551718640789e-13i</v>
      </c>
      <c r="H80" s="5" t="str">
        <f aca="false">COMPLEX(0,C80*L_Cbv)</f>
        <v>3.41551718640789e-12i</v>
      </c>
      <c r="I80" s="5" t="str">
        <f aca="false">COMPLEX(L_Rsq+L_Rh,C80*(L_Md+L_Mh)-1/(C80*L_Cd))</f>
        <v>552400610.124532-3566434727731.59i</v>
      </c>
      <c r="J80" s="5" t="str">
        <f aca="false">IMDIV(1,I80)</f>
        <v>4.34295749674551e-17+2.80392058835049e-13i</v>
      </c>
      <c r="K80" s="5" t="str">
        <f aca="false">IMSUM(F80,G80,H80)</f>
        <v>1.29311324087237e-08-7.97194807926897e-10i</v>
      </c>
      <c r="L80" s="5" t="str">
        <f aca="false">IMSUM(IMPRODUCT(IMSUM(F80,G80),H80),IMPRODUCT(IMSUM(J80,L_Yv),K80))</f>
        <v>2.88208518295591e-20+4.61978675831771e-20i</v>
      </c>
      <c r="M80" s="37" t="n">
        <f aca="false">IMABS(IMDIV(IMPRODUCT(J80,F80,H80),L80))^2</f>
        <v>5.1924547649343E-026</v>
      </c>
      <c r="N80" s="5" t="str">
        <f aca="false">IMDIV(IMPRODUCT(L_Yv,K80,E80),H80)</f>
        <v>0.00016948182114892-0.585552358799652i</v>
      </c>
      <c r="O80" s="37" t="n">
        <f aca="false">IMABS(IMSUM(1,IMPRODUCT(E80,G80),N80))^2</f>
        <v>1.34317648353718</v>
      </c>
      <c r="P80" s="37" t="n">
        <f aca="false">IMABS(N80)^2</f>
        <v>0.342871593619924</v>
      </c>
      <c r="Q80" s="37" t="n">
        <f aca="false">p_Rb^2/(1+(C80*p_Rb*L_Ctot)^2)</f>
        <v>1.57998171381444E+018</v>
      </c>
      <c r="R80" s="37" t="n">
        <f aca="false">M80*L_Kt^2*Q80</f>
        <v>1.64650179105009E-005</v>
      </c>
      <c r="S80" s="37" t="n">
        <f aca="false">L_kT4*D80</f>
        <v>1.26846511797314E-012</v>
      </c>
      <c r="T80" s="37" t="n">
        <f aca="false">L_kT4*L_Rsq*O80</f>
        <v>6.93816655244905E-012</v>
      </c>
      <c r="U80" s="37" t="n">
        <f aca="false">L_kT4*L_Rh*O80</f>
        <v>5.2788543464591E-012</v>
      </c>
      <c r="V80" s="37" t="n">
        <f aca="false">L_kT4*p_Rv*P80</f>
        <v>2.82279668021272E-009</v>
      </c>
      <c r="W80" s="37" t="n">
        <f aca="false">L_kT4/p_Rb*Q80/R80</f>
        <v>1.58003948777645E-009</v>
      </c>
      <c r="X80" s="37" t="n">
        <f aca="false">p_en^2*(1+p_fc/B80)/R80</f>
        <v>1.14481774282161E-011</v>
      </c>
      <c r="Y80" s="37" t="n">
        <f aca="false">p_in^2*Q80/R80</f>
        <v>2.39899786687565E-010</v>
      </c>
      <c r="Z80" s="37" t="n">
        <f aca="false">p_eo^2/L_G^2/R80</f>
        <v>3.85032849906667E-012</v>
      </c>
      <c r="AA80" s="37" t="n">
        <f aca="false">SUM(S80:Z80)</f>
        <v>4.67151994662089E-009</v>
      </c>
      <c r="AB80" s="47" t="n">
        <f aca="false">10*LOG10(AA80/L_PREF^2)</f>
        <v>10.6739821622559</v>
      </c>
      <c r="AC80" s="47" t="n">
        <f aca="false">10*LOG10(S80/L_PREF^2)</f>
        <v>-24.9878146244272</v>
      </c>
      <c r="AD80" s="47" t="n">
        <f aca="false">10*LOG10(T80/L_PREF^2)</f>
        <v>-17.6081527034752</v>
      </c>
      <c r="AE80" s="47" t="n">
        <f aca="false">10*LOG10(U80/L_PREF^2)</f>
        <v>-18.79520312165</v>
      </c>
      <c r="AF80" s="47" t="n">
        <f aca="false">10*LOG10(V80/L_PREF^2)</f>
        <v>8.48619606676678</v>
      </c>
      <c r="AG80" s="47" t="n">
        <f aca="false">10*LOG10(W80/L_PREF^2)</f>
        <v>5.9660794949299</v>
      </c>
      <c r="AH80" s="47" t="n">
        <f aca="false">10*LOG10(X80/L_PREF^2)</f>
        <v>-15.4332363966272</v>
      </c>
      <c r="AI80" s="47" t="n">
        <f aca="false">10*LOG10(Y80/L_PREF^2)</f>
        <v>-2.22030129522927</v>
      </c>
      <c r="AJ80" s="47" t="n">
        <f aca="false">10*LOG10(Z80/L_PREF^2)</f>
        <v>-20.1656220746988</v>
      </c>
      <c r="AK80" s="47" t="n">
        <f aca="false">10*LOG10(R80/$R$6)</f>
        <v>-1.1220869717272</v>
      </c>
      <c r="AL80" s="37" t="n">
        <f aca="false">(12194^2*B80^4/((B80^2+20.6^2)*SQRT((B80^2+107.7^2)*(B80^2+737.9^2))*(B80^2+12194^2))*1.2589254)^2</f>
        <v>0.00105460137452255</v>
      </c>
      <c r="AM80" s="37" t="n">
        <f aca="false">0.5*(B80-B79)*(S80*AL80+S79*AL79)</f>
        <v>1.49330947653691E-015</v>
      </c>
      <c r="AN80" s="37" t="n">
        <f aca="false">0.5*(B80-B79)*(T80*AL80+T79*AL79)</f>
        <v>8.21521881307376E-015</v>
      </c>
      <c r="AO80" s="37" t="n">
        <f aca="false">0.5*(B80-B79)*(U80*AL80+U79*AL79)</f>
        <v>6.25049041568471E-015</v>
      </c>
      <c r="AP80" s="37" t="n">
        <f aca="false">0.5*(B80-B79)*(V80*AL80+V79*AL79)</f>
        <v>3.39787758839633E-012</v>
      </c>
      <c r="AQ80" s="37" t="n">
        <f aca="false">0.5*(B80-B79)*(W80*AL80+W79*AL79)</f>
        <v>1.91182886513762E-012</v>
      </c>
      <c r="AR80" s="37" t="n">
        <f aca="false">0.5*(B80-B79)*(X80*AL80+X79*AL79)</f>
        <v>1.36463709950171E-014</v>
      </c>
      <c r="AS80" s="37" t="n">
        <f aca="false">0.5*(B80-B79)*(Y80*AL80+Y79*AL79)</f>
        <v>2.90275869987964E-013</v>
      </c>
      <c r="AT80" s="37" t="n">
        <f aca="false">0.5*(B80-B79)*(Z80*AL80+Z79*AL79)</f>
        <v>4.55609768849849E-015</v>
      </c>
      <c r="AU80" s="37" t="n">
        <f aca="false">0.5*(B80-B79)*(AA80*AL80+AA79*AL79)</f>
        <v>5.63414381091072E-012</v>
      </c>
      <c r="AV80" s="37" t="n">
        <f aca="false">0.5*(B80-B79)*(S80+S79)</f>
        <v>1.48425642825761E-012</v>
      </c>
      <c r="AW80" s="37" t="n">
        <f aca="false">0.5*(B80-B79)*(T80+T79)</f>
        <v>8.16779195684471E-012</v>
      </c>
      <c r="AX80" s="37" t="n">
        <f aca="false">0.5*(B80-B79)*(U80+U79)</f>
        <v>6.2144060316834E-012</v>
      </c>
      <c r="AY80" s="37" t="n">
        <f aca="false">0.5*(B80-B79)*(V80+V79)</f>
        <v>3.38104034541999E-009</v>
      </c>
      <c r="AZ80" s="37" t="n">
        <f aca="false">0.5*(B80-B79)*(W80+W79)</f>
        <v>1.90284242785867E-009</v>
      </c>
      <c r="BA80" s="37" t="n">
        <f aca="false">0.5*(B80-B79)*(X80+X79)</f>
        <v>1.35721462347739E-011</v>
      </c>
      <c r="BB80" s="37" t="n">
        <f aca="false">0.5*(B80-B79)*(Y80+Y79)</f>
        <v>2.88911445615675E-010</v>
      </c>
      <c r="BC80" s="37" t="n">
        <f aca="false">0.5*(B80-B79)*(Z80+Z79)</f>
        <v>4.52964845860085E-012</v>
      </c>
      <c r="BD80" s="37" t="n">
        <f aca="false">0.5*(B80-B79)*(AA80+AA79)</f>
        <v>5.6067624680045E-009</v>
      </c>
      <c r="BE80" s="37" t="n">
        <f aca="false">IF(B80&gt;2000,AK80,-999)</f>
        <v>-999</v>
      </c>
      <c r="BF80" s="37" t="n">
        <f aca="false">IF(AND(B80&lt;1000,AK80&gt;=-3),B80,1000000000)</f>
        <v>51.4079156553773</v>
      </c>
    </row>
    <row r="81" customFormat="false" ht="15" hidden="false" customHeight="false" outlineLevel="0" collapsed="false">
      <c r="A81" s="5" t="n">
        <v>42</v>
      </c>
      <c r="B81" s="47" t="n">
        <f aca="false">20*10^(A81/100)</f>
        <v>52.6053598379076</v>
      </c>
      <c r="C81" s="37" t="n">
        <f aca="false">2*PI()*B81</f>
        <v>330.529224012436</v>
      </c>
      <c r="D81" s="37" t="n">
        <f aca="false">SQRT(L_Rp0^2+L_Rp1^2*C81)</f>
        <v>77046218.3211036</v>
      </c>
      <c r="E81" s="5" t="str">
        <f aca="false">COMPLEX(D81,C81*L_Mp)</f>
        <v>77046218.3211036+4882815.40274832i</v>
      </c>
      <c r="F81" s="5" t="str">
        <f aca="false">IMDIV(1,E81)</f>
        <v>1.29273010340141e-08-8.19269601809372e-10i</v>
      </c>
      <c r="G81" s="5" t="str">
        <f aca="false">COMPLEX(0,C81*L_Cf)</f>
        <v>3.49507480186567e-13i</v>
      </c>
      <c r="H81" s="5" t="str">
        <f aca="false">COMPLEX(0,C81*L_Cbv)</f>
        <v>3.49507480186567e-12i</v>
      </c>
      <c r="I81" s="5" t="str">
        <f aca="false">COMPLEX(L_Rsq+L_Rh,C81*(L_Md+L_Mh)-1/(C81*L_Cd))</f>
        <v>552400610.124532-3485252705995.09i</v>
      </c>
      <c r="J81" s="5" t="str">
        <f aca="false">IMDIV(1,I81)</f>
        <v>4.54763491895218e-17+2.86923233187283e-13i</v>
      </c>
      <c r="K81" s="5" t="str">
        <f aca="false">IMSUM(F81,G81,H81)</f>
        <v>1.29273010340141e-08-8.1542501952732e-10i</v>
      </c>
      <c r="L81" s="5" t="str">
        <f aca="false">IMSUM(IMPRODUCT(IMSUM(F81,G81),H81),IMPRODUCT(IMSUM(J81,L_Yv),K81))</f>
        <v>2.89513413239401e-20+4.72601399875718e-20i</v>
      </c>
      <c r="M81" s="37" t="n">
        <f aca="false">IMABS(IMDIV(IMPRODUCT(J81,F81,H81),L81))^2</f>
        <v>5.49315671947978E-026</v>
      </c>
      <c r="N81" s="5" t="str">
        <f aca="false">IMDIV(IMPRODUCT(L_Yv,K81,E81),H81)</f>
        <v>0.000169501680306334-0.572223076359124i</v>
      </c>
      <c r="O81" s="37" t="n">
        <f aca="false">IMABS(IMSUM(1,IMPRODUCT(E81,G81),N81))^2</f>
        <v>1.32774405028903</v>
      </c>
      <c r="P81" s="37" t="n">
        <f aca="false">IMABS(N81)^2</f>
        <v>0.32743927784872</v>
      </c>
      <c r="Q81" s="37" t="n">
        <f aca="false">p_Rb^2/(1+(C81*p_Rb*L_Ctot)^2)</f>
        <v>1.50887093003939E+018</v>
      </c>
      <c r="R81" s="37" t="n">
        <f aca="false">M81*L_Kt^2*Q81</f>
        <v>1.66345672128786E-005</v>
      </c>
      <c r="S81" s="37" t="n">
        <f aca="false">L_kT4*D81</f>
        <v>1.26861375130913E-012</v>
      </c>
      <c r="T81" s="37" t="n">
        <f aca="false">L_kT4*L_Rsq*O81</f>
        <v>6.85845045147681E-012</v>
      </c>
      <c r="U81" s="37" t="n">
        <f aca="false">L_kT4*L_Rh*O81</f>
        <v>5.21820292177523E-012</v>
      </c>
      <c r="V81" s="37" t="n">
        <f aca="false">L_kT4*p_Rv*P81</f>
        <v>2.69574535680901E-009</v>
      </c>
      <c r="W81" s="37" t="n">
        <f aca="false">L_kT4/p_Rb*Q81/R81</f>
        <v>1.49354624054238E-009</v>
      </c>
      <c r="X81" s="37" t="n">
        <f aca="false">p_en^2*(1+p_fc/B81)/R81</f>
        <v>1.11611323845468E-011</v>
      </c>
      <c r="Y81" s="37" t="n">
        <f aca="false">p_in^2*Q81/R81</f>
        <v>2.26767386059675E-010</v>
      </c>
      <c r="Z81" s="37" t="n">
        <f aca="false">p_eo^2/L_G^2/R81</f>
        <v>3.81108368418284E-012</v>
      </c>
      <c r="AA81" s="37" t="n">
        <f aca="false">SUM(S81:Z81)</f>
        <v>4.44437646660436E-009</v>
      </c>
      <c r="AB81" s="47" t="n">
        <f aca="false">10*LOG10(AA81/L_PREF^2)</f>
        <v>10.4575084796969</v>
      </c>
      <c r="AC81" s="47" t="n">
        <f aca="false">10*LOG10(S81/L_PREF^2)</f>
        <v>-24.9873057664764</v>
      </c>
      <c r="AD81" s="47" t="n">
        <f aca="false">10*LOG10(T81/L_PREF^2)</f>
        <v>-17.6583398588203</v>
      </c>
      <c r="AE81" s="47" t="n">
        <f aca="false">10*LOG10(U81/L_PREF^2)</f>
        <v>-18.845390276995</v>
      </c>
      <c r="AF81" s="47" t="n">
        <f aca="false">10*LOG10(V81/L_PREF^2)</f>
        <v>8.28618874519083</v>
      </c>
      <c r="AG81" s="47" t="n">
        <f aca="false">10*LOG10(W81/L_PREF^2)</f>
        <v>5.72158681679491</v>
      </c>
      <c r="AH81" s="47" t="n">
        <f aca="false">10*LOG10(X81/L_PREF^2)</f>
        <v>-15.543517319046</v>
      </c>
      <c r="AI81" s="47" t="n">
        <f aca="false">10*LOG10(Y81/L_PREF^2)</f>
        <v>-2.46479397336425</v>
      </c>
      <c r="AJ81" s="47" t="n">
        <f aca="false">10*LOG10(Z81/L_PREF^2)</f>
        <v>-20.2101150616645</v>
      </c>
      <c r="AK81" s="47" t="n">
        <f aca="false">10*LOG10(R81/$R$6)</f>
        <v>-1.07759398476154</v>
      </c>
      <c r="AL81" s="37" t="n">
        <f aca="false">(12194^2*B81^4/((B81^2+20.6^2)*SQRT((B81^2+107.7^2)*(B81^2+737.9^2))*(B81^2+12194^2))*1.2589254)^2</f>
        <v>0.00116046744540925</v>
      </c>
      <c r="AM81" s="37" t="n">
        <f aca="false">0.5*(B81-B80)*(S81*AL81+S80*AL80)</f>
        <v>1.68235520113101E-015</v>
      </c>
      <c r="AN81" s="37" t="n">
        <f aca="false">0.5*(B81-B80)*(T81*AL81+T80*AL80)</f>
        <v>9.14608373002094E-015</v>
      </c>
      <c r="AO81" s="37" t="n">
        <f aca="false">0.5*(B81-B80)*(U81*AL81+U80*AL80)</f>
        <v>6.95873232305985E-015</v>
      </c>
      <c r="AP81" s="37" t="n">
        <f aca="false">0.5*(B81-B80)*(V81*AL81+V80*AL80)</f>
        <v>3.65534803969786E-012</v>
      </c>
      <c r="AQ81" s="37" t="n">
        <f aca="false">0.5*(B81-B80)*(W81*AL81+W80*AL80)</f>
        <v>2.03536988267277E-012</v>
      </c>
      <c r="AR81" s="37" t="n">
        <f aca="false">0.5*(B81-B80)*(X81*AL81+X80*AL80)</f>
        <v>1.49832564925023E-014</v>
      </c>
      <c r="AS81" s="37" t="n">
        <f aca="false">0.5*(B81-B80)*(Y81*AL81+Y80*AL80)</f>
        <v>3.09033289649391E-013</v>
      </c>
      <c r="AT81" s="37" t="n">
        <f aca="false">0.5*(B81-B80)*(Z81*AL81+Z80*AL80)</f>
        <v>5.07907940909193E-015</v>
      </c>
      <c r="AU81" s="37" t="n">
        <f aca="false">0.5*(B81-B80)*(AA81*AL81+AA80*AL80)</f>
        <v>6.03760071917583E-012</v>
      </c>
      <c r="AV81" s="37" t="n">
        <f aca="false">0.5*(B81-B80)*(S81+S80)</f>
        <v>1.51900516632139E-012</v>
      </c>
      <c r="AW81" s="37" t="n">
        <f aca="false">0.5*(B81-B80)*(T81+T80)</f>
        <v>8.26033938497529E-012</v>
      </c>
      <c r="AX81" s="37" t="n">
        <f aca="false">0.5*(B81-B80)*(U81+U80)</f>
        <v>6.28482007976766E-012</v>
      </c>
      <c r="AY81" s="37" t="n">
        <f aca="false">0.5*(B81-B80)*(V81+V80)</f>
        <v>3.30407302914048E-009</v>
      </c>
      <c r="AZ81" s="37" t="n">
        <f aca="false">0.5*(B81-B80)*(W81+W80)</f>
        <v>1.84022367494187E-009</v>
      </c>
      <c r="BA81" s="37" t="n">
        <f aca="false">0.5*(B81-B80)*(X81+X80)</f>
        <v>1.35366932531598E-011</v>
      </c>
      <c r="BB81" s="37" t="n">
        <f aca="false">0.5*(B81-B80)*(Y81+Y80)</f>
        <v>2.79403945592039E-010</v>
      </c>
      <c r="BC81" s="37" t="n">
        <f aca="false">0.5*(B81-B80)*(Z81+Z80)</f>
        <v>4.5870567243997E-012</v>
      </c>
      <c r="BD81" s="37" t="n">
        <f aca="false">0.5*(B81-B80)*(AA81+AA80)</f>
        <v>5.45788856428301E-009</v>
      </c>
      <c r="BE81" s="37" t="n">
        <f aca="false">IF(B81&gt;2000,AK81,-999)</f>
        <v>-999</v>
      </c>
      <c r="BF81" s="37" t="n">
        <f aca="false">IF(AND(B81&lt;1000,AK81&gt;=-3),B81,1000000000)</f>
        <v>52.6053598379076</v>
      </c>
    </row>
    <row r="82" customFormat="false" ht="15" hidden="false" customHeight="false" outlineLevel="0" collapsed="false">
      <c r="A82" s="5" t="n">
        <v>43</v>
      </c>
      <c r="B82" s="47" t="n">
        <f aca="false">20*10^(A82/100)</f>
        <v>53.8306960785383</v>
      </c>
      <c r="C82" s="37" t="n">
        <f aca="false">2*PI()*B82</f>
        <v>338.228238675922</v>
      </c>
      <c r="D82" s="37" t="n">
        <f aca="false">SQRT(L_Rp0^2+L_Rp1^2*C82)</f>
        <v>77055454.379399</v>
      </c>
      <c r="E82" s="5" t="str">
        <f aca="false">COMPLEX(D82,C82*L_Mp)</f>
        <v>77055454.379399+4996550.78423288i</v>
      </c>
      <c r="F82" s="5" t="str">
        <f aca="false">IMDIV(1,E82)</f>
        <v>1.29233280729245e-08-8.37994734282342e-10i</v>
      </c>
      <c r="G82" s="5" t="str">
        <f aca="false">COMPLEX(0,C82*L_Cf)</f>
        <v>3.57648555224618e-13i</v>
      </c>
      <c r="H82" s="5" t="str">
        <f aca="false">COMPLEX(0,C82*L_Cbv)</f>
        <v>3.57648555224619e-12i</v>
      </c>
      <c r="I82" s="5" t="str">
        <f aca="false">COMPLEX(L_Rsq+L_Rh,C82*(L_Md+L_Mh)-1/(C82*L_Cd))</f>
        <v>552400610.124532-3405918611376.07i</v>
      </c>
      <c r="J82" s="5" t="str">
        <f aca="false">IMDIV(1,I82)</f>
        <v>4.76195850450305e-17+2.93606538440121e-13i</v>
      </c>
      <c r="K82" s="5" t="str">
        <f aca="false">IMSUM(F82,G82,H82)</f>
        <v>1.29233280729245e-08-8.34060600174871e-10i</v>
      </c>
      <c r="L82" s="5" t="str">
        <f aca="false">IMSUM(IMPRODUCT(IMSUM(F82,G82),H82),IMPRODUCT(IMSUM(J82,L_Yv),K82))</f>
        <v>2.90879541301645e-20+4.83463088424001e-20i</v>
      </c>
      <c r="M82" s="37" t="n">
        <f aca="false">IMABS(IMDIV(IMPRODUCT(J82,F82,H82),L82))^2</f>
        <v>5.80916877535958E-026</v>
      </c>
      <c r="N82" s="5" t="str">
        <f aca="false">IMDIV(IMPRODUCT(L_Yv,K82,E82),H82)</f>
        <v>0.000169521999634758-0.55919719416795i</v>
      </c>
      <c r="O82" s="37" t="n">
        <f aca="false">IMABS(IMSUM(1,IMPRODUCT(E82,G82),N82))^2</f>
        <v>1.31300617926488</v>
      </c>
      <c r="P82" s="37" t="n">
        <f aca="false">IMABS(N82)^2</f>
        <v>0.312701530703016</v>
      </c>
      <c r="Q82" s="37" t="n">
        <f aca="false">p_Rb^2/(1+(C82*p_Rb*L_Ctot)^2)</f>
        <v>1.44096064930707E+018</v>
      </c>
      <c r="R82" s="37" t="n">
        <f aca="false">M82*L_Kt^2*Q82</f>
        <v>1.67997779071884E-005</v>
      </c>
      <c r="S82" s="37" t="n">
        <f aca="false">L_kT4*D82</f>
        <v>1.26876582873508E-012</v>
      </c>
      <c r="T82" s="37" t="n">
        <f aca="false">L_kT4*L_Rsq*O82</f>
        <v>6.78232210568804E-012</v>
      </c>
      <c r="U82" s="37" t="n">
        <f aca="false">L_kT4*L_Rh*O82</f>
        <v>5.16028121493555E-012</v>
      </c>
      <c r="V82" s="37" t="n">
        <f aca="false">L_kT4*p_Rv*P82</f>
        <v>2.57441228492198E-009</v>
      </c>
      <c r="W82" s="37" t="n">
        <f aca="false">L_kT4/p_Rb*Q82/R82</f>
        <v>1.41229905419323E-009</v>
      </c>
      <c r="X82" s="37" t="n">
        <f aca="false">p_en^2*(1+p_fc/B82)/R82</f>
        <v>1.0886529233987E-011</v>
      </c>
      <c r="Y82" s="37" t="n">
        <f aca="false">p_in^2*Q82/R82</f>
        <v>2.14431502795418E-010</v>
      </c>
      <c r="Z82" s="37" t="n">
        <f aca="false">p_eo^2/L_G^2/R82</f>
        <v>3.77360510648884E-012</v>
      </c>
      <c r="AA82" s="37" t="n">
        <f aca="false">SUM(S82:Z82)</f>
        <v>4.22901434540046E-009</v>
      </c>
      <c r="AB82" s="47" t="n">
        <f aca="false">10*LOG10(AA82/L_PREF^2)</f>
        <v>10.2417916700827</v>
      </c>
      <c r="AC82" s="47" t="n">
        <f aca="false">10*LOG10(S82/L_PREF^2)</f>
        <v>-24.9867851791153</v>
      </c>
      <c r="AD82" s="47" t="n">
        <f aca="false">10*LOG10(T82/L_PREF^2)</f>
        <v>-17.706815799052</v>
      </c>
      <c r="AE82" s="47" t="n">
        <f aca="false">10*LOG10(U82/L_PREF^2)</f>
        <v>-18.8938662172267</v>
      </c>
      <c r="AF82" s="47" t="n">
        <f aca="false">10*LOG10(V82/L_PREF^2)</f>
        <v>8.08618107855945</v>
      </c>
      <c r="AG82" s="47" t="n">
        <f aca="false">10*LOG10(W82/L_PREF^2)</f>
        <v>5.47866676941756</v>
      </c>
      <c r="AH82" s="47" t="n">
        <f aca="false">10*LOG10(X82/L_PREF^2)</f>
        <v>-15.6517054819117</v>
      </c>
      <c r="AI82" s="47" t="n">
        <f aca="false">10*LOG10(Y82/L_PREF^2)</f>
        <v>-2.7077140207416</v>
      </c>
      <c r="AJ82" s="47" t="n">
        <f aca="false">10*LOG10(Z82/L_PREF^2)</f>
        <v>-20.2530354039729</v>
      </c>
      <c r="AK82" s="47" t="n">
        <f aca="false">10*LOG10(R82/$R$6)</f>
        <v>-1.03467364245315</v>
      </c>
      <c r="AL82" s="37" t="n">
        <f aca="false">(12194^2*B82^4/((B82^2+20.6^2)*SQRT((B82^2+107.7^2)*(B82^2+737.9^2))*(B82^2+12194^2))*1.2589254)^2</f>
        <v>0.00127590199431533</v>
      </c>
      <c r="AM82" s="37" t="n">
        <f aca="false">0.5*(B82-B81)*(S82*AL82+S81*AL81)</f>
        <v>1.89376071973848E-015</v>
      </c>
      <c r="AN82" s="37" t="n">
        <f aca="false">0.5*(B82-B81)*(T82*AL82+T81*AL81)</f>
        <v>1.01780023133992E-014</v>
      </c>
      <c r="AO82" s="37" t="n">
        <f aca="false">0.5*(B82-B81)*(U82*AL82+U81*AL81)</f>
        <v>7.74386018902831E-015</v>
      </c>
      <c r="AP82" s="37" t="n">
        <f aca="false">0.5*(B82-B81)*(V82*AL82+V81*AL81)</f>
        <v>3.92905443829408E-012</v>
      </c>
      <c r="AQ82" s="37" t="n">
        <f aca="false">0.5*(B82-B81)*(W82*AL82+W81*AL81)</f>
        <v>2.16588410261958E-012</v>
      </c>
      <c r="AR82" s="37" t="n">
        <f aca="false">0.5*(B82-B81)*(X82*AL82+X81*AL81)</f>
        <v>1.64454062592908E-014</v>
      </c>
      <c r="AS82" s="37" t="n">
        <f aca="false">0.5*(B82-B81)*(Y82*AL82+Y81*AL81)</f>
        <v>3.28849461186341E-013</v>
      </c>
      <c r="AT82" s="37" t="n">
        <f aca="false">0.5*(B82-B81)*(Z82*AL82+Z81*AL81)</f>
        <v>5.65945365008841E-015</v>
      </c>
      <c r="AU82" s="37" t="n">
        <f aca="false">0.5*(B82-B81)*(AA82*AL82+AA81*AL81)</f>
        <v>6.46570848523154E-012</v>
      </c>
      <c r="AV82" s="37" t="n">
        <f aca="false">0.5*(B82-B81)*(S82+S81)</f>
        <v>1.5545715778322E-012</v>
      </c>
      <c r="AW82" s="37" t="n">
        <f aca="false">0.5*(B82-B81)*(T82+T81)</f>
        <v>8.35726648224723E-012</v>
      </c>
      <c r="AX82" s="37" t="n">
        <f aca="false">0.5*(B82-B81)*(U82+U81)</f>
        <v>6.35856636776114E-012</v>
      </c>
      <c r="AY82" s="37" t="n">
        <f aca="false">0.5*(B82-B81)*(V82+V81)</f>
        <v>3.22885757612483E-009</v>
      </c>
      <c r="AZ82" s="37" t="n">
        <f aca="false">0.5*(B82-B81)*(W82+W81)</f>
        <v>1.78031877465283E-009</v>
      </c>
      <c r="BA82" s="37" t="n">
        <f aca="false">0.5*(B82-B81)*(X82+X81)</f>
        <v>1.35078994011757E-011</v>
      </c>
      <c r="BB82" s="37" t="n">
        <f aca="false">0.5*(B82-B81)*(Y82+Y81)</f>
        <v>2.70308493920065E-010</v>
      </c>
      <c r="BC82" s="37" t="n">
        <f aca="false">0.5*(B82-B81)*(Z82+Z81)</f>
        <v>4.64689702455763E-012</v>
      </c>
      <c r="BD82" s="37" t="n">
        <f aca="false">0.5*(B82-B81)*(AA82+AA81)</f>
        <v>5.31391004555131E-009</v>
      </c>
      <c r="BE82" s="37" t="n">
        <f aca="false">IF(B82&gt;2000,AK82,-999)</f>
        <v>-999</v>
      </c>
      <c r="BF82" s="37" t="n">
        <f aca="false">IF(AND(B82&lt;1000,AK82&gt;=-3),B82,1000000000)</f>
        <v>53.8306960785383</v>
      </c>
    </row>
    <row r="83" customFormat="false" ht="15" hidden="false" customHeight="false" outlineLevel="0" collapsed="false">
      <c r="A83" s="5" t="n">
        <v>44</v>
      </c>
      <c r="B83" s="47" t="n">
        <f aca="false">20*10^(A83/100)</f>
        <v>55.0845740667633</v>
      </c>
      <c r="C83" s="37" t="n">
        <f aca="false">2*PI()*B83</f>
        <v>346.106586428533</v>
      </c>
      <c r="D83" s="37" t="n">
        <f aca="false">SQRT(L_Rp0^2+L_Rp1^2*C83)</f>
        <v>77064904.4272322</v>
      </c>
      <c r="E83" s="5" t="str">
        <f aca="false">COMPLEX(D83,C83*L_Mp)</f>
        <v>77064904.4272322+5112935.40308042i</v>
      </c>
      <c r="F83" s="5" t="str">
        <f aca="false">IMDIV(1,E83)</f>
        <v>1.29192078844987e-08-8.57135629549516e-10i</v>
      </c>
      <c r="G83" s="5" t="str">
        <f aca="false">COMPLEX(0,C83*L_Cf)</f>
        <v>3.65979260260688e-13i</v>
      </c>
      <c r="H83" s="5" t="str">
        <f aca="false">COMPLEX(0,C83*L_Cbv)</f>
        <v>3.65979260260688e-12i</v>
      </c>
      <c r="I83" s="5" t="str">
        <f aca="false">COMPLEX(L_Rsq+L_Rh,C83*(L_Md+L_Mh)-1/(C83*L_Cd))</f>
        <v>552400610.124532-3328390379887.47i</v>
      </c>
      <c r="J83" s="5" t="str">
        <f aca="false">IMDIV(1,I83)</f>
        <v>4.98638286438447e-17+3.00445518199401e-13i</v>
      </c>
      <c r="K83" s="5" t="str">
        <f aca="false">IMSUM(F83,G83,H83)</f>
        <v>1.29192078844987e-08-8.53109857686648e-10i</v>
      </c>
      <c r="L83" s="5" t="str">
        <f aca="false">IMSUM(IMPRODUCT(IMSUM(F83,G83),H83),IMPRODUCT(IMSUM(J83,L_Yv),K83))</f>
        <v>2.92309722317059e-20+4.94568773001158e-20i</v>
      </c>
      <c r="M83" s="37" t="n">
        <f aca="false">IMABS(IMDIV(IMPRODUCT(J83,F83,H83),L83))^2</f>
        <v>6.14119398388698E-026</v>
      </c>
      <c r="N83" s="5" t="str">
        <f aca="false">IMDIV(IMPRODUCT(L_Yv,K83,E83),H83)</f>
        <v>0.000169542789740002-0.546467805730976i</v>
      </c>
      <c r="O83" s="37" t="n">
        <f aca="false">IMABS(IMSUM(1,IMPRODUCT(E83,G83),N83))^2</f>
        <v>1.29893160940523</v>
      </c>
      <c r="P83" s="37" t="n">
        <f aca="false">IMABS(N83)^2</f>
        <v>0.298627091445185</v>
      </c>
      <c r="Q83" s="37" t="n">
        <f aca="false">p_Rb^2/(1+(C83*p_Rb*L_Ctot)^2)</f>
        <v>1.3761068260828E+018</v>
      </c>
      <c r="R83" s="37" t="n">
        <f aca="false">M83*L_Kt^2*Q83</f>
        <v>1.69606460120586E-005</v>
      </c>
      <c r="S83" s="37" t="n">
        <f aca="false">L_kT4*D83</f>
        <v>1.26892142963144E-012</v>
      </c>
      <c r="T83" s="37" t="n">
        <f aca="false">L_kT4*L_Rsq*O83</f>
        <v>6.70962003634925E-012</v>
      </c>
      <c r="U83" s="37" t="n">
        <f aca="false">L_kT4*L_Rh*O83</f>
        <v>5.10496636600184E-012</v>
      </c>
      <c r="V83" s="37" t="n">
        <f aca="false">L_kT4*p_Rv*P83</f>
        <v>2.45854010083868E-009</v>
      </c>
      <c r="W83" s="37" t="n">
        <f aca="false">L_kT4/p_Rb*Q83/R83</f>
        <v>1.33594274804138E-009</v>
      </c>
      <c r="X83" s="37" t="n">
        <f aca="false">p_en^2*(1+p_fc/B83)/R83</f>
        <v>1.06237095803029E-011</v>
      </c>
      <c r="Y83" s="37" t="n">
        <f aca="false">p_in^2*Q83/R83</f>
        <v>2.02838209273458E-010</v>
      </c>
      <c r="Z83" s="37" t="n">
        <f aca="false">p_eo^2/L_G^2/R83</f>
        <v>3.73781326804248E-012</v>
      </c>
      <c r="AA83" s="37" t="n">
        <f aca="false">SUM(S83:Z83)</f>
        <v>4.02476608883385E-009</v>
      </c>
      <c r="AB83" s="47" t="n">
        <f aca="false">10*LOG10(AA83/L_PREF^2)</f>
        <v>10.0268065380309</v>
      </c>
      <c r="AC83" s="47" t="n">
        <f aca="false">10*LOG10(S83/L_PREF^2)</f>
        <v>-24.986252594885</v>
      </c>
      <c r="AD83" s="47" t="n">
        <f aca="false">10*LOG10(T83/L_PREF^2)</f>
        <v>-17.7536206442114</v>
      </c>
      <c r="AE83" s="47" t="n">
        <f aca="false">10*LOG10(U83/L_PREF^2)</f>
        <v>-18.9406710623861</v>
      </c>
      <c r="AF83" s="47" t="n">
        <f aca="false">10*LOG10(V83/L_PREF^2)</f>
        <v>7.88617305061052</v>
      </c>
      <c r="AG83" s="47" t="n">
        <f aca="false">10*LOG10(W83/L_PREF^2)</f>
        <v>5.23727855477373</v>
      </c>
      <c r="AH83" s="47" t="n">
        <f aca="false">10*LOG10(X83/L_PREF^2)</f>
        <v>-15.7578380142336</v>
      </c>
      <c r="AI83" s="47" t="n">
        <f aca="false">10*LOG10(Y83/L_PREF^2)</f>
        <v>-2.94910223538543</v>
      </c>
      <c r="AJ83" s="47" t="n">
        <f aca="false">10*LOG10(Z83/L_PREF^2)</f>
        <v>-20.2944239002737</v>
      </c>
      <c r="AK83" s="47" t="n">
        <f aca="false">10*LOG10(R83/$R$6)</f>
        <v>-0.993285146152347</v>
      </c>
      <c r="AL83" s="37" t="n">
        <f aca="false">(12194^2*B83^4/((B83^2+20.6^2)*SQRT((B83^2+107.7^2)*(B83^2+737.9^2))*(B83^2+12194^2))*1.2589254)^2</f>
        <v>0.00140166498246299</v>
      </c>
      <c r="AM83" s="37" t="n">
        <f aca="false">0.5*(B83-B82)*(S83*AL83+S82*AL82)</f>
        <v>2.12997732471168E-015</v>
      </c>
      <c r="AN83" s="37" t="n">
        <f aca="false">0.5*(B83-B82)*(T83*AL83+T82*AL82)</f>
        <v>1.13214008724766E-014</v>
      </c>
      <c r="AO83" s="37" t="n">
        <f aca="false">0.5*(B83-B82)*(U83*AL83+U82*AL82)</f>
        <v>8.61380679634787E-015</v>
      </c>
      <c r="AP83" s="37" t="n">
        <f aca="false">0.5*(B83-B82)*(V83*AL83+V82*AL82)</f>
        <v>4.21976796436226E-012</v>
      </c>
      <c r="AQ83" s="37" t="n">
        <f aca="false">0.5*(B83-B82)*(W83*AL83+W82*AL82)</f>
        <v>2.30368692530266E-012</v>
      </c>
      <c r="AR83" s="37" t="n">
        <f aca="false">0.5*(B83-B82)*(X83*AL83+X82*AL82)</f>
        <v>1.80439475297033E-014</v>
      </c>
      <c r="AS83" s="37" t="n">
        <f aca="false">0.5*(B83-B82)*(Y83*AL83+Y82*AL82)</f>
        <v>3.49772272307433E-013</v>
      </c>
      <c r="AT83" s="37" t="n">
        <f aca="false">0.5*(B83-B82)*(Z83*AL83+Z82*AL82)</f>
        <v>6.30318963286547E-015</v>
      </c>
      <c r="AU83" s="37" t="n">
        <f aca="false">0.5*(B83-B82)*(AA83*AL83+AA82*AL82)</f>
        <v>6.91963948412845E-012</v>
      </c>
      <c r="AV83" s="37" t="n">
        <f aca="false">0.5*(B83-B82)*(S83+S82)</f>
        <v>1.59097509713243E-012</v>
      </c>
      <c r="AW83" s="37" t="n">
        <f aca="false">0.5*(B83-B82)*(T83+T82)</f>
        <v>8.458624635153E-012</v>
      </c>
      <c r="AX83" s="37" t="n">
        <f aca="false">0.5*(B83-B82)*(U83+U82)</f>
        <v>6.43568399270873E-012</v>
      </c>
      <c r="AY83" s="37" t="n">
        <f aca="false">0.5*(B83-B82)*(V83+V82)</f>
        <v>3.15535410614493E-009</v>
      </c>
      <c r="AZ83" s="37" t="n">
        <f aca="false">0.5*(B83-B82)*(W83+W82)</f>
        <v>1.72297995107091E-009</v>
      </c>
      <c r="BA83" s="37" t="n">
        <f aca="false">0.5*(B83-B82)*(X83+X82)</f>
        <v>1.34856074853507E-011</v>
      </c>
      <c r="BB83" s="37" t="n">
        <f aca="false">0.5*(B83-B82)*(Y83+Y82)</f>
        <v>2.61602653558077E-010</v>
      </c>
      <c r="BC83" s="37" t="n">
        <f aca="false">0.5*(B83-B82)*(Z83+Z82)</f>
        <v>4.70920108008687E-012</v>
      </c>
      <c r="BD83" s="37" t="n">
        <f aca="false">0.5*(B83-B82)*(AA83+AA82)</f>
        <v>5.17461680306435E-009</v>
      </c>
      <c r="BE83" s="37" t="n">
        <f aca="false">IF(B83&gt;2000,AK83,-999)</f>
        <v>-999</v>
      </c>
      <c r="BF83" s="37" t="n">
        <f aca="false">IF(AND(B83&lt;1000,AK83&gt;=-3),B83,1000000000)</f>
        <v>55.0845740667633</v>
      </c>
    </row>
    <row r="84" customFormat="false" ht="15" hidden="false" customHeight="false" outlineLevel="0" collapsed="false">
      <c r="A84" s="5" t="n">
        <v>45</v>
      </c>
      <c r="B84" s="47" t="n">
        <f aca="false">20*10^(A84/100)</f>
        <v>56.3676586252891</v>
      </c>
      <c r="C84" s="37" t="n">
        <f aca="false">2*PI()*B84</f>
        <v>354.168444474531</v>
      </c>
      <c r="D84" s="37" t="n">
        <f aca="false">SQRT(L_Rp0^2+L_Rp1^2*C84)</f>
        <v>77074573.395497</v>
      </c>
      <c r="E84" s="5" t="str">
        <f aca="false">COMPLEX(D84,C84*L_Mp)</f>
        <v>77074573.395497+5232030.96795636i</v>
      </c>
      <c r="F84" s="5" t="str">
        <f aca="false">IMDIV(1,E84)</f>
        <v>1.29149345961323e-08-8.76700768869169e-10i</v>
      </c>
      <c r="G84" s="5" t="str">
        <f aca="false">COMPLEX(0,C84*L_Cf)</f>
        <v>3.74504012344857e-13i</v>
      </c>
      <c r="H84" s="5" t="str">
        <f aca="false">COMPLEX(0,C84*L_Cbv)</f>
        <v>3.74504012344857e-12i</v>
      </c>
      <c r="I84" s="5" t="str">
        <f aca="false">COMPLEX(L_Rsq+L_Rh,C84*(L_Md+L_Mh)-1/(C84*L_Cd))</f>
        <v>552400610.124532-3252626905034.74i</v>
      </c>
      <c r="J84" s="5" t="str">
        <f aca="false">IMDIV(1,I84)</f>
        <v>5.22138403486533e-17+3.07443798613712e-13i</v>
      </c>
      <c r="K84" s="5" t="str">
        <f aca="false">IMSUM(F84,G84,H84)</f>
        <v>1.29149345961323e-08-8.72581224733376e-10i</v>
      </c>
      <c r="L84" s="5" t="str">
        <f aca="false">IMSUM(IMPRODUCT(IMSUM(F84,G84),H84),IMPRODUCT(IMSUM(J84,L_Yv),K84))</f>
        <v>2.93806902400494e-20+5.05923567950285e-20i</v>
      </c>
      <c r="M84" s="37" t="n">
        <f aca="false">IMABS(IMDIV(IMPRODUCT(J84,F84,H84),L84))^2</f>
        <v>6.48996766792231E-026</v>
      </c>
      <c r="N84" s="5" t="str">
        <f aca="false">IMDIV(IMPRODUCT(L_Yv,K84,E84),H84)</f>
        <v>0.000169564061469945-0.534028161757951i</v>
      </c>
      <c r="O84" s="37" t="n">
        <f aca="false">IMABS(IMSUM(1,IMPRODUCT(E84,G84),N84))^2</f>
        <v>1.28549048659996</v>
      </c>
      <c r="P84" s="37" t="n">
        <f aca="false">IMABS(N84)^2</f>
        <v>0.285186106302547</v>
      </c>
      <c r="Q84" s="37" t="n">
        <f aca="false">p_Rb^2/(1+(C84*p_Rb*L_Ctot)^2)</f>
        <v>1.31417189787581E+018</v>
      </c>
      <c r="R84" s="37" t="n">
        <f aca="false">M84*L_Kt^2*Q84</f>
        <v>1.71171767174433E-005</v>
      </c>
      <c r="S84" s="37" t="n">
        <f aca="false">L_kT4*D84</f>
        <v>1.26908063518843E-012</v>
      </c>
      <c r="T84" s="37" t="n">
        <f aca="false">L_kT4*L_Rsq*O84</f>
        <v>6.64019003231188E-012</v>
      </c>
      <c r="U84" s="37" t="n">
        <f aca="false">L_kT4*L_Rh*O84</f>
        <v>5.05214104452581E-012</v>
      </c>
      <c r="V84" s="37" t="n">
        <f aca="false">L_kT4*p_Rv*P84</f>
        <v>2.34788302412125E-009</v>
      </c>
      <c r="W84" s="37" t="n">
        <f aca="false">L_kT4/p_Rb*Q84/R84</f>
        <v>1.2641486039507E-009</v>
      </c>
      <c r="X84" s="37" t="n">
        <f aca="false">p_en^2*(1+p_fc/B84)/R84</f>
        <v>1.03720541935996E-011</v>
      </c>
      <c r="Y84" s="37" t="n">
        <f aca="false">p_in^2*Q84/R84</f>
        <v>1.91937595721699E-010</v>
      </c>
      <c r="Z84" s="37" t="n">
        <f aca="false">p_eo^2/L_G^2/R84</f>
        <v>3.70363224875986E-012</v>
      </c>
      <c r="AA84" s="37" t="n">
        <f aca="false">SUM(S84:Z84)</f>
        <v>3.83100632194804E-009</v>
      </c>
      <c r="AB84" s="47" t="n">
        <f aca="false">10*LOG10(AA84/L_PREF^2)</f>
        <v>9.81252877330887</v>
      </c>
      <c r="AC84" s="47" t="n">
        <f aca="false">10*LOG10(S84/L_PREF^2)</f>
        <v>-24.9857077403639</v>
      </c>
      <c r="AD84" s="47" t="n">
        <f aca="false">10*LOG10(T84/L_PREF^2)</f>
        <v>-17.7987948292328</v>
      </c>
      <c r="AE84" s="47" t="n">
        <f aca="false">10*LOG10(U84/L_PREF^2)</f>
        <v>-18.9858452474075</v>
      </c>
      <c r="AF84" s="47" t="n">
        <f aca="false">10*LOG10(V84/L_PREF^2)</f>
        <v>7.68616464431533</v>
      </c>
      <c r="AG84" s="47" t="n">
        <f aca="false">10*LOG10(W84/L_PREF^2)</f>
        <v>4.99738138063286</v>
      </c>
      <c r="AH84" s="47" t="n">
        <f aca="false">10*LOG10(X84/L_PREF^2)</f>
        <v>-15.8619521405211</v>
      </c>
      <c r="AI84" s="47" t="n">
        <f aca="false">10*LOG10(Y84/L_PREF^2)</f>
        <v>-3.18899940952631</v>
      </c>
      <c r="AJ84" s="47" t="n">
        <f aca="false">10*LOG10(Z84/L_PREF^2)</f>
        <v>-20.3343213433949</v>
      </c>
      <c r="AK84" s="47" t="n">
        <f aca="false">10*LOG10(R84/$R$6)</f>
        <v>-0.953387703031136</v>
      </c>
      <c r="AL84" s="37" t="n">
        <f aca="false">(12194^2*B84^4/((B84^2+20.6^2)*SQRT((B84^2+107.7^2)*(B84^2+737.9^2))*(B84^2+12194^2))*1.2589254)^2</f>
        <v>0.00153856675390826</v>
      </c>
      <c r="AM84" s="37" t="n">
        <f aca="false">0.5*(B84-B83)*(S84*AL84+S83*AL83)</f>
        <v>2.3937020273573E-015</v>
      </c>
      <c r="AN84" s="37" t="n">
        <f aca="false">0.5*(B84-B83)*(T84*AL84+T83*AL83)</f>
        <v>1.25877107319808E-014</v>
      </c>
      <c r="AO84" s="37" t="n">
        <f aca="false">0.5*(B84-B83)*(U84*AL84+U83*AL83)</f>
        <v>9.57726958659298E-015</v>
      </c>
      <c r="AP84" s="37" t="n">
        <f aca="false">0.5*(B84-B83)*(V84*AL84+V83*AL83)</f>
        <v>4.5282776328685E-012</v>
      </c>
      <c r="AQ84" s="37" t="n">
        <f aca="false">0.5*(B84-B83)*(W84*AL84+W83*AL83)</f>
        <v>2.44910124058298E-012</v>
      </c>
      <c r="AR84" s="37" t="n">
        <f aca="false">0.5*(B84-B83)*(X84*AL84+X83*AL83)</f>
        <v>1.97909245922211E-014</v>
      </c>
      <c r="AS84" s="37" t="n">
        <f aca="false">0.5*(B84-B83)*(Y84*AL84+Y83*AL83)</f>
        <v>3.71850747868927E-013</v>
      </c>
      <c r="AT84" s="37" t="n">
        <f aca="false">0.5*(B84-B83)*(Z84*AL84+Z83*AL83)</f>
        <v>7.01683494422249E-015</v>
      </c>
      <c r="AU84" s="37" t="n">
        <f aca="false">0.5*(B84-B83)*(AA84*AL84+AA83*AL83)</f>
        <v>7.40059606320278E-012</v>
      </c>
      <c r="AV84" s="37" t="n">
        <f aca="false">0.5*(B84-B83)*(S84+S83)</f>
        <v>1.62823562943842E-012</v>
      </c>
      <c r="AW84" s="37" t="n">
        <f aca="false">0.5*(B84-B83)*(T84+T83)</f>
        <v>8.56446757917535E-012</v>
      </c>
      <c r="AX84" s="37" t="n">
        <f aca="false">0.5*(B84-B83)*(U84+U83)</f>
        <v>6.51621383886775E-012</v>
      </c>
      <c r="AY84" s="37" t="n">
        <f aca="false">0.5*(B84-B83)*(V84+V83)</f>
        <v>3.08352364668859E-009</v>
      </c>
      <c r="AZ84" s="37" t="n">
        <f aca="false">0.5*(B84-B83)*(W84+W83)</f>
        <v>1.66806853224869E-009</v>
      </c>
      <c r="BA84" s="37" t="n">
        <f aca="false">0.5*(B84-B83)*(X84+X83)</f>
        <v>1.34696701463743E-011</v>
      </c>
      <c r="BB84" s="37" t="n">
        <f aca="false">0.5*(B84-B83)*(Y84+Y83)</f>
        <v>2.5326536973443E-010</v>
      </c>
      <c r="BC84" s="37" t="n">
        <f aca="false">0.5*(B84-B83)*(Z84+Z83)</f>
        <v>4.77400191785988E-012</v>
      </c>
      <c r="BD84" s="37" t="n">
        <f aca="false">0.5*(B84-B83)*(AA84+AA83)</f>
        <v>5.03981013778342E-009</v>
      </c>
      <c r="BE84" s="37" t="n">
        <f aca="false">IF(B84&gt;2000,AK84,-999)</f>
        <v>-999</v>
      </c>
      <c r="BF84" s="37" t="n">
        <f aca="false">IF(AND(B84&lt;1000,AK84&gt;=-3),B84,1000000000)</f>
        <v>56.3676586252891</v>
      </c>
    </row>
    <row r="85" customFormat="false" ht="15" hidden="false" customHeight="false" outlineLevel="0" collapsed="false">
      <c r="A85" s="5" t="n">
        <v>46</v>
      </c>
      <c r="B85" s="47" t="n">
        <f aca="false">20*10^(A85/100)</f>
        <v>57.6806300625321</v>
      </c>
      <c r="C85" s="37" t="n">
        <f aca="false">2*PI()*B85</f>
        <v>362.418087317763</v>
      </c>
      <c r="D85" s="37" t="n">
        <f aca="false">SQRT(L_Rp0^2+L_Rp1^2*C85)</f>
        <v>77084466.3274492</v>
      </c>
      <c r="E85" s="5" t="str">
        <f aca="false">COMPLEX(D85,C85*L_Mp)</f>
        <v>77084466.3274492+5353900.62490564i</v>
      </c>
      <c r="F85" s="5" t="str">
        <f aca="false">IMDIV(1,E85)</f>
        <v>1.29105020942963e-08-8.96698758176199e-10i</v>
      </c>
      <c r="G85" s="5" t="str">
        <f aca="false">COMPLEX(0,C85*L_Cf)</f>
        <v>3.83227331413517e-13i</v>
      </c>
      <c r="H85" s="5" t="str">
        <f aca="false">COMPLEX(0,C85*L_Cbv)</f>
        <v>3.83227331413517e-12i</v>
      </c>
      <c r="I85" s="5" t="str">
        <f aca="false">COMPLEX(L_Rsq+L_Rh,C85*(L_Md+L_Mh)-1/(C85*L_Cd))</f>
        <v>552400610.124532-3178588016020.67i</v>
      </c>
      <c r="J85" s="5" t="str">
        <f aca="false">IMDIV(1,I85)</f>
        <v>5.46746048725162e-17+3.14605090297179e-13i</v>
      </c>
      <c r="K85" s="5" t="str">
        <f aca="false">IMSUM(F85,G85,H85)</f>
        <v>1.29105020942963e-08-8.9248325753065e-10i</v>
      </c>
      <c r="L85" s="5" t="str">
        <f aca="false">IMSUM(IMPRODUCT(IMSUM(F85,G85),H85),IMPRODUCT(IMSUM(J85,L_Yv),K85))</f>
        <v>2.95374159309188e-20+5.17532670139852e-20i</v>
      </c>
      <c r="M85" s="37" t="n">
        <f aca="false">IMABS(IMDIV(IMPRODUCT(J85,F85,H85),L85))^2</f>
        <v>6.85625902895134E-026</v>
      </c>
      <c r="N85" s="5" t="str">
        <f aca="false">IMDIV(IMPRODUCT(L_Yv,K85,E85),H85)</f>
        <v>0.000169585825920304-0.521871666584992i</v>
      </c>
      <c r="O85" s="37" t="n">
        <f aca="false">IMABS(IMSUM(1,IMPRODUCT(E85,G85),N85))^2</f>
        <v>1.27265430036363</v>
      </c>
      <c r="P85" s="37" t="n">
        <f aca="false">IMABS(N85)^2</f>
        <v>0.27235006514355</v>
      </c>
      <c r="Q85" s="37" t="n">
        <f aca="false">p_Rb^2/(1+(C85*p_Rb*L_Ctot)^2)</f>
        <v>1.25502449346065E+018</v>
      </c>
      <c r="R85" s="37" t="n">
        <f aca="false">M85*L_Kt^2*Q85</f>
        <v>1.7269383885427E-005</v>
      </c>
      <c r="S85" s="37" t="n">
        <f aca="false">L_kT4*D85</f>
        <v>1.26924352844638E-012</v>
      </c>
      <c r="T85" s="37" t="n">
        <f aca="false">L_kT4*L_Rsq*O85</f>
        <v>6.57388482290904E-012</v>
      </c>
      <c r="U85" s="37" t="n">
        <f aca="false">L_kT4*L_Rh*O85</f>
        <v>5.00169320067497E-012</v>
      </c>
      <c r="V85" s="37" t="n">
        <f aca="false">L_kT4*p_Rv*P85</f>
        <v>2.24220633627392E-009</v>
      </c>
      <c r="W85" s="37" t="n">
        <f aca="false">L_kT4/p_Rb*Q85/R85</f>
        <v>1.19661225348191E-009</v>
      </c>
      <c r="X85" s="37" t="n">
        <f aca="false">p_en^2*(1+p_fc/B85)/R85</f>
        <v>1.01309805436921E-011</v>
      </c>
      <c r="Y85" s="37" t="n">
        <f aca="false">p_in^2*Q85/R85</f>
        <v>1.81683449419369E-010</v>
      </c>
      <c r="Z85" s="37" t="n">
        <f aca="false">p_eo^2/L_G^2/R85</f>
        <v>3.67098954537354E-012</v>
      </c>
      <c r="AA85" s="37" t="n">
        <f aca="false">SUM(S85:Z85)</f>
        <v>3.64714883081629E-009</v>
      </c>
      <c r="AB85" s="47" t="n">
        <f aca="false">10*LOG10(AA85/L_PREF^2)</f>
        <v>9.59893494794541</v>
      </c>
      <c r="AC85" s="47" t="n">
        <f aca="false">10*LOG10(S85/L_PREF^2)</f>
        <v>-24.9851503360404</v>
      </c>
      <c r="AD85" s="47" t="n">
        <f aca="false">10*LOG10(T85/L_PREF^2)</f>
        <v>-17.842379005287</v>
      </c>
      <c r="AE85" s="47" t="n">
        <f aca="false">10*LOG10(U85/L_PREF^2)</f>
        <v>-19.0294294234617</v>
      </c>
      <c r="AF85" s="47" t="n">
        <f aca="false">10*LOG10(V85/L_PREF^2)</f>
        <v>7.4861558418429</v>
      </c>
      <c r="AG85" s="47" t="n">
        <f aca="false">10*LOG10(W85/L_PREF^2)</f>
        <v>4.75893454438913</v>
      </c>
      <c r="AH85" s="47" t="n">
        <f aca="false">10*LOG10(X85/L_PREF^2)</f>
        <v>-15.9640851002434</v>
      </c>
      <c r="AI85" s="47" t="n">
        <f aca="false">10*LOG10(Y85/L_PREF^2)</f>
        <v>-3.42744624577003</v>
      </c>
      <c r="AJ85" s="47" t="n">
        <f aca="false">10*LOG10(Z85/L_PREF^2)</f>
        <v>-20.3727684365128</v>
      </c>
      <c r="AK85" s="47" t="n">
        <f aca="false">10*LOG10(R85/$R$6)</f>
        <v>-0.914940609913164</v>
      </c>
      <c r="AL85" s="37" t="n">
        <f aca="false">(12194^2*B85^4/((B85^2+20.6^2)*SQRT((B85^2+107.7^2)*(B85^2+737.9^2))*(B85^2+12194^2))*1.2589254)^2</f>
        <v>0.00168747043757768</v>
      </c>
      <c r="AM85" s="37" t="n">
        <f aca="false">0.5*(B85-B84)*(S85*AL85+S84*AL84)</f>
        <v>2.68789950568595E-015</v>
      </c>
      <c r="AN85" s="37" t="n">
        <f aca="false">0.5*(B85-B84)*(T85*AL85+T84*AL84)</f>
        <v>1.39894558961912E-014</v>
      </c>
      <c r="AO85" s="37" t="n">
        <f aca="false">0.5*(B85-B84)*(U85*AL85+U84*AL84)</f>
        <v>1.06437773587519E-014</v>
      </c>
      <c r="AP85" s="37" t="n">
        <f aca="false">0.5*(B85-B84)*(V85*AL85+V84*AL84)</f>
        <v>4.85538916608359E-012</v>
      </c>
      <c r="AQ85" s="37" t="n">
        <f aca="false">0.5*(B85-B84)*(W85*AL85+W84*AL84)</f>
        <v>2.60245697778653E-012</v>
      </c>
      <c r="AR85" s="37" t="n">
        <f aca="false">0.5*(B85-B84)*(X85*AL85+X84*AL84)</f>
        <v>2.16993659773292E-014</v>
      </c>
      <c r="AS85" s="37" t="n">
        <f aca="false">0.5*(B85-B84)*(Y85*AL85+Y84*AL84)</f>
        <v>3.95134981539707E-013</v>
      </c>
      <c r="AT85" s="37" t="n">
        <f aca="false">0.5*(B85-B84)*(Z85*AL85+Z84*AL84)</f>
        <v>7.80756612627334E-015</v>
      </c>
      <c r="AU85" s="37" t="n">
        <f aca="false">0.5*(B85-B84)*(AA85*AL85+AA84*AL84)</f>
        <v>7.90980919027405E-012</v>
      </c>
      <c r="AV85" s="37" t="n">
        <f aca="false">0.5*(B85-B84)*(S85+S84)</f>
        <v>1.66637356265817E-012</v>
      </c>
      <c r="AW85" s="37" t="n">
        <f aca="false">0.5*(B85-B84)*(T85+T84)</f>
        <v>8.67485142724828E-012</v>
      </c>
      <c r="AX85" s="37" t="n">
        <f aca="false">0.5*(B85-B84)*(U85+U84)</f>
        <v>6.6001985993623E-012</v>
      </c>
      <c r="AY85" s="37" t="n">
        <f aca="false">0.5*(B85-B84)*(V85+V84)</f>
        <v>3.01332811229602E-009</v>
      </c>
      <c r="AZ85" s="37" t="n">
        <f aca="false">0.5*(B85-B84)*(W85+W84)</f>
        <v>1.61545435984736E-009</v>
      </c>
      <c r="BA85" s="37" t="n">
        <f aca="false">0.5*(B85-B84)*(X85+X84)</f>
        <v>1.3459949493433E-011</v>
      </c>
      <c r="BB85" s="37" t="n">
        <f aca="false">0.5*(B85-B84)*(Y85+Y84)</f>
        <v>2.45276880311558E-010</v>
      </c>
      <c r="BC85" s="37" t="n">
        <f aca="false">0.5*(B85-B84)*(Z85+Z84)</f>
        <v>4.84133388808359E-012</v>
      </c>
      <c r="BD85" s="37" t="n">
        <f aca="false">0.5*(B85-B84)*(AA85+AA84)</f>
        <v>4.90930205942572E-009</v>
      </c>
      <c r="BE85" s="37" t="n">
        <f aca="false">IF(B85&gt;2000,AK85,-999)</f>
        <v>-999</v>
      </c>
      <c r="BF85" s="37" t="n">
        <f aca="false">IF(AND(B85&lt;1000,AK85&gt;=-3),B85,1000000000)</f>
        <v>57.6806300625321</v>
      </c>
    </row>
    <row r="86" customFormat="false" ht="15" hidden="false" customHeight="false" outlineLevel="0" collapsed="false">
      <c r="A86" s="5" t="n">
        <v>47</v>
      </c>
      <c r="B86" s="47" t="n">
        <f aca="false">20*10^(A86/100)</f>
        <v>59.0241845333277</v>
      </c>
      <c r="C86" s="37" t="n">
        <f aca="false">2*PI()*B86</f>
        <v>370.859889028061</v>
      </c>
      <c r="D86" s="37" t="n">
        <f aca="false">SQRT(L_Rp0^2+L_Rp1^2*C86)</f>
        <v>77094588.3812088</v>
      </c>
      <c r="E86" s="5" t="str">
        <f aca="false">COMPLEX(D86,C86*L_Mp)</f>
        <v>77094588.3812087+5478608.99083349i</v>
      </c>
      <c r="F86" s="5" t="str">
        <f aca="false">IMDIV(1,E86)</f>
        <v>1.29059040149315e-08-9.17138326511543e-10i</v>
      </c>
      <c r="G86" s="5" t="str">
        <f aca="false">COMPLEX(0,C86*L_Cf)</f>
        <v>3.92153842685906e-13i</v>
      </c>
      <c r="H86" s="5" t="str">
        <f aca="false">COMPLEX(0,C86*L_Cbv)</f>
        <v>3.92153842685906e-12i</v>
      </c>
      <c r="I86" s="5" t="str">
        <f aca="false">COMPLEX(L_Rsq+L_Rh,C86*(L_Md+L_Mh)-1/(C86*L_Cd))</f>
        <v>552400610.124532-3106234456446.28i</v>
      </c>
      <c r="J86" s="5" t="str">
        <f aca="false">IMDIV(1,I86)</f>
        <v>5.72513418523062e-17+3.21933190297034e-13i</v>
      </c>
      <c r="K86" s="5" t="str">
        <f aca="false">IMSUM(F86,G86,H86)</f>
        <v>1.29059040149315e-08-9.12824634241998e-10i</v>
      </c>
      <c r="L86" s="5" t="str">
        <f aca="false">IMSUM(IMPRODUCT(IMSUM(F86,G86),H86),IMPRODUCT(IMSUM(J86,L_Yv),K86))</f>
        <v>2.97014708006658e-20+5.29401358521835e-20i</v>
      </c>
      <c r="M86" s="37" t="n">
        <f aca="false">IMABS(IMDIV(IMPRODUCT(J86,F86,H86),L86))^2</f>
        <v>7.24087282905593E-026</v>
      </c>
      <c r="N86" s="5" t="str">
        <f aca="false">IMDIV(IMPRODUCT(L_Yv,K86,E86),H86)</f>
        <v>0.000169608094438537-0.509991874677445i</v>
      </c>
      <c r="O86" s="37" t="n">
        <f aca="false">IMABS(IMSUM(1,IMPRODUCT(E86,G86),N86))^2</f>
        <v>1.26039582336095</v>
      </c>
      <c r="P86" s="37" t="n">
        <f aca="false">IMABS(N86)^2</f>
        <v>0.260091741003921</v>
      </c>
      <c r="Q86" s="37" t="n">
        <f aca="false">p_Rb^2/(1+(C86*p_Rb*L_Ctot)^2)</f>
        <v>1.1985391542302E+018</v>
      </c>
      <c r="R86" s="37" t="n">
        <f aca="false">M86*L_Kt^2*Q86</f>
        <v>1.74172895368789E-005</v>
      </c>
      <c r="S86" s="37" t="n">
        <f aca="false">L_kT4*D86</f>
        <v>1.26941019433694E-012</v>
      </c>
      <c r="T86" s="37" t="n">
        <f aca="false">L_kT4*L_Rsq*O86</f>
        <v>6.51056376557489E-012</v>
      </c>
      <c r="U86" s="37" t="n">
        <f aca="false">L_kT4*L_Rh*O86</f>
        <v>4.95351582756006E-012</v>
      </c>
      <c r="V86" s="37" t="n">
        <f aca="false">L_kT4*p_Rv*P86</f>
        <v>2.1412858828733E-009</v>
      </c>
      <c r="W86" s="37" t="n">
        <f aca="false">L_kT4/p_Rb*Q86/R86</f>
        <v>1.13305174124413E-009</v>
      </c>
      <c r="X86" s="37" t="n">
        <f aca="false">p_en^2*(1+p_fc/B86)/R86</f>
        <v>9.89994049300529E-012</v>
      </c>
      <c r="Y86" s="37" t="n">
        <f aca="false">p_in^2*Q86/R86</f>
        <v>1.72032960652754E-010</v>
      </c>
      <c r="Z86" s="37" t="n">
        <f aca="false">p_eo^2/L_G^2/R86</f>
        <v>3.63981591763817E-012</v>
      </c>
      <c r="AA86" s="37" t="n">
        <f aca="false">SUM(S86:Z86)</f>
        <v>3.4726438309683E-009</v>
      </c>
      <c r="AB86" s="47" t="n">
        <f aca="false">10*LOG10(AA86/L_PREF^2)</f>
        <v>9.38600251188888</v>
      </c>
      <c r="AC86" s="47" t="n">
        <f aca="false">10*LOG10(S86/L_PREF^2)</f>
        <v>-24.9845800961842</v>
      </c>
      <c r="AD86" s="47" t="n">
        <f aca="false">10*LOG10(T86/L_PREF^2)</f>
        <v>-17.8844139451441</v>
      </c>
      <c r="AE86" s="47" t="n">
        <f aca="false">10*LOG10(U86/L_PREF^2)</f>
        <v>-19.0714643633188</v>
      </c>
      <c r="AF86" s="47" t="n">
        <f aca="false">10*LOG10(V86/L_PREF^2)</f>
        <v>7.28614662452163</v>
      </c>
      <c r="AG86" s="47" t="n">
        <f aca="false">10*LOG10(W86/L_PREF^2)</f>
        <v>4.52189751213047</v>
      </c>
      <c r="AH86" s="47" t="n">
        <f aca="false">10*LOG10(X86/L_PREF^2)</f>
        <v>-16.0642740719881</v>
      </c>
      <c r="AI86" s="47" t="n">
        <f aca="false">10*LOG10(Y86/L_PREF^2)</f>
        <v>-3.6644832780287</v>
      </c>
      <c r="AJ86" s="47" t="n">
        <f aca="false">10*LOG10(Z86/L_PREF^2)</f>
        <v>-20.4098057140845</v>
      </c>
      <c r="AK86" s="47" t="n">
        <f aca="false">10*LOG10(R86/$R$6)</f>
        <v>-0.877903332341488</v>
      </c>
      <c r="AL86" s="37" t="n">
        <f aca="false">(12194^2*B86^4/((B86^2+20.6^2)*SQRT((B86^2+107.7^2)*(B86^2+737.9^2))*(B86^2+12194^2))*1.2589254)^2</f>
        <v>0.00184929437700493</v>
      </c>
      <c r="AM86" s="37" t="n">
        <f aca="false">0.5*(B86-B85)*(S86*AL86+S85*AL85)</f>
        <v>3.01582571042663E-015</v>
      </c>
      <c r="AN86" s="37" t="n">
        <f aca="false">0.5*(B86-B85)*(T86*AL86+T85*AL85)</f>
        <v>1.55403472409218E-014</v>
      </c>
      <c r="AO86" s="37" t="n">
        <f aca="false">0.5*(B86-B85)*(U86*AL86+U85*AL85)</f>
        <v>1.18237619345224E-014</v>
      </c>
      <c r="AP86" s="37" t="n">
        <f aca="false">0.5*(B86-B85)*(V86*AL86+V85*AL85)</f>
        <v>5.20192371608081E-012</v>
      </c>
      <c r="AQ86" s="37" t="n">
        <f aca="false">0.5*(B86-B85)*(W86*AL86+W85*AL85)</f>
        <v>2.76409059347913E-012</v>
      </c>
      <c r="AR86" s="37" t="n">
        <f aca="false">0.5*(B86-B85)*(X86*AL86+X85*AL85)</f>
        <v>2.37833556789292E-014</v>
      </c>
      <c r="AS86" s="37" t="n">
        <f aca="false">0.5*(B86-B85)*(Y86*AL86+Y85*AL85)</f>
        <v>4.19676058029361E-013</v>
      </c>
      <c r="AT86" s="37" t="n">
        <f aca="false">0.5*(B86-B85)*(Z86*AL86+Z85*AL85)</f>
        <v>8.68324303689628E-015</v>
      </c>
      <c r="AU86" s="37" t="n">
        <f aca="false">0.5*(B86-B85)*(AA86*AL86+AA85*AL85)</f>
        <v>8.448536901191E-012</v>
      </c>
      <c r="AV86" s="37" t="n">
        <f aca="false">0.5*(B86-B85)*(S86+S85)</f>
        <v>1.7054097795237E-012</v>
      </c>
      <c r="AW86" s="37" t="n">
        <f aca="false">0.5*(B86-B85)*(T86+T85)</f>
        <v>8.78983469947635E-012</v>
      </c>
      <c r="AX86" s="37" t="n">
        <f aca="false">0.5*(B86-B85)*(U86+U85)</f>
        <v>6.68768279879492E-012</v>
      </c>
      <c r="AY86" s="37" t="n">
        <f aca="false">0.5*(B86-B85)*(V86+V85)</f>
        <v>2.94473028436647E-009</v>
      </c>
      <c r="AZ86" s="37" t="n">
        <f aca="false">0.5*(B86-B85)*(W86+W85)</f>
        <v>1.56501523778285E-009</v>
      </c>
      <c r="BA86" s="37" t="n">
        <f aca="false">0.5*(B86-B85)*(X86+X85)</f>
        <v>1.34563167565042E-011</v>
      </c>
      <c r="BB86" s="37" t="n">
        <f aca="false">0.5*(B86-B85)*(Y86+Y85)</f>
        <v>2.37618632073084E-010</v>
      </c>
      <c r="BC86" s="37" t="n">
        <f aca="false">0.5*(B86-B85)*(Z86+Z85)</f>
        <v>4.91123268247312E-012</v>
      </c>
      <c r="BD86" s="37" t="n">
        <f aca="false">0.5*(B86-B85)*(AA86+AA85)</f>
        <v>4.78291463093918E-009</v>
      </c>
      <c r="BE86" s="37" t="n">
        <f aca="false">IF(B86&gt;2000,AK86,-999)</f>
        <v>-999</v>
      </c>
      <c r="BF86" s="37" t="n">
        <f aca="false">IF(AND(B86&lt;1000,AK86&gt;=-3),B86,1000000000)</f>
        <v>59.0241845333277</v>
      </c>
    </row>
    <row r="87" customFormat="false" ht="15" hidden="false" customHeight="false" outlineLevel="0" collapsed="false">
      <c r="A87" s="5" t="n">
        <v>48</v>
      </c>
      <c r="B87" s="47" t="n">
        <f aca="false">20*10^(A87/100)</f>
        <v>60.3990344080403</v>
      </c>
      <c r="C87" s="37" t="n">
        <f aca="false">2*PI()*B87</f>
        <v>379.498325560433</v>
      </c>
      <c r="D87" s="37" t="n">
        <f aca="false">SQRT(L_Rp0^2+L_Rp1^2*C87)</f>
        <v>77104944.8323148</v>
      </c>
      <c r="E87" s="5" t="str">
        <f aca="false">COMPLEX(D87,C87*L_Mp)</f>
        <v>77104944.8323148+5606222.18776624i</v>
      </c>
      <c r="F87" s="5" t="str">
        <f aca="false">IMDIV(1,E87)</f>
        <v>1.29011337335079e-08-9.38028324142179e-10i</v>
      </c>
      <c r="G87" s="5" t="str">
        <f aca="false">COMPLEX(0,C87*L_Cf)</f>
        <v>4.01288279116457e-13i</v>
      </c>
      <c r="H87" s="5" t="str">
        <f aca="false">COMPLEX(0,C87*L_Cbv)</f>
        <v>4.01288279116457e-12i</v>
      </c>
      <c r="I87" s="5" t="str">
        <f aca="false">COMPLEX(L_Rsq+L_Rh,C87*(L_Md+L_Mh)-1/(C87*L_Cd))</f>
        <v>552400610.124532-3035527863496.57i</v>
      </c>
      <c r="J87" s="5" t="str">
        <f aca="false">IMDIV(1,I87)</f>
        <v>5.99495169204743e-17+3.29431984107031e-13i</v>
      </c>
      <c r="K87" s="5" t="str">
        <f aca="false">IMSUM(F87,G87,H87)</f>
        <v>1.29011337335079e-08-9.33614153071898e-10i</v>
      </c>
      <c r="L87" s="5" t="str">
        <f aca="false">IMSUM(IMPRODUCT(IMSUM(F87,G87),H87),IMPRODUCT(IMSUM(J87,L_Yv),K87))</f>
        <v>2.98731906433332e-20+5.4153499352905e-20i</v>
      </c>
      <c r="M87" s="37" t="n">
        <f aca="false">IMABS(IMDIV(IMPRODUCT(J87,F87,H87),L87))^2</f>
        <v>7.64465115080501E-026</v>
      </c>
      <c r="N87" s="5" t="str">
        <f aca="false">IMDIV(IMPRODUCT(L_Yv,K87,E87),H87)</f>
        <v>0.000169630878631127-0.498382487212393i</v>
      </c>
      <c r="O87" s="37" t="n">
        <f aca="false">IMABS(IMSUM(1,IMPRODUCT(E87,G87),N87))^2</f>
        <v>1.2486890536539</v>
      </c>
      <c r="P87" s="37" t="n">
        <f aca="false">IMABS(N87)^2</f>
        <v>0.248385132334646</v>
      </c>
      <c r="Q87" s="37" t="n">
        <f aca="false">p_Rb^2/(1+(C87*p_Rb*L_Ctot)^2)</f>
        <v>1.14459606808936E+018</v>
      </c>
      <c r="R87" s="37" t="n">
        <f aca="false">M87*L_Kt^2*Q87</f>
        <v>1.75609233287169E-005</v>
      </c>
      <c r="S87" s="37" t="n">
        <f aca="false">L_kT4*D87</f>
        <v>1.26958071972513E-012</v>
      </c>
      <c r="T87" s="37" t="n">
        <f aca="false">L_kT4*L_Rsq*O87</f>
        <v>6.45009254752258E-012</v>
      </c>
      <c r="U87" s="37" t="n">
        <f aca="false">L_kT4*L_Rh*O87</f>
        <v>4.90750673425882E-012</v>
      </c>
      <c r="V87" s="37" t="n">
        <f aca="false">L_kT4*p_Rv*P87</f>
        <v>2.04490759810699E-009</v>
      </c>
      <c r="W87" s="37" t="n">
        <f aca="false">L_kT4/p_Rb*Q87/R87</f>
        <v>1.07320574938533E-009</v>
      </c>
      <c r="X87" s="37" t="n">
        <f aca="false">p_en^2*(1+p_fc/B87)/R87</f>
        <v>9.6784181385551E-012</v>
      </c>
      <c r="Y87" s="37" t="n">
        <f aca="false">p_in^2*Q87/R87</f>
        <v>1.62946453136896E-010</v>
      </c>
      <c r="Z87" s="37" t="n">
        <f aca="false">p_eo^2/L_G^2/R87</f>
        <v>3.61004524145807E-012</v>
      </c>
      <c r="AA87" s="37" t="n">
        <f aca="false">SUM(S87:Z87)</f>
        <v>3.30697544401074E-009</v>
      </c>
      <c r="AB87" s="47" t="n">
        <f aca="false">10*LOG10(AA87/L_PREF^2)</f>
        <v>9.17370978738378</v>
      </c>
      <c r="AC87" s="47" t="n">
        <f aca="false">10*LOG10(S87/L_PREF^2)</f>
        <v>-24.9839967287147</v>
      </c>
      <c r="AD87" s="47" t="n">
        <f aca="false">10*LOG10(T87/L_PREF^2)</f>
        <v>-17.9249404528339</v>
      </c>
      <c r="AE87" s="47" t="n">
        <f aca="false">10*LOG10(U87/L_PREF^2)</f>
        <v>-19.1119908710086</v>
      </c>
      <c r="AF87" s="47" t="n">
        <f aca="false">10*LOG10(V87/L_PREF^2)</f>
        <v>7.08613697279998</v>
      </c>
      <c r="AG87" s="47" t="n">
        <f aca="false">10*LOG10(W87/L_PREF^2)</f>
        <v>4.28622999283602</v>
      </c>
      <c r="AH87" s="47" t="n">
        <f aca="false">10*LOG10(X87/L_PREF^2)</f>
        <v>-16.1625561024224</v>
      </c>
      <c r="AI87" s="47" t="n">
        <f aca="false">10*LOG10(Y87/L_PREF^2)</f>
        <v>-3.90015079732314</v>
      </c>
      <c r="AJ87" s="47" t="n">
        <f aca="false">10*LOG10(Z87/L_PREF^2)</f>
        <v>-20.4454734676511</v>
      </c>
      <c r="AK87" s="47" t="n">
        <f aca="false">10*LOG10(R87/$R$6)</f>
        <v>-0.84223557877492</v>
      </c>
      <c r="AL87" s="37" t="n">
        <f aca="false">(12194^2*B87^4/((B87^2+20.6^2)*SQRT((B87^2+107.7^2)*(B87^2+737.9^2))*(B87^2+12194^2))*1.2589254)^2</f>
        <v>0.00202501458009459</v>
      </c>
      <c r="AM87" s="37" t="n">
        <f aca="false">0.5*(B87-B86)*(S87*AL87+S86*AL86)</f>
        <v>3.38105322369942E-015</v>
      </c>
      <c r="AN87" s="37" t="n">
        <f aca="false">0.5*(B87-B86)*(T87*AL87+T86*AL86)</f>
        <v>1.72553836014898E-014</v>
      </c>
      <c r="AO87" s="37" t="n">
        <f aca="false">0.5*(B87-B86)*(U87*AL87+U86*AL86)</f>
        <v>1.3128635070369E-014</v>
      </c>
      <c r="AP87" s="37" t="n">
        <f aca="false">0.5*(B87-B86)*(V87*AL87+V86*AL86)</f>
        <v>5.56871643502139E-012</v>
      </c>
      <c r="AQ87" s="37" t="n">
        <f aca="false">0.5*(B87-B86)*(W87*AL87+W86*AL86)</f>
        <v>2.93434449625709E-012</v>
      </c>
      <c r="AR87" s="37" t="n">
        <f aca="false">0.5*(B87-B86)*(X87*AL87+X86*AL86)</f>
        <v>2.60581085760572E-014</v>
      </c>
      <c r="AS87" s="37" t="n">
        <f aca="false">0.5*(B87-B86)*(Y87*AL87+Y86*AL86)</f>
        <v>4.45525965753273E-013</v>
      </c>
      <c r="AT87" s="37" t="n">
        <f aca="false">0.5*(B87-B86)*(Z87*AL87+Z86*AL86)</f>
        <v>9.65246719300788E-015</v>
      </c>
      <c r="AU87" s="37" t="n">
        <f aca="false">0.5*(B87-B86)*(AA87*AL87+AA86*AL86)</f>
        <v>9.01806254469637E-012</v>
      </c>
      <c r="AV87" s="37" t="n">
        <f aca="false">0.5*(B87-B86)*(S87+S86)</f>
        <v>1.74536567004734E-012</v>
      </c>
      <c r="AW87" s="37" t="n">
        <f aca="false">0.5*(B87-B86)*(T87+T86)</f>
        <v>8.90947835412762E-012</v>
      </c>
      <c r="AX87" s="37" t="n">
        <f aca="false">0.5*(B87-B86)*(U87+U86)</f>
        <v>6.77871281682745E-012</v>
      </c>
      <c r="AY87" s="37" t="n">
        <f aca="false">0.5*(B87-B86)*(V87+V86)</f>
        <v>2.87769379142425E-009</v>
      </c>
      <c r="AZ87" s="37" t="n">
        <f aca="false">0.5*(B87-B86)*(W87+W86)</f>
        <v>1.51663641728784E-009</v>
      </c>
      <c r="BA87" s="37" t="n">
        <f aca="false">0.5*(B87-B86)*(X87+X86)</f>
        <v>1.34586519558397E-011</v>
      </c>
      <c r="BB87" s="37" t="n">
        <f aca="false">0.5*(B87-B86)*(Y87+Y86)</f>
        <v>2.30273202540002E-010</v>
      </c>
      <c r="BC87" s="37" t="n">
        <f aca="false">0.5*(B87-B86)*(Z87+Z86)</f>
        <v>4.98373535313364E-012</v>
      </c>
      <c r="BD87" s="37" t="n">
        <f aca="false">0.5*(B87-B86)*(AA87+AA86)</f>
        <v>4.66047935540206E-009</v>
      </c>
      <c r="BE87" s="37" t="n">
        <f aca="false">IF(B87&gt;2000,AK87,-999)</f>
        <v>-999</v>
      </c>
      <c r="BF87" s="37" t="n">
        <f aca="false">IF(AND(B87&lt;1000,AK87&gt;=-3),B87,1000000000)</f>
        <v>60.3990344080403</v>
      </c>
    </row>
    <row r="88" customFormat="false" ht="15" hidden="false" customHeight="false" outlineLevel="0" collapsed="false">
      <c r="A88" s="5" t="n">
        <v>49</v>
      </c>
      <c r="B88" s="47" t="n">
        <f aca="false">20*10^(A88/100)</f>
        <v>61.8059086502718</v>
      </c>
      <c r="C88" s="37" t="n">
        <f aca="false">2*PI()*B88</f>
        <v>388.337977128272</v>
      </c>
      <c r="D88" s="37" t="n">
        <f aca="false">SQRT(L_Rp0^2+L_Rp1^2*C88)</f>
        <v>77115541.0763346</v>
      </c>
      <c r="E88" s="5" t="str">
        <f aca="false">COMPLEX(D88,C88*L_Mp)</f>
        <v>77115541.0763346+5736807.87791008i</v>
      </c>
      <c r="F88" s="5" t="str">
        <f aca="false">IMDIV(1,E88)</f>
        <v>1.2896184354741e-08-9.59377720348551e-10i</v>
      </c>
      <c r="G88" s="5" t="str">
        <f aca="false">COMPLEX(0,C88*L_Cf)</f>
        <v>4.10635483904274e-13i</v>
      </c>
      <c r="H88" s="5" t="str">
        <f aca="false">COMPLEX(0,C88*L_Cbv)</f>
        <v>4.10635483904274e-12i</v>
      </c>
      <c r="I88" s="5" t="str">
        <f aca="false">COMPLEX(L_Rsq+L_Rh,C88*(L_Md+L_Mh)-1/(C88*L_Cd))</f>
        <v>552400610.124532-2966430747600.04i</v>
      </c>
      <c r="J88" s="5" t="str">
        <f aca="false">IMDIV(1,I88)</f>
        <v>6.27748532986251e-17+3.37105447727769e-13i</v>
      </c>
      <c r="K88" s="5" t="str">
        <f aca="false">IMSUM(F88,G88,H88)</f>
        <v>1.2896184354741e-08-9.54860730025604e-10i</v>
      </c>
      <c r="L88" s="5" t="str">
        <f aca="false">IMSUM(IMPRODUCT(IMSUM(F88,G88),H88),IMPRODUCT(IMSUM(J88,L_Yv),K88))</f>
        <v>3.00529261488926e-20+5.53939016298694e-20i</v>
      </c>
      <c r="M88" s="37" t="n">
        <f aca="false">IMABS(IMDIV(IMPRODUCT(J88,F88,H88),L88))^2</f>
        <v>8.06847523828883E-026</v>
      </c>
      <c r="N88" s="5" t="str">
        <f aca="false">IMDIV(IMPRODUCT(L_Yv,K88,E88),H88)</f>
        <v>0.000169654190367922-0.487037348738932i</v>
      </c>
      <c r="O88" s="37" t="n">
        <f aca="false">IMABS(IMSUM(1,IMPRODUCT(E88,G88),N88))^2</f>
        <v>1.23750915954805</v>
      </c>
      <c r="P88" s="37" t="n">
        <f aca="false">IMABS(N88)^2</f>
        <v>0.237205407849192</v>
      </c>
      <c r="Q88" s="37" t="n">
        <f aca="false">p_Rb^2/(1+(C88*p_Rb*L_Ctot)^2)</f>
        <v>1.09308081532502E+018</v>
      </c>
      <c r="R88" s="37" t="n">
        <f aca="false">M88*L_Kt^2*Q88</f>
        <v>1.77003220262327E-005</v>
      </c>
      <c r="S88" s="37" t="n">
        <f aca="false">L_kT4*D88</f>
        <v>1.26975519345231E-012</v>
      </c>
      <c r="T88" s="37" t="n">
        <f aca="false">L_kT4*L_Rsq*O88</f>
        <v>6.39234290084857E-012</v>
      </c>
      <c r="U88" s="37" t="n">
        <f aca="false">L_kT4*L_Rh*O88</f>
        <v>4.86356832905522E-012</v>
      </c>
      <c r="V88" s="37" t="n">
        <f aca="false">L_kT4*p_Rv*P88</f>
        <v>1.95286705071124E-009</v>
      </c>
      <c r="W88" s="37" t="n">
        <f aca="false">L_kT4/p_Rb*Q88/R88</f>
        <v>1.01683196946008E-009</v>
      </c>
      <c r="X88" s="37" t="n">
        <f aca="false">p_en^2*(1+p_fc/B88)/R88</f>
        <v>9.46592779324379E-012</v>
      </c>
      <c r="Y88" s="37" t="n">
        <f aca="false">p_in^2*Q88/R88</f>
        <v>1.54387136813814E-010</v>
      </c>
      <c r="Z88" s="37" t="n">
        <f aca="false">p_eo^2/L_G^2/R88</f>
        <v>3.581614368625E-012</v>
      </c>
      <c r="AA88" s="37" t="n">
        <f aca="false">SUM(S88:Z88)</f>
        <v>3.14965936557036E-009</v>
      </c>
      <c r="AB88" s="47" t="n">
        <f aca="false">10*LOG10(AA88/L_PREF^2)</f>
        <v>8.96203596222768</v>
      </c>
      <c r="AC88" s="47" t="n">
        <f aca="false">10*LOG10(S88/L_PREF^2)</f>
        <v>-24.9833999350674</v>
      </c>
      <c r="AD88" s="47" t="n">
        <f aca="false">10*LOG10(T88/L_PREF^2)</f>
        <v>-17.9639992778297</v>
      </c>
      <c r="AE88" s="47" t="n">
        <f aca="false">10*LOG10(U88/L_PREF^2)</f>
        <v>-19.1510496960044</v>
      </c>
      <c r="AF88" s="47" t="n">
        <f aca="false">10*LOG10(V88/L_PREF^2)</f>
        <v>6.88612686620491</v>
      </c>
      <c r="AG88" s="47" t="n">
        <f aca="false">10*LOG10(W88/L_PREF^2)</f>
        <v>4.05189200763466</v>
      </c>
      <c r="AH88" s="47" t="n">
        <f aca="false">10*LOG10(X88/L_PREF^2)</f>
        <v>-16.258968040119</v>
      </c>
      <c r="AI88" s="47" t="n">
        <f aca="false">10*LOG10(Y88/L_PREF^2)</f>
        <v>-4.1344887825245</v>
      </c>
      <c r="AJ88" s="47" t="n">
        <f aca="false">10*LOG10(Z88/L_PREF^2)</f>
        <v>-20.4798116765806</v>
      </c>
      <c r="AK88" s="47" t="n">
        <f aca="false">10*LOG10(R88/$R$6)</f>
        <v>-0.807897369845411</v>
      </c>
      <c r="AL88" s="37" t="n">
        <f aca="false">(12194^2*B88^4/((B88^2+20.6^2)*SQRT((B88^2+107.7^2)*(B88^2+737.9^2))*(B88^2+12194^2))*1.2589254)^2</f>
        <v>0.00221566718081678</v>
      </c>
      <c r="AM88" s="37" t="n">
        <f aca="false">0.5*(B88-B87)*(S88*AL88+S87*AL87)</f>
        <v>3.78749846765511E-015</v>
      </c>
      <c r="AN88" s="37" t="n">
        <f aca="false">0.5*(B88-B87)*(T88*AL88+T87*AL87)</f>
        <v>1.91509601360299E-014</v>
      </c>
      <c r="AO88" s="37" t="n">
        <f aca="false">0.5*(B88-B87)*(U88*AL88+U87*AL87)</f>
        <v>1.45708709049744E-014</v>
      </c>
      <c r="AP88" s="37" t="n">
        <f aca="false">0.5*(B88-B87)*(V88*AL88+V87*AL87)</f>
        <v>5.95661489239019E-012</v>
      </c>
      <c r="AQ88" s="37" t="n">
        <f aca="false">0.5*(B88-B87)*(W88*AL88+W87*AL87)</f>
        <v>3.11356640827347E-012</v>
      </c>
      <c r="AR88" s="37" t="n">
        <f aca="false">0.5*(B88-B87)*(X88*AL88+X87*AL87)</f>
        <v>2.85400502251631E-014</v>
      </c>
      <c r="AS88" s="37" t="n">
        <f aca="false">0.5*(B88-B87)*(Y88*AL88+Y87*AL87)</f>
        <v>4.72737499892191E-013</v>
      </c>
      <c r="AT88" s="37" t="n">
        <f aca="false">0.5*(B88-B87)*(Z88*AL88+Z87*AL87)</f>
        <v>1.07246443153486E-014</v>
      </c>
      <c r="AU88" s="37" t="n">
        <f aca="false">0.5*(B88-B87)*(AA88*AL88+AA87*AL87)</f>
        <v>9.61969282460502E-012</v>
      </c>
      <c r="AV88" s="37" t="n">
        <f aca="false">0.5*(B88-B87)*(S88+S87)</f>
        <v>1.78626314431136E-012</v>
      </c>
      <c r="AW88" s="37" t="n">
        <f aca="false">0.5*(B88-B87)*(T88+T87)</f>
        <v>9.03384581991698E-012</v>
      </c>
      <c r="AX88" s="37" t="n">
        <f aca="false">0.5*(B88-B87)*(U88+U87)</f>
        <v>6.87333691274347E-012</v>
      </c>
      <c r="AY88" s="37" t="n">
        <f aca="false">0.5*(B88-B87)*(V88+V87)</f>
        <v>2.8121830898342E-009</v>
      </c>
      <c r="AZ88" s="37" t="n">
        <f aca="false">0.5*(B88-B87)*(W88+W87)</f>
        <v>1.47021011596794E-009</v>
      </c>
      <c r="BA88" s="37" t="n">
        <f aca="false">0.5*(B88-B87)*(X88+X87)</f>
        <v>1.34668435879085E-011</v>
      </c>
      <c r="BB88" s="37" t="n">
        <f aca="false">0.5*(B88-B87)*(Y88+Y87)</f>
        <v>2.23224226948252E-010</v>
      </c>
      <c r="BC88" s="37" t="n">
        <f aca="false">0.5*(B88-B87)*(Z88+Z87)</f>
        <v>5.05888033216121E-012</v>
      </c>
      <c r="BD88" s="37" t="n">
        <f aca="false">0.5*(B88-B87)*(AA88+AA87)</f>
        <v>4.54183660254743E-009</v>
      </c>
      <c r="BE88" s="37" t="n">
        <f aca="false">IF(B88&gt;2000,AK88,-999)</f>
        <v>-999</v>
      </c>
      <c r="BF88" s="37" t="n">
        <f aca="false">IF(AND(B88&lt;1000,AK88&gt;=-3),B88,1000000000)</f>
        <v>61.8059086502718</v>
      </c>
    </row>
    <row r="89" customFormat="false" ht="15" hidden="false" customHeight="false" outlineLevel="0" collapsed="false">
      <c r="A89" s="5" t="n">
        <v>50</v>
      </c>
      <c r="B89" s="47" t="n">
        <f aca="false">20*10^(A89/100)</f>
        <v>63.2455532033676</v>
      </c>
      <c r="C89" s="37" t="n">
        <f aca="false">2*PI()*B89</f>
        <v>397.383530631844</v>
      </c>
      <c r="D89" s="37" t="n">
        <f aca="false">SQRT(L_Rp0^2+L_Rp1^2*C89)</f>
        <v>77126382.6315274</v>
      </c>
      <c r="E89" s="5" t="str">
        <f aca="false">COMPLEX(D89,C89*L_Mp)</f>
        <v>77126382.6315274+5870435.29952641i</v>
      </c>
      <c r="F89" s="5" t="str">
        <f aca="false">IMDIV(1,E89)</f>
        <v>1.28910487019597e-08-9.81195600854798e-10i</v>
      </c>
      <c r="G89" s="5" t="str">
        <f aca="false">COMPLEX(0,C89*L_Cf)</f>
        <v>4.2020041306106e-13i</v>
      </c>
      <c r="H89" s="5" t="str">
        <f aca="false">COMPLEX(0,C89*L_Cbv)</f>
        <v>4.2020041306106e-12i</v>
      </c>
      <c r="I89" s="5" t="str">
        <f aca="false">COMPLEX(L_Rsq+L_Rh,C89*(L_Md+L_Mh)-1/(C89*L_Cd))</f>
        <v>552400610.124532-2898906472551.25i</v>
      </c>
      <c r="J89" s="5" t="str">
        <f aca="false">IMDIV(1,I89)</f>
        <v>6.57333439374956e-17+3.44957649775016e-13i</v>
      </c>
      <c r="K89" s="5" t="str">
        <f aca="false">IMSUM(F89,G89,H89)</f>
        <v>1.28910487019597e-08-9.76573396311126e-10i</v>
      </c>
      <c r="L89" s="5" t="str">
        <f aca="false">IMSUM(IMPRODUCT(IMSUM(F89,G89),H89),IMPRODUCT(IMSUM(J89,L_Yv),K89))</f>
        <v>3.02410435231392e-20+5.66618947708432e-20i</v>
      </c>
      <c r="M89" s="37" t="n">
        <f aca="false">IMABS(IMDIV(IMPRODUCT(J89,F89,H89),L89))^2</f>
        <v>8.51326742272116E-026</v>
      </c>
      <c r="N89" s="5" t="str">
        <f aca="false">IMDIV(IMPRODUCT(L_Yv,K89,E89),H89)</f>
        <v>0.000169678041789262-0.475950443914472i</v>
      </c>
      <c r="O89" s="37" t="n">
        <f aca="false">IMABS(IMSUM(1,IMPRODUCT(E89,G89),N89))^2</f>
        <v>1.22683242692127</v>
      </c>
      <c r="P89" s="37" t="n">
        <f aca="false">IMABS(N89)^2</f>
        <v>0.226528853853021</v>
      </c>
      <c r="Q89" s="37" t="n">
        <f aca="false">p_Rb^2/(1+(C89*p_Rb*L_Ctot)^2)</f>
        <v>1.04388412591336E+018</v>
      </c>
      <c r="R89" s="37" t="n">
        <f aca="false">M89*L_Kt^2*Q89</f>
        <v>1.78355289745998E-005</v>
      </c>
      <c r="S89" s="37" t="n">
        <f aca="false">L_kT4*D89</f>
        <v>1.26993370638004E-012</v>
      </c>
      <c r="T89" s="37" t="n">
        <f aca="false">L_kT4*L_Rsq*O89</f>
        <v>6.33719233045924E-012</v>
      </c>
      <c r="U89" s="37" t="n">
        <f aca="false">L_kT4*L_Rh*O89</f>
        <v>4.8216074124343E-012</v>
      </c>
      <c r="V89" s="37" t="n">
        <f aca="false">L_kT4*p_Rv*P89</f>
        <v>1.86496901034481E-009</v>
      </c>
      <c r="W89" s="37" t="n">
        <f aca="false">L_kT4/p_Rb*Q89/R89</f>
        <v>9.63705609105224E-010</v>
      </c>
      <c r="X89" s="37" t="n">
        <f aca="false">p_en^2*(1+p_fc/B89)/R89</f>
        <v>9.26201209735049E-012</v>
      </c>
      <c r="Y89" s="37" t="n">
        <f aca="false">p_in^2*Q89/R89</f>
        <v>1.46320881118804E-010</v>
      </c>
      <c r="Z89" s="37" t="n">
        <f aca="false">p_eo^2/L_G^2/R89</f>
        <v>3.55446299286827E-012</v>
      </c>
      <c r="AA89" s="37" t="n">
        <f aca="false">SUM(S89:Z89)</f>
        <v>3.00024070910834E-009</v>
      </c>
      <c r="AB89" s="47" t="n">
        <f aca="false">10*LOG10(AA89/L_PREF^2)</f>
        <v>8.75096108206306</v>
      </c>
      <c r="AC89" s="47" t="n">
        <f aca="false">10*LOG10(S89/L_PREF^2)</f>
        <v>-24.9827894100571</v>
      </c>
      <c r="AD89" s="47" t="n">
        <f aca="false">10*LOG10(T89/L_PREF^2)</f>
        <v>-18.0016310339325</v>
      </c>
      <c r="AE89" s="47" t="n">
        <f aca="false">10*LOG10(U89/L_PREF^2)</f>
        <v>-19.1886814521072</v>
      </c>
      <c r="AF89" s="47" t="n">
        <f aca="false">10*LOG10(V89/L_PREF^2)</f>
        <v>6.68611628329848</v>
      </c>
      <c r="AG89" s="47" t="n">
        <f aca="false">10*LOG10(W89/L_PREF^2)</f>
        <v>3.81884395409747</v>
      </c>
      <c r="AH89" s="47" t="n">
        <f aca="false">10*LOG10(X89/L_PREF^2)</f>
        <v>-16.3535464742661</v>
      </c>
      <c r="AI89" s="47" t="n">
        <f aca="false">10*LOG10(Y89/L_PREF^2)</f>
        <v>-4.36753683606169</v>
      </c>
      <c r="AJ89" s="47" t="n">
        <f aca="false">10*LOG10(Z89/L_PREF^2)</f>
        <v>-20.5128599437765</v>
      </c>
      <c r="AK89" s="47" t="n">
        <f aca="false">10*LOG10(R89/$R$6)</f>
        <v>-0.77484910264949</v>
      </c>
      <c r="AL89" s="37" t="n">
        <f aca="false">(12194^2*B89^4/((B89^2+20.6^2)*SQRT((B89^2+107.7^2)*(B89^2+737.9^2))*(B89^2+12194^2))*1.2589254)^2</f>
        <v>0.00242235090439589</v>
      </c>
      <c r="AM89" s="37" t="n">
        <f aca="false">0.5*(B89-B88)*(S89*AL89+S88*AL88)</f>
        <v>4.23945086333897E-015</v>
      </c>
      <c r="AN89" s="37" t="n">
        <f aca="false">0.5*(B89-B88)*(T89*AL89+T88*AL88)</f>
        <v>2.12449843548857E-014</v>
      </c>
      <c r="AO89" s="37" t="n">
        <f aca="false">0.5*(B89-B88)*(U89*AL89+U88*AL88)</f>
        <v>1.61640942393718E-014</v>
      </c>
      <c r="AP89" s="37" t="n">
        <f aca="false">0.5*(B89-B88)*(V89*AL89+V88*AL88)</f>
        <v>6.36647733983234E-012</v>
      </c>
      <c r="AQ89" s="37" t="n">
        <f aca="false">0.5*(B89-B88)*(W89*AL89+W88*AL88)</f>
        <v>3.30210866382146E-012</v>
      </c>
      <c r="AR89" s="37" t="n">
        <f aca="false">0.5*(B89-B88)*(X89*AL89+X88*AL88)</f>
        <v>3.12469011972608E-014</v>
      </c>
      <c r="AS89" s="37" t="n">
        <f aca="false">0.5*(B89-B88)*(Y89*AL89+Y88*AL88)</f>
        <v>5.01364155895078E-013</v>
      </c>
      <c r="AT89" s="37" t="n">
        <f aca="false">0.5*(B89-B88)*(Z89*AL89+Z88*AL88)</f>
        <v>1.19100512999369E-014</v>
      </c>
      <c r="AU89" s="37" t="n">
        <f aca="false">0.5*(B89-B88)*(AA89*AL89+AA88*AL88)</f>
        <v>1.02547556415037E-011</v>
      </c>
      <c r="AV89" s="37" t="n">
        <f aca="false">0.5*(B89-B88)*(S89+S88)</f>
        <v>1.82812464560074E-012</v>
      </c>
      <c r="AW89" s="37" t="n">
        <f aca="false">0.5*(B89-B88)*(T89+T88)</f>
        <v>9.16300302959657E-012</v>
      </c>
      <c r="AX89" s="37" t="n">
        <f aca="false">0.5*(B89-B88)*(U89+U88)</f>
        <v>6.97160525100539E-012</v>
      </c>
      <c r="AY89" s="37" t="n">
        <f aca="false">0.5*(B89-B88)*(V89+V88)</f>
        <v>2.748163444956E-009</v>
      </c>
      <c r="AZ89" s="37" t="n">
        <f aca="false">0.5*(B89-B88)*(W89+W88)</f>
        <v>1.42563506859153E-009</v>
      </c>
      <c r="BA89" s="37" t="n">
        <f aca="false">0.5*(B89-B88)*(X89+X88)</f>
        <v>1.34807883270996E-011</v>
      </c>
      <c r="BB89" s="37" t="n">
        <f aca="false">0.5*(B89-B88)*(Y89+Y88)</f>
        <v>2.16456330044461E-010</v>
      </c>
      <c r="BC89" s="37" t="n">
        <f aca="false">0.5*(B89-B88)*(Z89+Z88)</f>
        <v>5.13670745197195E-012</v>
      </c>
      <c r="BD89" s="37" t="n">
        <f aca="false">0.5*(B89-B88)*(AA89+AA88)</f>
        <v>4.42683507229727E-009</v>
      </c>
      <c r="BE89" s="37" t="n">
        <f aca="false">IF(B89&gt;2000,AK89,-999)</f>
        <v>-999</v>
      </c>
      <c r="BF89" s="37" t="n">
        <f aca="false">IF(AND(B89&lt;1000,AK89&gt;=-3),B89,1000000000)</f>
        <v>63.2455532033676</v>
      </c>
    </row>
    <row r="90" customFormat="false" ht="15" hidden="false" customHeight="false" outlineLevel="0" collapsed="false">
      <c r="A90" s="5" t="n">
        <v>51</v>
      </c>
      <c r="B90" s="47" t="n">
        <f aca="false">20*10^(A90/100)</f>
        <v>64.7187313859257</v>
      </c>
      <c r="C90" s="37" t="n">
        <f aca="false">2*PI()*B90</f>
        <v>406.63978214335</v>
      </c>
      <c r="D90" s="37" t="n">
        <f aca="false">SQRT(L_Rp0^2+L_Rp1^2*C90)</f>
        <v>77137475.1415646</v>
      </c>
      <c r="E90" s="5" t="str">
        <f aca="false">COMPLEX(D90,C90*L_Mp)</f>
        <v>77137475.1415646+6007175.30364294i</v>
      </c>
      <c r="F90" s="5" t="str">
        <f aca="false">IMDIV(1,E90)</f>
        <v>1.2885719306119e-08-1.00349116487588e-09i</v>
      </c>
      <c r="G90" s="5" t="str">
        <f aca="false">COMPLEX(0,C90*L_Cf)</f>
        <v>4.2998813803886e-13i</v>
      </c>
      <c r="H90" s="5" t="str">
        <f aca="false">COMPLEX(0,C90*L_Cbv)</f>
        <v>4.29988138038861e-12i</v>
      </c>
      <c r="I90" s="5" t="str">
        <f aca="false">COMPLEX(L_Rsq+L_Rh,C90*(L_Md+L_Mh)-1/(C90*L_Cd))</f>
        <v>552400610.124532-2832919236085.77i</v>
      </c>
      <c r="J90" s="5" t="str">
        <f aca="false">IMDIV(1,I90)</f>
        <v>6.88312642290931e-17+3.5299275363715e-13i</v>
      </c>
      <c r="K90" s="5" t="str">
        <f aca="false">IMSUM(F90,G90,H90)</f>
        <v>1.2885719306119e-08-9.98761295357453e-10i</v>
      </c>
      <c r="L90" s="5" t="str">
        <f aca="false">IMSUM(IMPRODUCT(IMSUM(F90,G90),H90),IMPRODUCT(IMSUM(J90,L_Yv),K90))</f>
        <v>3.04379251297085e-20+5.79580387210399e-20i</v>
      </c>
      <c r="M90" s="37" t="n">
        <f aca="false">IMABS(IMDIV(IMPRODUCT(J90,F90,H90),L90))^2</f>
        <v>8.97999313624461E-026</v>
      </c>
      <c r="N90" s="5" t="str">
        <f aca="false">IMDIV(IMPRODUCT(L_Yv,K90,E90),H90)</f>
        <v>0.000169702445311519-0.465115894315329i</v>
      </c>
      <c r="O90" s="37" t="n">
        <f aca="false">IMABS(IMSUM(1,IMPRODUCT(E90,G90),N90))^2</f>
        <v>1.21663620892279</v>
      </c>
      <c r="P90" s="37" t="n">
        <f aca="false">IMABS(N90)^2</f>
        <v>0.216332823943668</v>
      </c>
      <c r="Q90" s="37" t="n">
        <f aca="false">p_Rb^2/(1+(C90*p_Rb*L_Ctot)^2)</f>
        <v>9.96901647749681E+017</v>
      </c>
      <c r="R90" s="37" t="n">
        <f aca="false">M90*L_Kt^2*Q90</f>
        <v>1.79665935733269E-005</v>
      </c>
      <c r="S90" s="37" t="n">
        <f aca="false">L_kT4*D90</f>
        <v>1.27011635143487E-012</v>
      </c>
      <c r="T90" s="37" t="n">
        <f aca="false">L_kT4*L_Rsq*O90</f>
        <v>6.28452385424219E-012</v>
      </c>
      <c r="U90" s="37" t="n">
        <f aca="false">L_kT4*L_Rh*O90</f>
        <v>4.78153497939338E-012</v>
      </c>
      <c r="V90" s="37" t="n">
        <f aca="false">L_kT4*p_Rv*P90</f>
        <v>1.78102703347934E-009</v>
      </c>
      <c r="W90" s="37" t="n">
        <f aca="false">L_kT4/p_Rb*Q90/R90</f>
        <v>9.13618022042291E-010</v>
      </c>
      <c r="X90" s="37" t="n">
        <f aca="false">p_en^2*(1+p_fc/B90)/R90</f>
        <v>9.06624025170023E-012</v>
      </c>
      <c r="Y90" s="37" t="n">
        <f aca="false">p_in^2*Q90/R90</f>
        <v>1.38716006971638E-010</v>
      </c>
      <c r="Z90" s="37" t="n">
        <f aca="false">p_eo^2/L_G^2/R90</f>
        <v>3.52853352193381E-012</v>
      </c>
      <c r="AA90" s="37" t="n">
        <f aca="false">SUM(S90:Z90)</f>
        <v>2.85829201145198E-009</v>
      </c>
      <c r="AB90" s="47" t="n">
        <f aca="false">10*LOG10(AA90/L_PREF^2)</f>
        <v>8.54046604185047</v>
      </c>
      <c r="AC90" s="47" t="n">
        <f aca="false">10*LOG10(S90/L_PREF^2)</f>
        <v>-24.9821648417392</v>
      </c>
      <c r="AD90" s="47" t="n">
        <f aca="false">10*LOG10(T90/L_PREF^2)</f>
        <v>-18.0378761229861</v>
      </c>
      <c r="AE90" s="47" t="n">
        <f aca="false">10*LOG10(U90/L_PREF^2)</f>
        <v>-19.2249265411608</v>
      </c>
      <c r="AF90" s="47" t="n">
        <f aca="false">10*LOG10(V90/L_PREF^2)</f>
        <v>6.48610520163245</v>
      </c>
      <c r="AG90" s="47" t="n">
        <f aca="false">10*LOG10(W90/L_PREF^2)</f>
        <v>3.58704666557526</v>
      </c>
      <c r="AH90" s="47" t="n">
        <f aca="false">10*LOG10(X90/L_PREF^2)</f>
        <v>-16.4463276782466</v>
      </c>
      <c r="AI90" s="47" t="n">
        <f aca="false">10*LOG10(Y90/L_PREF^2)</f>
        <v>-4.5993341245839</v>
      </c>
      <c r="AJ90" s="47" t="n">
        <f aca="false">10*LOG10(Z90/L_PREF^2)</f>
        <v>-20.5446574363413</v>
      </c>
      <c r="AK90" s="47" t="n">
        <f aca="false">10*LOG10(R90/$R$6)</f>
        <v>-0.743051610084757</v>
      </c>
      <c r="AL90" s="37" t="n">
        <f aca="false">(12194^2*B90^4/((B90^2+20.6^2)*SQRT((B90^2+107.7^2)*(B90^2+737.9^2))*(B90^2+12194^2))*1.2589254)^2</f>
        <v>0.00264622952731178</v>
      </c>
      <c r="AM90" s="37" t="n">
        <f aca="false">0.5*(B90-B89)*(S90*AL90+S89*AL89)</f>
        <v>4.74160404305239E-015</v>
      </c>
      <c r="AN90" s="37" t="n">
        <f aca="false">0.5*(B90-B89)*(T90*AL90+T89*AL89)</f>
        <v>2.35570002184017E-014</v>
      </c>
      <c r="AO90" s="37" t="n">
        <f aca="false">0.5*(B90-B89)*(U90*AL90+U89*AL89)</f>
        <v>1.79231749558611E-014</v>
      </c>
      <c r="AP90" s="37" t="n">
        <f aca="false">0.5*(B90-B89)*(V90*AL90+V89*AL89)</f>
        <v>6.79917082585138E-012</v>
      </c>
      <c r="AQ90" s="37" t="n">
        <f aca="false">0.5*(B90-B89)*(W90*AL90+W89*AL89)</f>
        <v>3.50032744594594E-012</v>
      </c>
      <c r="AR90" s="37" t="n">
        <f aca="false">0.5*(B90-B89)*(X90*AL90+X89*AL89)</f>
        <v>3.41977661390074E-014</v>
      </c>
      <c r="AS90" s="37" t="n">
        <f aca="false">0.5*(B90-B89)*(Y90*AL90+Y89*AL89)</f>
        <v>5.31460013572693E-013</v>
      </c>
      <c r="AT90" s="37" t="n">
        <f aca="false">0.5*(B90-B89)*(Z90*AL90+Z89*AL89)</f>
        <v>1.32199078479426E-014</v>
      </c>
      <c r="AU90" s="37" t="n">
        <f aca="false">0.5*(B90-B89)*(AA90*AL90+AA89*AL89)</f>
        <v>1.09245977385743E-011</v>
      </c>
      <c r="AV90" s="37" t="n">
        <f aca="false">0.5*(B90-B89)*(S90+S89)</f>
        <v>1.87097316388914E-012</v>
      </c>
      <c r="AW90" s="37" t="n">
        <f aca="false">0.5*(B90-B89)*(T90+T89)</f>
        <v>9.29701845487104E-012</v>
      </c>
      <c r="AX90" s="37" t="n">
        <f aca="false">0.5*(B90-B89)*(U90+U89)</f>
        <v>7.07356992781947E-012</v>
      </c>
      <c r="AY90" s="37" t="n">
        <f aca="false">0.5*(B90-B89)*(V90+V89)</f>
        <v>2.68560091272737E-009</v>
      </c>
      <c r="AZ90" s="37" t="n">
        <f aca="false">0.5*(B90-B89)*(W90+W89)</f>
        <v>1.3828161075036E-009</v>
      </c>
      <c r="BA90" s="37" t="n">
        <f aca="false">0.5*(B90-B89)*(X90+X89)</f>
        <v>1.350039074252E-011</v>
      </c>
      <c r="BB90" s="37" t="n">
        <f aca="false">0.5*(B90-B89)*(Y90+Y89)</f>
        <v>2.09955062379541E-010</v>
      </c>
      <c r="BC90" s="37" t="n">
        <f aca="false">0.5*(B90-B89)*(Z90+Z89)</f>
        <v>5.21725796637059E-012</v>
      </c>
      <c r="BD90" s="37" t="n">
        <f aca="false">0.5*(B90-B89)*(AA90+AA89)</f>
        <v>4.31533129286598E-009</v>
      </c>
      <c r="BE90" s="37" t="n">
        <f aca="false">IF(B90&gt;2000,AK90,-999)</f>
        <v>-999</v>
      </c>
      <c r="BF90" s="37" t="n">
        <f aca="false">IF(AND(B90&lt;1000,AK90&gt;=-3),B90,1000000000)</f>
        <v>64.7187313859257</v>
      </c>
    </row>
    <row r="91" customFormat="false" ht="15" hidden="false" customHeight="false" outlineLevel="0" collapsed="false">
      <c r="A91" s="5" t="n">
        <v>52</v>
      </c>
      <c r="B91" s="47" t="n">
        <f aca="false">20*10^(A91/100)</f>
        <v>66.2262242965182</v>
      </c>
      <c r="C91" s="37" t="n">
        <f aca="false">2*PI()*B91</f>
        <v>416.111639449863</v>
      </c>
      <c r="D91" s="37" t="n">
        <f aca="false">SQRT(L_Rp0^2+L_Rp1^2*C91)</f>
        <v>77148824.3783066</v>
      </c>
      <c r="E91" s="5" t="str">
        <f aca="false">COMPLEX(D91,C91*L_Mp)</f>
        <v>77148824.3783066+6147100.39161983i</v>
      </c>
      <c r="F91" s="5" t="str">
        <f aca="false">IMDIV(1,E91)</f>
        <v>1.28801883944522e-08-1.02627372175405e-09i</v>
      </c>
      <c r="G91" s="5" t="str">
        <f aca="false">COMPLEX(0,C91*L_Cf)</f>
        <v>4.40003848419016e-13i</v>
      </c>
      <c r="H91" s="5" t="str">
        <f aca="false">COMPLEX(0,C91*L_Cbv)</f>
        <v>4.40003848419016e-12i</v>
      </c>
      <c r="I91" s="5" t="str">
        <f aca="false">COMPLEX(L_Rsq+L_Rh,C91*(L_Md+L_Mh)-1/(C91*L_Cd))</f>
        <v>552400610.124532-2768434050897.38i</v>
      </c>
      <c r="J91" s="5" t="str">
        <f aca="false">IMDIV(1,I91)</f>
        <v>7.20751853179537e-17+3.6121501968287e-13i</v>
      </c>
      <c r="K91" s="5" t="str">
        <f aca="false">IMSUM(F91,G91,H91)</f>
        <v>1.28801883944522e-08-1.02143367942144e-09i</v>
      </c>
      <c r="L91" s="5" t="str">
        <f aca="false">IMSUM(IMPRODUCT(IMSUM(F91,G91),H91),IMPRODUCT(IMSUM(J91,L_Yv),K91))</f>
        <v>3.06439701546515e-20+5.92829011447657e-20i</v>
      </c>
      <c r="M91" s="37" t="n">
        <f aca="false">IMABS(IMDIV(IMPRODUCT(J91,F91,H91),L91))^2</f>
        <v>9.46966301779907E-026</v>
      </c>
      <c r="N91" s="5" t="str">
        <f aca="false">IMDIV(IMPRODUCT(L_Yv,K91,E91),H91)</f>
        <v>0.000169727413632316-0.454527955319885i</v>
      </c>
      <c r="O91" s="37" t="n">
        <f aca="false">IMABS(IMSUM(1,IMPRODUCT(E91,G91),N91))^2</f>
        <v>1.20689887793615</v>
      </c>
      <c r="P91" s="37" t="n">
        <f aca="false">IMABS(N91)^2</f>
        <v>0.20659569097467</v>
      </c>
      <c r="Q91" s="37" t="n">
        <f aca="false">p_Rb^2/(1+(C91*p_Rb*L_Ctot)^2)</f>
        <v>9.52033725309314E+017</v>
      </c>
      <c r="R91" s="37" t="n">
        <f aca="false">M91*L_Kt^2*Q91</f>
        <v>1.80935707570673E-005</v>
      </c>
      <c r="S91" s="37" t="n">
        <f aca="false">L_kT4*D91</f>
        <v>1.27030322365406E-012</v>
      </c>
      <c r="T91" s="37" t="n">
        <f aca="false">L_kT4*L_Rsq*O91</f>
        <v>6.23422575493082E-012</v>
      </c>
      <c r="U91" s="37" t="n">
        <f aca="false">L_kT4*L_Rh*O91</f>
        <v>4.74326603065004E-012</v>
      </c>
      <c r="V91" s="37" t="n">
        <f aca="false">L_kT4*p_Rv*P91</f>
        <v>1.70086306792743E-009</v>
      </c>
      <c r="W91" s="37" t="n">
        <f aca="false">L_kT4/p_Rb*Q91/R91</f>
        <v>8.66375450918209E-010</v>
      </c>
      <c r="X91" s="37" t="n">
        <f aca="false">p_en^2*(1+p_fc/B91)/R91</f>
        <v>8.87820636455188E-012</v>
      </c>
      <c r="Y91" s="37" t="n">
        <f aca="false">p_in^2*Q91/R91</f>
        <v>1.31543095900163E-010</v>
      </c>
      <c r="Z91" s="37" t="n">
        <f aca="false">p_eo^2/L_G^2/R91</f>
        <v>3.50377095541975E-012</v>
      </c>
      <c r="AA91" s="37" t="n">
        <f aca="false">SUM(S91:Z91)</f>
        <v>2.72341138707501E-009</v>
      </c>
      <c r="AB91" s="47" t="n">
        <f aca="false">10*LOG10(AA91/L_PREF^2)</f>
        <v>8.33053257666014</v>
      </c>
      <c r="AC91" s="47" t="n">
        <f aca="false">10*LOG10(S91/L_PREF^2)</f>
        <v>-24.9815259112683</v>
      </c>
      <c r="AD91" s="47" t="n">
        <f aca="false">10*LOG10(T91/L_PREF^2)</f>
        <v>-18.0727746635065</v>
      </c>
      <c r="AE91" s="47" t="n">
        <f aca="false">10*LOG10(U91/L_PREF^2)</f>
        <v>-19.2598250816812</v>
      </c>
      <c r="AF91" s="47" t="n">
        <f aca="false">10*LOG10(V91/L_PREF^2)</f>
        <v>6.28609359770034</v>
      </c>
      <c r="AG91" s="47" t="n">
        <f aca="false">10*LOG10(W91/L_PREF^2)</f>
        <v>3.35646146562379</v>
      </c>
      <c r="AH91" s="47" t="n">
        <f aca="false">10*LOG10(X91/L_PREF^2)</f>
        <v>-16.5373475580368</v>
      </c>
      <c r="AI91" s="47" t="n">
        <f aca="false">10*LOG10(Y91/L_PREF^2)</f>
        <v>-4.82991932453537</v>
      </c>
      <c r="AJ91" s="47" t="n">
        <f aca="false">10*LOG10(Z91/L_PREF^2)</f>
        <v>-20.5752428311518</v>
      </c>
      <c r="AK91" s="47" t="n">
        <f aca="false">10*LOG10(R91/$R$6)</f>
        <v>-0.712466215274186</v>
      </c>
      <c r="AL91" s="37" t="n">
        <f aca="false">(12194^2*B91^4/((B91^2+20.6^2)*SQRT((B91^2+107.7^2)*(B91^2+737.9^2))*(B91^2+12194^2))*1.2589254)^2</f>
        <v>0.00288853432329649</v>
      </c>
      <c r="AM91" s="37" t="n">
        <f aca="false">0.5*(B91-B90)*(S91*AL91+S90*AL90)</f>
        <v>5.29908922261057E-015</v>
      </c>
      <c r="AN91" s="37" t="n">
        <f aca="false">0.5*(B91-B90)*(T91*AL91+T90*AL90)</f>
        <v>2.61083207174055E-014</v>
      </c>
      <c r="AO91" s="37" t="n">
        <f aca="false">0.5*(B91-B90)*(U91*AL91+U90*AL90)</f>
        <v>1.98643288909194E-014</v>
      </c>
      <c r="AP91" s="37" t="n">
        <f aca="false">0.5*(B91-B90)*(V91*AL91+V90*AL90)</f>
        <v>7.25556916434134E-012</v>
      </c>
      <c r="AQ91" s="37" t="n">
        <f aca="false">0.5*(B91-B90)*(W91*AL91+W90*AL90)</f>
        <v>3.70858196274398E-012</v>
      </c>
      <c r="AR91" s="37" t="n">
        <f aca="false">0.5*(B91-B90)*(X91*AL91+X90*AL90)</f>
        <v>3.74132277423838E-014</v>
      </c>
      <c r="AS91" s="37" t="n">
        <f aca="false">0.5*(B91-B90)*(Y91*AL91+Y90*AL90)</f>
        <v>5.63079612034045E-013</v>
      </c>
      <c r="AT91" s="37" t="n">
        <f aca="false">0.5*(B91-B90)*(Z91*AL91+Z90*AL90)</f>
        <v>1.46664529925348E-014</v>
      </c>
      <c r="AU91" s="37" t="n">
        <f aca="false">0.5*(B91-B90)*(AA91*AL91+AA90*AL90)</f>
        <v>1.16305821586852E-011</v>
      </c>
      <c r="AV91" s="37" t="n">
        <f aca="false">0.5*(B91-B90)*(S91+S90)</f>
        <v>1.91483224968859E-012</v>
      </c>
      <c r="AW91" s="37" t="n">
        <f aca="false">0.5*(B91-B90)*(T91+T90)</f>
        <v>9.43596314265594E-012</v>
      </c>
      <c r="AX91" s="37" t="n">
        <f aca="false">0.5*(B91-B90)*(U91+U90)</f>
        <v>7.17928499872272E-012</v>
      </c>
      <c r="AY91" s="37" t="n">
        <f aca="false">0.5*(B91-B90)*(V91+V90)</f>
        <v>2.62446232166659E-009</v>
      </c>
      <c r="AZ91" s="37" t="n">
        <f aca="false">0.5*(B91-B90)*(W91+W90)</f>
        <v>1.3416637706945E-009</v>
      </c>
      <c r="BA91" s="37" t="n">
        <f aca="false">0.5*(B91-B90)*(X91+X90)</f>
        <v>1.35255630292535E-011</v>
      </c>
      <c r="BB91" s="37" t="n">
        <f aca="false">0.5*(B91-B90)*(Y91+Y90)</f>
        <v>2.03706840801175E-010</v>
      </c>
      <c r="BC91" s="37" t="n">
        <f aca="false">0.5*(B91-B90)*(Z91+Z90)</f>
        <v>5.30057457236946E-012</v>
      </c>
      <c r="BD91" s="37" t="n">
        <f aca="false">0.5*(B91-B90)*(AA91+AA90)</f>
        <v>4.20718915115496E-009</v>
      </c>
      <c r="BE91" s="37" t="n">
        <f aca="false">IF(B91&gt;2000,AK91,-999)</f>
        <v>-999</v>
      </c>
      <c r="BF91" s="37" t="n">
        <f aca="false">IF(AND(B91&lt;1000,AK91&gt;=-3),B91,1000000000)</f>
        <v>66.2262242965182</v>
      </c>
    </row>
    <row r="92" customFormat="false" ht="15" hidden="false" customHeight="false" outlineLevel="0" collapsed="false">
      <c r="A92" s="5" t="n">
        <v>53</v>
      </c>
      <c r="B92" s="47" t="n">
        <f aca="false">20*10^(A92/100)</f>
        <v>67.7688312278405</v>
      </c>
      <c r="C92" s="37" t="n">
        <f aca="false">2*PI()*B92</f>
        <v>425.804124655501</v>
      </c>
      <c r="D92" s="37" t="n">
        <f aca="false">SQRT(L_Rp0^2+L_Rp1^2*C92)</f>
        <v>77160436.2446383</v>
      </c>
      <c r="E92" s="5" t="str">
        <f aca="false">COMPLEX(D92,C92*L_Mp)</f>
        <v>77160436.2446382+6290284.75359085i</v>
      </c>
      <c r="F92" s="5" t="str">
        <f aca="false">IMDIV(1,E92)</f>
        <v>1.28744478787589e-08-1.04955268715559e-09i</v>
      </c>
      <c r="G92" s="5" t="str">
        <f aca="false">COMPLEX(0,C92*L_Cf)</f>
        <v>4.50252854663742e-13i</v>
      </c>
      <c r="H92" s="5" t="str">
        <f aca="false">COMPLEX(0,C92*L_Cbv)</f>
        <v>4.50252854663742e-12i</v>
      </c>
      <c r="I92" s="5" t="str">
        <f aca="false">COMPLEX(L_Rsq+L_Rh,C92*(L_Md+L_Mh)-1/(C92*L_Cd))</f>
        <v>552400610.124532-2705416726087.33i</v>
      </c>
      <c r="J92" s="5" t="str">
        <f aca="false">IMDIV(1,I92)</f>
        <v>7.54719880397624e-17+3.69628807520335e-13i</v>
      </c>
      <c r="K92" s="5" t="str">
        <f aca="false">IMSUM(F92,G92,H92)</f>
        <v>1.28744478787589e-08-1.04459990575429e-09i</v>
      </c>
      <c r="L92" s="5" t="str">
        <f aca="false">IMSUM(IMPRODUCT(IMSUM(F92,G92),H92),IMPRODUCT(IMSUM(J92,L_Yv),K92))</f>
        <v>3.08595952939806e-20+6.06370572636757e-20i</v>
      </c>
      <c r="M92" s="37" t="n">
        <f aca="false">IMABS(IMDIV(IMPRODUCT(J92,F92,H92),L92))^2</f>
        <v>9.98333511513862E-026</v>
      </c>
      <c r="N92" s="5" t="str">
        <f aca="false">IMDIV(IMPRODUCT(L_Yv,K92,E92),H92)</f>
        <v>0.000169752959737971-0.444181013062743i</v>
      </c>
      <c r="O92" s="37" t="n">
        <f aca="false">IMABS(IMSUM(1,IMPRODUCT(E92,G92),N92))^2</f>
        <v>1.19759977970416</v>
      </c>
      <c r="P92" s="37" t="n">
        <f aca="false">IMABS(N92)^2</f>
        <v>0.197296801181512</v>
      </c>
      <c r="Q92" s="37" t="n">
        <f aca="false">p_Rb^2/(1+(C92*p_Rb*L_Ctot)^2)</f>
        <v>9.09185188270055E+017</v>
      </c>
      <c r="R92" s="37" t="n">
        <f aca="false">M92*L_Kt^2*Q92</f>
        <v>1.82165204858171E-005</v>
      </c>
      <c r="S92" s="37" t="n">
        <f aca="false">L_kT4*D92</f>
        <v>1.27049442023227E-012</v>
      </c>
      <c r="T92" s="37" t="n">
        <f aca="false">L_kT4*L_Rsq*O92</f>
        <v>6.18619134313765E-012</v>
      </c>
      <c r="U92" s="37" t="n">
        <f aca="false">L_kT4*L_Rh*O92</f>
        <v>4.70671939234766E-012</v>
      </c>
      <c r="V92" s="37" t="n">
        <f aca="false">L_kT4*p_Rv*P92</f>
        <v>1.62430707517031E-009</v>
      </c>
      <c r="W92" s="37" t="n">
        <f aca="false">L_kT4/p_Rb*Q92/R92</f>
        <v>8.21797873402874E-010</v>
      </c>
      <c r="X92" s="37" t="n">
        <f aca="false">p_en^2*(1+p_fc/B92)/R92</f>
        <v>8.69752790477636E-012</v>
      </c>
      <c r="Y92" s="37" t="n">
        <f aca="false">p_in^2*Q92/R92</f>
        <v>1.2477481484155E-010</v>
      </c>
      <c r="Z92" s="37" t="n">
        <f aca="false">p_eo^2/L_G^2/R92</f>
        <v>3.48012276811056E-012</v>
      </c>
      <c r="AA92" s="37" t="n">
        <f aca="false">SUM(S92:Z92)</f>
        <v>2.59522081924334E-009</v>
      </c>
      <c r="AB92" s="47" t="n">
        <f aca="false">10*LOG10(AA92/L_PREF^2)</f>
        <v>8.1211432519132</v>
      </c>
      <c r="AC92" s="47" t="n">
        <f aca="false">10*LOG10(S92/L_PREF^2)</f>
        <v>-24.9808722927543</v>
      </c>
      <c r="AD92" s="47" t="n">
        <f aca="false">10*LOG10(T92/L_PREF^2)</f>
        <v>-18.106366424271</v>
      </c>
      <c r="AE92" s="47" t="n">
        <f aca="false">10*LOG10(U92/L_PREF^2)</f>
        <v>-19.2934168424458</v>
      </c>
      <c r="AF92" s="47" t="n">
        <f aca="false">10*LOG10(V92/L_PREF^2)</f>
        <v>6.08608144688801</v>
      </c>
      <c r="AG92" s="47" t="n">
        <f aca="false">10*LOG10(W92/L_PREF^2)</f>
        <v>3.12705021759253</v>
      </c>
      <c r="AH92" s="47" t="n">
        <f aca="false">10*LOG10(X92/L_PREF^2)</f>
        <v>-16.6266416053427</v>
      </c>
      <c r="AI92" s="47" t="n">
        <f aca="false">10*LOG10(Y92/L_PREF^2)</f>
        <v>-5.05933057256664</v>
      </c>
      <c r="AJ92" s="47" t="n">
        <f aca="false">10*LOG10(Z92/L_PREF^2)</f>
        <v>-20.6046542652721</v>
      </c>
      <c r="AK92" s="47" t="n">
        <f aca="false">10*LOG10(R92/$R$6)</f>
        <v>-0.683054781153915</v>
      </c>
      <c r="AL92" s="37" t="n">
        <f aca="false">(12194^2*B92^4/((B92^2+20.6^2)*SQRT((B92^2+107.7^2)*(B92^2+737.9^2))*(B92^2+12194^2))*1.2589254)^2</f>
        <v>0.00315056648649375</v>
      </c>
      <c r="AM92" s="37" t="n">
        <f aca="false">0.5*(B92-B91)*(S92*AL92+S91*AL91)</f>
        <v>5.91751084317381E-015</v>
      </c>
      <c r="AN92" s="37" t="n">
        <f aca="false">0.5*(B92-B91)*(T92*AL92+T91*AL91)</f>
        <v>2.89221693631712E-014</v>
      </c>
      <c r="AO92" s="37" t="n">
        <f aca="false">0.5*(B92-B91)*(U92*AL92+U91*AL91)</f>
        <v>2.2005225486827E-014</v>
      </c>
      <c r="AP92" s="37" t="n">
        <f aca="false">0.5*(B92-B91)*(V92*AL92+V91*AL91)</f>
        <v>7.73655076271803E-012</v>
      </c>
      <c r="AQ92" s="37" t="n">
        <f aca="false">0.5*(B92-B91)*(W92*AL92+W91*AL91)</f>
        <v>3.92723356573601E-012</v>
      </c>
      <c r="AR92" s="37" t="n">
        <f aca="false">0.5*(B92-B91)*(X92*AL92+X91*AL91)</f>
        <v>4.09154458142904E-014</v>
      </c>
      <c r="AS92" s="37" t="n">
        <f aca="false">0.5*(B92-B91)*(Y92*AL92+Y91*AL91)</f>
        <v>5.96277815827357E-013</v>
      </c>
      <c r="AT92" s="37" t="n">
        <f aca="false">0.5*(B92-B91)*(Z92*AL92+Z91*AL91)</f>
        <v>1.62630267683601E-014</v>
      </c>
      <c r="AU92" s="37" t="n">
        <f aca="false">0.5*(B92-B91)*(AA92*AL92+AA91*AL91)</f>
        <v>1.23740855225572E-011</v>
      </c>
      <c r="AV92" s="37" t="n">
        <f aca="false">0.5*(B92-B91)*(S92+S91)</f>
        <v>1.95972602827319E-012</v>
      </c>
      <c r="AW92" s="37" t="n">
        <f aca="false">0.5*(B92-B91)*(T92+T91)</f>
        <v>9.57991075269711E-012</v>
      </c>
      <c r="AX92" s="37" t="n">
        <f aca="false">0.5*(B92-B91)*(U92+U91)</f>
        <v>7.28880650720539E-012</v>
      </c>
      <c r="AY92" s="37" t="n">
        <f aca="false">0.5*(B92-B91)*(V92+V91)</f>
        <v>2.56471525528424E-009</v>
      </c>
      <c r="AZ92" s="37" t="n">
        <f aca="false">0.5*(B92-B91)*(W92+W91)</f>
        <v>1.30209393568554E-009</v>
      </c>
      <c r="BA92" s="37" t="n">
        <f aca="false">0.5*(B92-B91)*(X92+X91)</f>
        <v>1.35562247534722E-011</v>
      </c>
      <c r="BB92" s="37" t="n">
        <f aca="false">0.5*(B92-B91)*(Y92+Y91)</f>
        <v>1.97698892866107E-010</v>
      </c>
      <c r="BC92" s="37" t="n">
        <f aca="false">0.5*(B92-B91)*(Z92+Z91)</f>
        <v>5.38670143276803E-012</v>
      </c>
      <c r="BD92" s="37" t="n">
        <f aca="false">0.5*(B92-B91)*(AA92+AA91)</f>
        <v>4.1022794533103E-009</v>
      </c>
      <c r="BE92" s="37" t="n">
        <f aca="false">IF(B92&gt;2000,AK92,-999)</f>
        <v>-999</v>
      </c>
      <c r="BF92" s="37" t="n">
        <f aca="false">IF(AND(B92&lt;1000,AK92&gt;=-3),B92,1000000000)</f>
        <v>67.7688312278405</v>
      </c>
    </row>
    <row r="93" customFormat="false" ht="15" hidden="false" customHeight="false" outlineLevel="0" collapsed="false">
      <c r="A93" s="5" t="n">
        <v>54</v>
      </c>
      <c r="B93" s="47" t="n">
        <f aca="false">20*10^(A93/100)</f>
        <v>69.3473700905063</v>
      </c>
      <c r="C93" s="37" t="n">
        <f aca="false">2*PI()*B93</f>
        <v>435.722376844214</v>
      </c>
      <c r="D93" s="37" t="n">
        <f aca="false">SQRT(L_Rp0^2+L_Rp1^2*C93)</f>
        <v>77172316.7773629</v>
      </c>
      <c r="E93" s="5" t="str">
        <f aca="false">COMPLEX(D93,C93*L_Mp)</f>
        <v>77172316.7773629+6436804.30779999i</v>
      </c>
      <c r="F93" s="5" t="str">
        <f aca="false">IMDIV(1,E93)</f>
        <v>1.28684893433234e-08-1.07333757879717e-09i</v>
      </c>
      <c r="G93" s="5" t="str">
        <f aca="false">COMPLEX(0,C93*L_Cf)</f>
        <v>4.60740590931812e-13i</v>
      </c>
      <c r="H93" s="5" t="str">
        <f aca="false">COMPLEX(0,C93*L_Cbv)</f>
        <v>4.60740590931812e-12i</v>
      </c>
      <c r="I93" s="5" t="str">
        <f aca="false">COMPLEX(L_Rsq+L_Rh,C93*(L_Md+L_Mh)-1/(C93*L_Cd))</f>
        <v>552400610.124532-2643833849035.87i</v>
      </c>
      <c r="J93" s="5" t="str">
        <f aca="false">IMDIV(1,I93)</f>
        <v>7.90288775169031e-17+3.78238578308947e-13i</v>
      </c>
      <c r="K93" s="5" t="str">
        <f aca="false">IMSUM(F93,G93,H93)</f>
        <v>1.28684893433234e-08-1.06826943229692e-09i</v>
      </c>
      <c r="L93" s="5" t="str">
        <f aca="false">IMSUM(IMPRODUCT(IMSUM(F93,G93),H93),IMPRODUCT(IMSUM(J93,L_Yv),K93))</f>
        <v>3.10852354645599e-20+6.20210896699e-20i</v>
      </c>
      <c r="M93" s="37" t="n">
        <f aca="false">IMABS(IMDIV(IMPRODUCT(J93,F93,H93),L93))^2</f>
        <v>1.05221171873283E-025</v>
      </c>
      <c r="N93" s="5" t="str">
        <f aca="false">IMDIV(IMPRODUCT(L_Yv,K93,E93),H93)</f>
        <v>0.000169779096909948-0.434069581458156i</v>
      </c>
      <c r="O93" s="37" t="n">
        <f aca="false">IMABS(IMSUM(1,IMPRODUCT(E93,G93),N93))^2</f>
        <v>1.18871918951832</v>
      </c>
      <c r="P93" s="37" t="n">
        <f aca="false">IMABS(N93)^2</f>
        <v>0.188416430372201</v>
      </c>
      <c r="Q93" s="37" t="n">
        <f aca="false">p_Rb^2/(1+(C93*p_Rb*L_Ctot)^2)</f>
        <v>8.6826514964788E+017</v>
      </c>
      <c r="R93" s="37" t="n">
        <f aca="false">M93*L_Kt^2*Q93</f>
        <v>1.83355072471864E-005</v>
      </c>
      <c r="S93" s="37" t="n">
        <f aca="false">L_kT4*D93</f>
        <v>1.2706900405692E-012</v>
      </c>
      <c r="T93" s="37" t="n">
        <f aca="false">L_kT4*L_Rsq*O93</f>
        <v>6.14031873105087E-012</v>
      </c>
      <c r="U93" s="37" t="n">
        <f aca="false">L_kT4*L_Rh*O93</f>
        <v>4.67181754387412E-012</v>
      </c>
      <c r="V93" s="37" t="n">
        <f aca="false">L_kT4*p_Rv*P93</f>
        <v>1.55119666968314E-009</v>
      </c>
      <c r="W93" s="37" t="n">
        <f aca="false">L_kT4/p_Rb*Q93/R93</f>
        <v>7.7971794278907E-010</v>
      </c>
      <c r="X93" s="37" t="n">
        <f aca="false">p_en^2*(1+p_fc/B93)/R93</f>
        <v>8.52384425437886E-012</v>
      </c>
      <c r="Y93" s="37" t="n">
        <f aca="false">p_in^2*Q93/R93</f>
        <v>1.18385755291978E-010</v>
      </c>
      <c r="Z93" s="37" t="n">
        <f aca="false">p_eo^2/L_G^2/R93</f>
        <v>3.45753879856107E-012</v>
      </c>
      <c r="AA93" s="37" t="n">
        <f aca="false">SUM(S93:Z93)</f>
        <v>2.47336457713262E-009</v>
      </c>
      <c r="AB93" s="47" t="n">
        <f aca="false">10*LOG10(AA93/L_PREF^2)</f>
        <v>7.91228145319242</v>
      </c>
      <c r="AC93" s="47" t="n">
        <f aca="false">10*LOG10(S93/L_PREF^2)</f>
        <v>-24.9802036531151</v>
      </c>
      <c r="AD93" s="47" t="n">
        <f aca="false">10*LOG10(T93/L_PREF^2)</f>
        <v>-18.1386907628714</v>
      </c>
      <c r="AE93" s="47" t="n">
        <f aca="false">10*LOG10(U93/L_PREF^2)</f>
        <v>-19.3257411810461</v>
      </c>
      <c r="AF93" s="47" t="n">
        <f aca="false">10*LOG10(V93/L_PREF^2)</f>
        <v>5.88606872342102</v>
      </c>
      <c r="AG93" s="47" t="n">
        <f aca="false">10*LOG10(W93/L_PREF^2)</f>
        <v>2.89877536947635</v>
      </c>
      <c r="AH93" s="47" t="n">
        <f aca="false">10*LOG10(X93/L_PREF^2)</f>
        <v>-16.7142448553706</v>
      </c>
      <c r="AI93" s="47" t="n">
        <f aca="false">10*LOG10(Y93/L_PREF^2)</f>
        <v>-5.28760542068282</v>
      </c>
      <c r="AJ93" s="47" t="n">
        <f aca="false">10*LOG10(Z93/L_PREF^2)</f>
        <v>-20.6329292911019</v>
      </c>
      <c r="AK93" s="47" t="n">
        <f aca="false">10*LOG10(R93/$R$6)</f>
        <v>-0.654779755324109</v>
      </c>
      <c r="AL93" s="37" t="n">
        <f aca="false">(12194^2*B93^4/((B93^2+20.6^2)*SQRT((B93^2+107.7^2)*(B93^2+737.9^2))*(B93^2+12194^2))*1.2589254)^2</f>
        <v>0.00343369952306265</v>
      </c>
      <c r="AM93" s="37" t="n">
        <f aca="false">0.5*(B93-B92)*(S93*AL93+S92*AL92)</f>
        <v>6.60298459582505E-015</v>
      </c>
      <c r="AN93" s="37" t="n">
        <f aca="false">0.5*(B93-B92)*(T93*AL93+T92*AL92)</f>
        <v>3.20238310269188E-014</v>
      </c>
      <c r="AO93" s="37" t="n">
        <f aca="false">0.5*(B93-B92)*(U93*AL93+U92*AL92)</f>
        <v>2.43651025568204E-014</v>
      </c>
      <c r="AP93" s="37" t="n">
        <f aca="false">0.5*(B93-B92)*(V93*AL93+V92*AL92)</f>
        <v>8.24299631726861E-012</v>
      </c>
      <c r="AQ93" s="37" t="n">
        <f aca="false">0.5*(B93-B92)*(W93*AL93+W92*AL92)</f>
        <v>4.15664481343526E-012</v>
      </c>
      <c r="AR93" s="37" t="n">
        <f aca="false">0.5*(B93-B92)*(X93*AL93+X92*AL92)</f>
        <v>4.47282616452723E-014</v>
      </c>
      <c r="AS93" s="37" t="n">
        <f aca="false">0.5*(B93-B92)*(Y93*AL93+Y92*AL92)</f>
        <v>6.31109672760394E-013</v>
      </c>
      <c r="AT93" s="37" t="n">
        <f aca="false">0.5*(B93-B92)*(Z93*AL93+Z92*AL92)</f>
        <v>1.80241572768546E-014</v>
      </c>
      <c r="AU93" s="37" t="n">
        <f aca="false">0.5*(B93-B92)*(AA93*AL93+AA92*AL92)</f>
        <v>1.3156495140566E-011</v>
      </c>
      <c r="AV93" s="37" t="n">
        <f aca="false">0.5*(B93-B92)*(S93+S92)</f>
        <v>2.00567921428881E-012</v>
      </c>
      <c r="AW93" s="37" t="n">
        <f aca="false">0.5*(B93-B92)*(T93+T92)</f>
        <v>9.72893759657418E-012</v>
      </c>
      <c r="AX93" s="37" t="n">
        <f aca="false">0.5*(B93-B92)*(U93+U92)</f>
        <v>7.40219251438648E-012</v>
      </c>
      <c r="AY93" s="37" t="n">
        <f aca="false">0.5*(B93-B92)*(V93+V92)</f>
        <v>2.50632803489601E-009</v>
      </c>
      <c r="AZ93" s="37" t="n">
        <f aca="false">0.5*(B93-B92)*(W93+W92)</f>
        <v>1.26402747751648E-009</v>
      </c>
      <c r="BA93" s="37" t="n">
        <f aca="false">0.5*(B93-B92)*(X93+X92)</f>
        <v>1.35923026108289E-011</v>
      </c>
      <c r="BB93" s="37" t="n">
        <f aca="false">0.5*(B93-B92)*(Y93+Y92)</f>
        <v>1.91919204911877E-010</v>
      </c>
      <c r="BC93" s="37" t="n">
        <f aca="false">0.5*(B93-B92)*(Z93+Z92)</f>
        <v>5.47568419950712E-012</v>
      </c>
      <c r="BD93" s="37" t="n">
        <f aca="false">0.5*(B93-B92)*(AA93+AA92)</f>
        <v>4.00047951345995E-009</v>
      </c>
      <c r="BE93" s="37" t="n">
        <f aca="false">IF(B93&gt;2000,AK93,-999)</f>
        <v>-999</v>
      </c>
      <c r="BF93" s="37" t="n">
        <f aca="false">IF(AND(B93&lt;1000,AK93&gt;=-3),B93,1000000000)</f>
        <v>69.3473700905063</v>
      </c>
    </row>
    <row r="94" customFormat="false" ht="15" hidden="false" customHeight="false" outlineLevel="0" collapsed="false">
      <c r="A94" s="5" t="n">
        <v>55</v>
      </c>
      <c r="B94" s="47" t="n">
        <f aca="false">20*10^(A94/100)</f>
        <v>70.9626778467151</v>
      </c>
      <c r="C94" s="37" t="n">
        <f aca="false">2*PI()*B94</f>
        <v>445.871654804599</v>
      </c>
      <c r="D94" s="37" t="n">
        <f aca="false">SQRT(L_Rp0^2+L_Rp1^2*C94)</f>
        <v>77184472.1501573</v>
      </c>
      <c r="E94" s="5" t="str">
        <f aca="false">COMPLEX(D94,C94*L_Mp)</f>
        <v>77184472.1501573+6586736.7408543i</v>
      </c>
      <c r="F94" s="5" t="str">
        <f aca="false">IMDIV(1,E94)</f>
        <v>1.28623040324615e-08-1.09763801166942e-09i</v>
      </c>
      <c r="G94" s="5" t="str">
        <f aca="false">COMPLEX(0,C94*L_Cf)</f>
        <v>4.71472617959817e-13i</v>
      </c>
      <c r="H94" s="5" t="str">
        <f aca="false">COMPLEX(0,C94*L_Cbv)</f>
        <v>4.71472617959817e-12i</v>
      </c>
      <c r="I94" s="5" t="str">
        <f aca="false">COMPLEX(L_Rsq+L_Rh,C94*(L_Md+L_Mh)-1/(C94*L_Cd))</f>
        <v>552400610.124532-2583652767686.46i</v>
      </c>
      <c r="J94" s="5" t="str">
        <f aca="false">IMDIV(1,I94)</f>
        <v>8.27533984418986e-17+3.8704889712499e-13i</v>
      </c>
      <c r="K94" s="5" t="str">
        <f aca="false">IMSUM(F94,G94,H94)</f>
        <v>1.28623040324615e-08-1.09245181287186e-09i</v>
      </c>
      <c r="L94" s="5" t="str">
        <f aca="false">IMSUM(IMPRODUCT(IMSUM(F94,G94),H94),IMPRODUCT(IMSUM(J94,L_Yv),K94))</f>
        <v>3.13213445386727e-20+6.3435588112204e-20i</v>
      </c>
      <c r="M94" s="37" t="n">
        <f aca="false">IMABS(IMDIV(IMPRODUCT(J94,F94,H94),L94))^2</f>
        <v>1.10871691122953E-025</v>
      </c>
      <c r="N94" s="5" t="str">
        <f aca="false">IMDIV(IMPRODUCT(L_Yv,K94,E94),H94)</f>
        <v>0.000169805838730489-0.424188299291248i</v>
      </c>
      <c r="O94" s="37" t="n">
        <f aca="false">IMABS(IMSUM(1,IMPRODUCT(E94,G94),N94))^2</f>
        <v>1.18023827038011</v>
      </c>
      <c r="P94" s="37" t="n">
        <f aca="false">IMABS(N94)^2</f>
        <v>0.179935742089624</v>
      </c>
      <c r="Q94" s="37" t="n">
        <f aca="false">p_Rb^2/(1+(C94*p_Rb*L_Ctot)^2)</f>
        <v>8.29186813017786E+017</v>
      </c>
      <c r="R94" s="37" t="n">
        <f aca="false">M94*L_Kt^2*Q94</f>
        <v>1.84505995730576E-005</v>
      </c>
      <c r="S94" s="37" t="n">
        <f aca="false">L_kT4*D94</f>
        <v>1.27089018631828E-012</v>
      </c>
      <c r="T94" s="37" t="n">
        <f aca="false">L_kT4*L_Rsq*O94</f>
        <v>6.09651061631687E-012</v>
      </c>
      <c r="U94" s="37" t="n">
        <f aca="false">L_kT4*L_Rh*O94</f>
        <v>4.63848645343034E-012</v>
      </c>
      <c r="V94" s="37" t="n">
        <f aca="false">L_kT4*p_Rv*P94</f>
        <v>1.48137677449372E-009</v>
      </c>
      <c r="W94" s="37" t="n">
        <f aca="false">L_kT4/p_Rb*Q94/R94</f>
        <v>7.3998001509609E-010</v>
      </c>
      <c r="X94" s="37" t="n">
        <f aca="false">p_en^2*(1+p_fc/B94)/R94</f>
        <v>8.35681535388234E-012</v>
      </c>
      <c r="Y94" s="37" t="n">
        <f aca="false">p_in^2*Q94/R94</f>
        <v>1.12352285590302E-010</v>
      </c>
      <c r="Z94" s="37" t="n">
        <f aca="false">p_eo^2/L_G^2/R94</f>
        <v>3.43597114269489E-012</v>
      </c>
      <c r="AA94" s="37" t="n">
        <f aca="false">SUM(S94:Z94)</f>
        <v>2.35750774893275E-009</v>
      </c>
      <c r="AB94" s="47" t="n">
        <f aca="false">10*LOG10(AA94/L_PREF^2)</f>
        <v>7.70393137573748</v>
      </c>
      <c r="AC94" s="47" t="n">
        <f aca="false">10*LOG10(S94/L_PREF^2)</f>
        <v>-24.9795196519283</v>
      </c>
      <c r="AD94" s="47" t="n">
        <f aca="false">10*LOG10(T94/L_PREF^2)</f>
        <v>-18.1697865692001</v>
      </c>
      <c r="AE94" s="47" t="n">
        <f aca="false">10*LOG10(U94/L_PREF^2)</f>
        <v>-19.3568369873748</v>
      </c>
      <c r="AF94" s="47" t="n">
        <f aca="false">10*LOG10(V94/L_PREF^2)</f>
        <v>5.68605540031025</v>
      </c>
      <c r="AG94" s="47" t="n">
        <f aca="false">10*LOG10(W94/L_PREF^2)</f>
        <v>2.67159999415593</v>
      </c>
      <c r="AH94" s="47" t="n">
        <f aca="false">10*LOG10(X94/L_PREF^2)</f>
        <v>-16.8001918490997</v>
      </c>
      <c r="AI94" s="47" t="n">
        <f aca="false">10*LOG10(Y94/L_PREF^2)</f>
        <v>-5.51478079600324</v>
      </c>
      <c r="AJ94" s="47" t="n">
        <f aca="false">10*LOG10(Z94/L_PREF^2)</f>
        <v>-20.6601048361375</v>
      </c>
      <c r="AK94" s="47" t="n">
        <f aca="false">10*LOG10(R94/$R$6)</f>
        <v>-0.627604210288487</v>
      </c>
      <c r="AL94" s="37" t="n">
        <f aca="false">(12194^2*B94^4/((B94^2+20.6^2)*SQRT((B94^2+107.7^2)*(B94^2+737.9^2))*(B94^2+12194^2))*1.2589254)^2</f>
        <v>0.00373938160275825</v>
      </c>
      <c r="AM94" s="37" t="n">
        <f aca="false">0.5*(B94-B93)*(S94*AL94+S93*AL93)</f>
        <v>7.36217794582583E-015</v>
      </c>
      <c r="AN94" s="37" t="n">
        <f aca="false">0.5*(B94-B93)*(T94*AL94+T93*AL93)</f>
        <v>3.54408125830873E-014</v>
      </c>
      <c r="AO94" s="37" t="n">
        <f aca="false">0.5*(B94-B93)*(U94*AL94+U93*AL93)</f>
        <v>2.69648885093763E-014</v>
      </c>
      <c r="AP94" s="37" t="n">
        <f aca="false">0.5*(B94-B93)*(V94*AL94+V93*AL93)</f>
        <v>8.77578638520934E-012</v>
      </c>
      <c r="AQ94" s="37" t="n">
        <f aca="false">0.5*(B94-B93)*(W94*AL94+W93*AL93)</f>
        <v>4.39717848399333E-012</v>
      </c>
      <c r="AR94" s="37" t="n">
        <f aca="false">0.5*(B94-B93)*(X94*AL94+X93*AL93)</f>
        <v>4.88773078858349E-014</v>
      </c>
      <c r="AS94" s="37" t="n">
        <f aca="false">0.5*(B94-B93)*(Y94*AL94+Y93*AL93)</f>
        <v>6.67630263988949E-013</v>
      </c>
      <c r="AT94" s="37" t="n">
        <f aca="false">0.5*(B94-B93)*(Z94*AL94+Z93*AL93)</f>
        <v>1.99656534086587E-014</v>
      </c>
      <c r="AU94" s="37" t="n">
        <f aca="false">0.5*(B94-B93)*(AA94*AL94+AA93*AL93)</f>
        <v>1.39792059735244E-011</v>
      </c>
      <c r="AV94" s="37" t="n">
        <f aca="false">0.5*(B94-B93)*(S94+S93)</f>
        <v>2.05271712675909E-012</v>
      </c>
      <c r="AW94" s="37" t="n">
        <f aca="false">0.5*(B94-B93)*(T94+T93)</f>
        <v>9.88312267810307E-012</v>
      </c>
      <c r="AX94" s="37" t="n">
        <f aca="false">0.5*(B94-B93)*(U94+U93)</f>
        <v>7.51950312975368E-012</v>
      </c>
      <c r="AY94" s="37" t="n">
        <f aca="false">0.5*(B94-B93)*(V94+V93)</f>
        <v>2.4492697028258E-009</v>
      </c>
      <c r="AZ94" s="37" t="n">
        <f aca="false">0.5*(B94-B93)*(W94+W93)</f>
        <v>1.22738994923326E-009</v>
      </c>
      <c r="BA94" s="37" t="n">
        <f aca="false">0.5*(B94-B93)*(X94+X93)</f>
        <v>1.36337301975722E-011</v>
      </c>
      <c r="BB94" s="37" t="n">
        <f aca="false">0.5*(B94-B93)*(Y94+Y93)</f>
        <v>1.86356473544781E-010</v>
      </c>
      <c r="BC94" s="37" t="n">
        <f aca="false">0.5*(B94-B93)*(Z94+Z93)</f>
        <v>5.56757003780649E-012</v>
      </c>
      <c r="BD94" s="37" t="n">
        <f aca="false">0.5*(B94-B93)*(AA94+AA93)</f>
        <v>3.90167276877384E-009</v>
      </c>
      <c r="BE94" s="37" t="n">
        <f aca="false">IF(B94&gt;2000,AK94,-999)</f>
        <v>-999</v>
      </c>
      <c r="BF94" s="37" t="n">
        <f aca="false">IF(AND(B94&lt;1000,AK94&gt;=-3),B94,1000000000)</f>
        <v>70.9626778467151</v>
      </c>
    </row>
    <row r="95" customFormat="false" ht="15" hidden="false" customHeight="false" outlineLevel="0" collapsed="false">
      <c r="A95" s="5" t="n">
        <v>56</v>
      </c>
      <c r="B95" s="47" t="n">
        <f aca="false">20*10^(A95/100)</f>
        <v>72.6156109540203</v>
      </c>
      <c r="C95" s="37" t="n">
        <f aca="false">2*PI()*B95</f>
        <v>456.257339818169</v>
      </c>
      <c r="D95" s="37" t="n">
        <f aca="false">SQRT(L_Rp0^2+L_Rp1^2*C95)</f>
        <v>77196908.6765869</v>
      </c>
      <c r="E95" s="5" t="str">
        <f aca="false">COMPLEX(D95,C95*L_Mp)</f>
        <v>77196908.6765869+6740161.54891438i</v>
      </c>
      <c r="F95" s="5" t="str">
        <f aca="false">IMDIV(1,E95)</f>
        <v>1.28558828376925e-08-1.12246369272354e-09i</v>
      </c>
      <c r="G95" s="5" t="str">
        <f aca="false">COMPLEX(0,C95*L_Cf)</f>
        <v>4.82454626010542e-13i</v>
      </c>
      <c r="H95" s="5" t="str">
        <f aca="false">COMPLEX(0,C95*L_Cbv)</f>
        <v>4.82454626010542e-12i</v>
      </c>
      <c r="I95" s="5" t="str">
        <f aca="false">COMPLEX(L_Rsq+L_Rh,C95*(L_Md+L_Mh)-1/(C95*L_Cd))</f>
        <v>552400610.124532-2524841573233.15i</v>
      </c>
      <c r="J95" s="5" t="str">
        <f aca="false">IMDIV(1,I95)</f>
        <v>8.66534510811697e-17+3.96064435382393e-13i</v>
      </c>
      <c r="K95" s="5" t="str">
        <f aca="false">IMSUM(F95,G95,H95)</f>
        <v>1.28558828376925e-08-1.11715669183742e-09i</v>
      </c>
      <c r="L95" s="5" t="str">
        <f aca="false">IMSUM(IMPRODUCT(IMSUM(F95,G95),H95),IMPRODUCT(IMSUM(J95,L_Yv),K95))</f>
        <v>3.15683961025577e-20+6.48811492532381e-20i</v>
      </c>
      <c r="M95" s="37" t="n">
        <f aca="false">IMABS(IMDIV(IMPRODUCT(J95,F95,H95),L95))^2</f>
        <v>1.16797054042696E-025</v>
      </c>
      <c r="N95" s="5" t="str">
        <f aca="false">IMDIV(IMPRODUCT(L_Yv,K95,E95),H95)</f>
        <v>0.000169833199088485-0.414531927375419i</v>
      </c>
      <c r="O95" s="37" t="n">
        <f aca="false">IMABS(IMSUM(1,IMPRODUCT(E95,G95),N95))^2</f>
        <v>1.17213903304505</v>
      </c>
      <c r="P95" s="37" t="n">
        <f aca="false">IMABS(N95)^2</f>
        <v>0.171836747656895</v>
      </c>
      <c r="Q95" s="37" t="n">
        <f aca="false">p_Rb^2/(1+(C95*p_Rb*L_Ctot)^2)</f>
        <v>7.91867288410862E+017</v>
      </c>
      <c r="R95" s="37" t="n">
        <f aca="false">M95*L_Kt^2*Q95</f>
        <v>1.85618695726082E-005</v>
      </c>
      <c r="S95" s="37" t="n">
        <f aca="false">L_kT4*D95</f>
        <v>1.27109496143626E-012</v>
      </c>
      <c r="T95" s="37" t="n">
        <f aca="false">L_kT4*L_Rsq*O95</f>
        <v>6.05467407564843E-012</v>
      </c>
      <c r="U95" s="37" t="n">
        <f aca="false">L_kT4*L_Rh*O95</f>
        <v>4.60665542099851E-012</v>
      </c>
      <c r="V95" s="37" t="n">
        <f aca="false">L_kT4*p_Rv*P95</f>
        <v>1.41469929224329E-009</v>
      </c>
      <c r="W95" s="37" t="n">
        <f aca="false">L_kT4/p_Rb*Q95/R95</f>
        <v>7.02439255367693E-010</v>
      </c>
      <c r="X95" s="37" t="n">
        <f aca="false">p_en^2*(1+p_fc/B95)/R95</f>
        <v>8.19612043451314E-012</v>
      </c>
      <c r="Y95" s="37" t="n">
        <f aca="false">p_in^2*Q95/R95</f>
        <v>1.06652415225919E-010</v>
      </c>
      <c r="Z95" s="37" t="n">
        <f aca="false">p_eo^2/L_G^2/R95</f>
        <v>3.41537405219127E-012</v>
      </c>
      <c r="AA95" s="37" t="n">
        <f aca="false">SUM(S95:Z95)</f>
        <v>2.24733488178169E-009</v>
      </c>
      <c r="AB95" s="47" t="n">
        <f aca="false">10*LOG10(AA95/L_PREF^2)</f>
        <v>7.49607801373019</v>
      </c>
      <c r="AC95" s="47" t="n">
        <f aca="false">10*LOG10(S95/L_PREF^2)</f>
        <v>-24.9788199412786</v>
      </c>
      <c r="AD95" s="47" t="n">
        <f aca="false">10*LOG10(T95/L_PREF^2)</f>
        <v>-18.1996922138103</v>
      </c>
      <c r="AE95" s="47" t="n">
        <f aca="false">10*LOG10(U95/L_PREF^2)</f>
        <v>-19.386742631985</v>
      </c>
      <c r="AF95" s="47" t="n">
        <f aca="false">10*LOG10(V95/L_PREF^2)</f>
        <v>5.48604144929447</v>
      </c>
      <c r="AG95" s="47" t="n">
        <f aca="false">10*LOG10(W95/L_PREF^2)</f>
        <v>2.44548782517117</v>
      </c>
      <c r="AH95" s="47" t="n">
        <f aca="false">10*LOG10(X95/L_PREF^2)</f>
        <v>-16.8845165999068</v>
      </c>
      <c r="AI95" s="47" t="n">
        <f aca="false">10*LOG10(Y95/L_PREF^2)</f>
        <v>-5.74089296498799</v>
      </c>
      <c r="AJ95" s="47" t="n">
        <f aca="false">10*LOG10(Z95/L_PREF^2)</f>
        <v>-20.686217167199</v>
      </c>
      <c r="AK95" s="47" t="n">
        <f aca="false">10*LOG10(R95/$R$6)</f>
        <v>-0.601491879226963</v>
      </c>
      <c r="AL95" s="37" t="n">
        <f aca="false">(12194^2*B95^4/((B95^2+20.6^2)*SQRT((B95^2+107.7^2)*(B95^2+737.9^2))*(B95^2+12194^2))*1.2589254)^2</f>
        <v>0.00406913786241446</v>
      </c>
      <c r="AM95" s="37" t="n">
        <f aca="false">0.5*(B95-B94)*(S95*AL95+S94*AL94)</f>
        <v>8.20235327759345E-015</v>
      </c>
      <c r="AN95" s="37" t="n">
        <f aca="false">0.5*(B95-B94)*(T95*AL95+T94*AL94)</f>
        <v>3.92030138260629E-014</v>
      </c>
      <c r="AO95" s="37" t="n">
        <f aca="false">0.5*(B95-B94)*(U95*AL95+U94*AL94)</f>
        <v>2.9827332388981E-014</v>
      </c>
      <c r="AP95" s="37" t="n">
        <f aca="false">0.5*(B95-B94)*(V95*AL95+V94*AL94)</f>
        <v>9.33579884482206E-012</v>
      </c>
      <c r="AQ95" s="37" t="n">
        <f aca="false">0.5*(B95-B94)*(W95*AL95+W94*AL94)</f>
        <v>4.64919654155564E-012</v>
      </c>
      <c r="AR95" s="37" t="n">
        <f aca="false">0.5*(B95-B94)*(X95*AL95+X94*AL94)</f>
        <v>5.33901241497279E-014</v>
      </c>
      <c r="AS95" s="37" t="n">
        <f aca="false">0.5*(B95-B94)*(Y95*AL95+Y94*AL94)</f>
        <v>7.05894547077023E-013</v>
      </c>
      <c r="AT95" s="37" t="n">
        <f aca="false">0.5*(B95-B94)*(Z95*AL95+Z94*AL94)</f>
        <v>2.21047034932014E-014</v>
      </c>
      <c r="AU95" s="37" t="n">
        <f aca="false">0.5*(B95-B94)*(AA95*AL95+AA94*AL94)</f>
        <v>1.48436174605903E-011</v>
      </c>
      <c r="AV95" s="37" t="n">
        <f aca="false">0.5*(B95-B94)*(S95+S94)</f>
        <v>2.10086570450077E-012</v>
      </c>
      <c r="AW95" s="37" t="n">
        <f aca="false">0.5*(B95-B94)*(T95+T94)</f>
        <v>1.00425477351647E-011</v>
      </c>
      <c r="AX95" s="37" t="n">
        <f aca="false">0.5*(B95-B94)*(U95+U94)</f>
        <v>7.64080054298849E-012</v>
      </c>
      <c r="AY95" s="37" t="n">
        <f aca="false">0.5*(B95-B94)*(V95+V94)</f>
        <v>2.39351000599189E-009</v>
      </c>
      <c r="AZ95" s="37" t="n">
        <f aca="false">0.5*(B95-B94)*(W95+W94)</f>
        <v>1.19211128338229E-009</v>
      </c>
      <c r="BA95" s="37" t="n">
        <f aca="false">0.5*(B95-B94)*(X95+X94)</f>
        <v>1.36804477938679E-011</v>
      </c>
      <c r="BB95" s="37" t="n">
        <f aca="false">0.5*(B95-B94)*(Y95+Y94)</f>
        <v>1.81000060317299E-010</v>
      </c>
      <c r="BC95" s="37" t="n">
        <f aca="false">0.5*(B95-B94)*(Z95+Z94)</f>
        <v>5.66240765110183E-012</v>
      </c>
      <c r="BD95" s="37" t="n">
        <f aca="false">0.5*(B95-B94)*(AA95+AA94)</f>
        <v>3.8057484191191E-009</v>
      </c>
      <c r="BE95" s="37" t="n">
        <f aca="false">IF(B95&gt;2000,AK95,-999)</f>
        <v>-999</v>
      </c>
      <c r="BF95" s="37" t="n">
        <f aca="false">IF(AND(B95&lt;1000,AK95&gt;=-3),B95,1000000000)</f>
        <v>72.6156109540203</v>
      </c>
    </row>
    <row r="96" customFormat="false" ht="15" hidden="false" customHeight="false" outlineLevel="0" collapsed="false">
      <c r="A96" s="5" t="n">
        <v>57</v>
      </c>
      <c r="B96" s="47" t="n">
        <f aca="false">20*10^(A96/100)</f>
        <v>74.3070458194345</v>
      </c>
      <c r="C96" s="37" t="n">
        <f aca="false">2*PI()*B96</f>
        <v>466.884938512591</v>
      </c>
      <c r="D96" s="37" t="n">
        <f aca="false">SQRT(L_Rp0^2+L_Rp1^2*C96)</f>
        <v>77209632.8131851</v>
      </c>
      <c r="E96" s="5" t="str">
        <f aca="false">COMPLEX(D96,C96*L_Mp)</f>
        <v>77209632.8131851+6897160.07984428i</v>
      </c>
      <c r="F96" s="5" t="str">
        <f aca="false">IMDIV(1,E96)</f>
        <v>1.28492162845369e-08-1.1478244149849e-09i</v>
      </c>
      <c r="G96" s="5" t="str">
        <f aca="false">COMPLEX(0,C96*L_Cf)</f>
        <v>4.93692437890019e-13i</v>
      </c>
      <c r="H96" s="5" t="str">
        <f aca="false">COMPLEX(0,C96*L_Cbv)</f>
        <v>4.93692437890019e-12i</v>
      </c>
      <c r="I96" s="5" t="str">
        <f aca="false">COMPLEX(L_Rsq+L_Rh,C96*(L_Md+L_Mh)-1/(C96*L_Cd))</f>
        <v>552400610.124532-2467369083202.21i</v>
      </c>
      <c r="J96" s="5" t="str">
        <f aca="false">IMDIV(1,I96)</f>
        <v>9.07373080330467e-17+4.05289973309884e-13i</v>
      </c>
      <c r="K96" s="5" t="str">
        <f aca="false">IMSUM(F96,G96,H96)</f>
        <v>1.28492162845369e-08-1.14239379816811e-09i</v>
      </c>
      <c r="L96" s="5" t="str">
        <f aca="false">IMSUM(IMPRODUCT(IMSUM(F96,G96),H96),IMPRODUCT(IMSUM(J96,L_Yv),K96))</f>
        <v>3.18268842391422e-20+6.63583763958302e-20i</v>
      </c>
      <c r="M96" s="37" t="n">
        <f aca="false">IMABS(IMDIV(IMPRODUCT(J96,F96,H96),L96))^2</f>
        <v>1.23009978462179E-025</v>
      </c>
      <c r="N96" s="5" t="str">
        <f aca="false">IMDIV(IMPRODUCT(L_Yv,K96,E96),H96)</f>
        <v>0.000169861192188927-0.405095345774465i</v>
      </c>
      <c r="O96" s="37" t="n">
        <f aca="false">IMABS(IMSUM(1,IMPRODUCT(E96,G96),N96))^2</f>
        <v>1.16440429786522</v>
      </c>
      <c r="P96" s="37" t="n">
        <f aca="false">IMABS(N96)^2</f>
        <v>0.164102268020958</v>
      </c>
      <c r="Q96" s="37" t="n">
        <f aca="false">p_Rb^2/(1+(C96*p_Rb*L_Ctot)^2)</f>
        <v>7.56227416497141E+017</v>
      </c>
      <c r="R96" s="37" t="n">
        <f aca="false">M96*L_Kt^2*Q96</f>
        <v>1.8669392483342E-005</v>
      </c>
      <c r="S96" s="37" t="n">
        <f aca="false">L_kT4*D96</f>
        <v>1.27130447223399E-012</v>
      </c>
      <c r="T96" s="37" t="n">
        <f aca="false">L_kT4*L_Rsq*O96</f>
        <v>6.01472036772205E-012</v>
      </c>
      <c r="U96" s="37" t="n">
        <f aca="false">L_kT4*L_Rh*O96</f>
        <v>4.57625692837803E-012</v>
      </c>
      <c r="V96" s="37" t="n">
        <f aca="false">L_kT4*p_Rv*P96</f>
        <v>1.35102279105229E-009</v>
      </c>
      <c r="W96" s="37" t="n">
        <f aca="false">L_kT4/p_Rb*Q96/R96</f>
        <v>6.66960816484628E-010</v>
      </c>
      <c r="X96" s="37" t="n">
        <f aca="false">p_en^2*(1+p_fc/B96)/R96</f>
        <v>8.04145683152873E-012</v>
      </c>
      <c r="Y96" s="37" t="n">
        <f aca="false">p_in^2*Q96/R96</f>
        <v>1.01265670156634E-010</v>
      </c>
      <c r="Z96" s="37" t="n">
        <f aca="false">p_eo^2/L_G^2/R96</f>
        <v>3.39570383744465E-012</v>
      </c>
      <c r="AA96" s="37" t="n">
        <f aca="false">SUM(S96:Z96)</f>
        <v>2.14254872013086E-009</v>
      </c>
      <c r="AB96" s="47" t="n">
        <f aca="false">10*LOG10(AA96/L_PREF^2)</f>
        <v>7.28870714946816</v>
      </c>
      <c r="AC96" s="47" t="n">
        <f aca="false">10*LOG10(S96/L_PREF^2)</f>
        <v>-24.9781041656034</v>
      </c>
      <c r="AD96" s="47" t="n">
        <f aca="false">10*LOG10(T96/L_PREF^2)</f>
        <v>-18.2284455010567</v>
      </c>
      <c r="AE96" s="47" t="n">
        <f aca="false">10*LOG10(U96/L_PREF^2)</f>
        <v>-19.4154959192315</v>
      </c>
      <c r="AF96" s="47" t="n">
        <f aca="false">10*LOG10(V96/L_PREF^2)</f>
        <v>5.28602684078051</v>
      </c>
      <c r="AG96" s="47" t="n">
        <f aca="false">10*LOG10(W96/L_PREF^2)</f>
        <v>2.22040328818913</v>
      </c>
      <c r="AH96" s="47" t="n">
        <f aca="false">10*LOG10(X96/L_PREF^2)</f>
        <v>-16.9672525643778</v>
      </c>
      <c r="AI96" s="47" t="n">
        <f aca="false">10*LOG10(Y96/L_PREF^2)</f>
        <v>-5.96597750197003</v>
      </c>
      <c r="AJ96" s="47" t="n">
        <f aca="false">10*LOG10(Z96/L_PREF^2)</f>
        <v>-20.7113018589632</v>
      </c>
      <c r="AK96" s="47" t="n">
        <f aca="false">10*LOG10(R96/$R$6)</f>
        <v>-0.576407187462807</v>
      </c>
      <c r="AL96" s="37" t="n">
        <f aca="false">(12194^2*B96^4/((B96^2+20.6^2)*SQRT((B96^2+107.7^2)*(B96^2+737.9^2))*(B96^2+12194^2))*1.2589254)^2</f>
        <v>0.0044245726537905</v>
      </c>
      <c r="AM96" s="37" t="n">
        <f aca="false">0.5*(B96-B95)*(S96*AL96+S95*AL95)</f>
        <v>9.13141378595171E-015</v>
      </c>
      <c r="AN96" s="37" t="n">
        <f aca="false">0.5*(B96-B95)*(T96*AL96+T95*AL95)</f>
        <v>4.33429091468783E-014</v>
      </c>
      <c r="AO96" s="37" t="n">
        <f aca="false">0.5*(B96-B95)*(U96*AL96+U95*AL95)</f>
        <v>3.29771421035458E-014</v>
      </c>
      <c r="AP96" s="37" t="n">
        <f aca="false">0.5*(B96-B95)*(V96*AL96+V95*AL95)</f>
        <v>9.92390625686204E-012</v>
      </c>
      <c r="AQ96" s="37" t="n">
        <f aca="false">0.5*(B96-B95)*(W96*AL96+W95*AL95)</f>
        <v>4.91305906168982E-012</v>
      </c>
      <c r="AR96" s="37" t="n">
        <f aca="false">0.5*(B96-B95)*(X96*AL96+X95*AL95)</f>
        <v>5.82962785761553E-014</v>
      </c>
      <c r="AS96" s="37" t="n">
        <f aca="false">0.5*(B96-B95)*(Y96*AL96+Y95*AL95)</f>
        <v>7.45957192842993E-013</v>
      </c>
      <c r="AT96" s="37" t="n">
        <f aca="false">0.5*(B96-B95)*(Z96*AL96+Z95*AL95)</f>
        <v>2.44599801551184E-014</v>
      </c>
      <c r="AU96" s="37" t="n">
        <f aca="false">0.5*(B96-B95)*(AA96*AL96+AA95*AL95)</f>
        <v>1.57511302351625E-011</v>
      </c>
      <c r="AV96" s="37" t="n">
        <f aca="false">0.5*(B96-B95)*(S96+S95)</f>
        <v>2.15015152195962E-012</v>
      </c>
      <c r="AW96" s="37" t="n">
        <f aca="false">0.5*(B96-B95)*(T96+T95)</f>
        <v>1.02072972829768E-011</v>
      </c>
      <c r="AX96" s="37" t="n">
        <f aca="false">0.5*(B96-B95)*(U96+U95)</f>
        <v>7.76614905688916E-012</v>
      </c>
      <c r="AY96" s="37" t="n">
        <f aca="false">0.5*(B96-B95)*(V96+V95)</f>
        <v>2.3390193798661E-009</v>
      </c>
      <c r="AZ96" s="37" t="n">
        <f aca="false">0.5*(B96-B95)*(W96+W95)</f>
        <v>1.15812551311588E-009</v>
      </c>
      <c r="BA96" s="37" t="n">
        <f aca="false">0.5*(B96-B95)*(X96+X95)</f>
        <v>1.37324021588203E-011</v>
      </c>
      <c r="BB96" s="37" t="n">
        <f aca="false">0.5*(B96-B95)*(Y96+Y95)</f>
        <v>1.75839949383111E-010</v>
      </c>
      <c r="BC96" s="37" t="n">
        <f aca="false">0.5*(B96-B95)*(Z96+Z95)</f>
        <v>5.76024730679106E-012</v>
      </c>
      <c r="BD96" s="37" t="n">
        <f aca="false">0.5*(B96-B95)*(AA96+AA95)</f>
        <v>3.71260108969253E-009</v>
      </c>
      <c r="BE96" s="37" t="n">
        <f aca="false">IF(B96&gt;2000,AK96,-999)</f>
        <v>-999</v>
      </c>
      <c r="BF96" s="37" t="n">
        <f aca="false">IF(AND(B96&lt;1000,AK96&gt;=-3),B96,1000000000)</f>
        <v>74.3070458194345</v>
      </c>
    </row>
    <row r="97" customFormat="false" ht="15" hidden="false" customHeight="false" outlineLevel="0" collapsed="false">
      <c r="A97" s="5" t="n">
        <v>58</v>
      </c>
      <c r="B97" s="47" t="n">
        <f aca="false">20*10^(A97/100)</f>
        <v>76.0378792641122</v>
      </c>
      <c r="C97" s="37" t="n">
        <f aca="false">2*PI()*B97</f>
        <v>477.760085781365</v>
      </c>
      <c r="D97" s="37" t="n">
        <f aca="false">SQRT(L_Rp0^2+L_Rp1^2*C97)</f>
        <v>77222651.1625942</v>
      </c>
      <c r="E97" s="5" t="str">
        <f aca="false">COMPLEX(D97,C97*L_Mp)</f>
        <v>77222651.1625942+7057815.57634322i</v>
      </c>
      <c r="F97" s="5" t="str">
        <f aca="false">IMDIV(1,E97)</f>
        <v>1.28422945189379e-08-1.17373005105594e-09i</v>
      </c>
      <c r="G97" s="5" t="str">
        <f aca="false">COMPLEX(0,C97*L_Cf)</f>
        <v>5.05192012034858e-13i</v>
      </c>
      <c r="H97" s="5" t="str">
        <f aca="false">COMPLEX(0,C97*L_Cbv)</f>
        <v>5.05192012034858e-12i</v>
      </c>
      <c r="I97" s="5" t="str">
        <f aca="false">COMPLEX(L_Rsq+L_Rh,C97*(L_Md+L_Mh)-1/(C97*L_Cd))</f>
        <v>552400610.124532-2411204824918.67i</v>
      </c>
      <c r="J97" s="5" t="str">
        <f aca="false">IMDIV(1,I97)</f>
        <v>9.5013631775608e-17+4.14730402485878e-13i</v>
      </c>
      <c r="K97" s="5" t="str">
        <f aca="false">IMSUM(F97,G97,H97)</f>
        <v>1.28422945189379e-08-1.16817293892356e-09i</v>
      </c>
      <c r="L97" s="5" t="str">
        <f aca="false">IMSUM(IMPRODUCT(IMSUM(F97,G97),H97),IMPRODUCT(IMSUM(J97,L_Yv),K97))</f>
        <v>3.20973243351484e-20+6.78678791761454e-20i</v>
      </c>
      <c r="M97" s="37" t="n">
        <f aca="false">IMABS(IMDIV(IMPRODUCT(J97,F97,H97),L97))^2</f>
        <v>1.29523782426484E-025</v>
      </c>
      <c r="N97" s="5" t="str">
        <f aca="false">IMDIV(IMPRODUCT(L_Yv,K97,E97),H97)</f>
        <v>0.000169889832557735-0.395873551087913i</v>
      </c>
      <c r="O97" s="37" t="n">
        <f aca="false">IMABS(IMSUM(1,IMPRODUCT(E97,G97),N97))^2</f>
        <v>1.15701765834874</v>
      </c>
      <c r="P97" s="37" t="n">
        <f aca="false">IMABS(N97)^2</f>
        <v>0.15671589731351</v>
      </c>
      <c r="Q97" s="37" t="n">
        <f aca="false">p_Rb^2/(1+(C97*p_Rb*L_Ctot)^2)</f>
        <v>7.22191600681312E+017</v>
      </c>
      <c r="R97" s="37" t="n">
        <f aca="false">M97*L_Kt^2*Q97</f>
        <v>1.87732462414611E-005</v>
      </c>
      <c r="S97" s="37" t="n">
        <f aca="false">L_kT4*D97</f>
        <v>1.27151882742805E-012</v>
      </c>
      <c r="T97" s="37" t="n">
        <f aca="false">L_kT4*L_Rsq*O97</f>
        <v>5.97656474494546E-012</v>
      </c>
      <c r="U97" s="37" t="n">
        <f aca="false">L_kT4*L_Rh*O97</f>
        <v>4.54722649597006E-012</v>
      </c>
      <c r="V97" s="37" t="n">
        <f aca="false">L_kT4*p_Rv*P97</f>
        <v>1.29021220452433E-009</v>
      </c>
      <c r="W97" s="37" t="n">
        <f aca="false">L_kT4/p_Rb*Q97/R97</f>
        <v>6.33419084386747E-010</v>
      </c>
      <c r="X97" s="37" t="n">
        <f aca="false">p_en^2*(1+p_fc/B97)/R97</f>
        <v>7.89253887340053E-012</v>
      </c>
      <c r="Y97" s="37" t="n">
        <f aca="false">p_in^2*Q97/R97</f>
        <v>9.61729782095886E-011</v>
      </c>
      <c r="Z97" s="37" t="n">
        <f aca="false">p_eo^2/L_G^2/R97</f>
        <v>3.37691877489114E-012</v>
      </c>
      <c r="AA97" s="37" t="n">
        <f aca="false">SUM(S97:Z97)</f>
        <v>2.0428690348373E-009</v>
      </c>
      <c r="AB97" s="47" t="n">
        <f aca="false">10*LOG10(AA97/L_PREF^2)</f>
        <v>7.08180534251815</v>
      </c>
      <c r="AC97" s="47" t="n">
        <f aca="false">10*LOG10(S97/L_PREF^2)</f>
        <v>-24.9773719615358</v>
      </c>
      <c r="AD97" s="47" t="n">
        <f aca="false">10*LOG10(T97/L_PREF^2)</f>
        <v>-18.2560836269044</v>
      </c>
      <c r="AE97" s="47" t="n">
        <f aca="false">10*LOG10(U97/L_PREF^2)</f>
        <v>-19.4431340450791</v>
      </c>
      <c r="AF97" s="47" t="n">
        <f aca="false">10*LOG10(V97/L_PREF^2)</f>
        <v>5.08601154378031</v>
      </c>
      <c r="AG97" s="47" t="n">
        <f aca="false">10*LOG10(W97/L_PREF^2)</f>
        <v>1.99631152834225</v>
      </c>
      <c r="AH97" s="47" t="n">
        <f aca="false">10*LOG10(X97/L_PREF^2)</f>
        <v>-17.0484326171249</v>
      </c>
      <c r="AI97" s="47" t="n">
        <f aca="false">10*LOG10(Y97/L_PREF^2)</f>
        <v>-6.19006926181691</v>
      </c>
      <c r="AJ97" s="47" t="n">
        <f aca="false">10*LOG10(Z97/L_PREF^2)</f>
        <v>-20.7353937666259</v>
      </c>
      <c r="AK97" s="47" t="n">
        <f aca="false">10*LOG10(R97/$R$6)</f>
        <v>-0.552315279800141</v>
      </c>
      <c r="AL97" s="37" t="n">
        <f aca="false">(12194^2*B97^4/((B97^2+20.6^2)*SQRT((B97^2+107.7^2)*(B97^2+737.9^2))*(B97^2+12194^2))*1.2589254)^2</f>
        <v>0.00480737172891878</v>
      </c>
      <c r="AM97" s="37" t="n">
        <f aca="false">0.5*(B97-B96)*(S97*AL97+S96*AL96)</f>
        <v>1.0157952244214E-014</v>
      </c>
      <c r="AN97" s="37" t="n">
        <f aca="false">0.5*(B97-B96)*(T97*AL97+T96*AL96)</f>
        <v>4.78957404750071E-014</v>
      </c>
      <c r="AO97" s="37" t="n">
        <f aca="false">0.5*(B97-B96)*(U97*AL97+U96*AL96)</f>
        <v>3.644113122279E-014</v>
      </c>
      <c r="AP97" s="37" t="n">
        <f aca="false">0.5*(B97-B96)*(V97*AL97+V96*AL96)</f>
        <v>1.05409731421888E-011</v>
      </c>
      <c r="AQ97" s="37" t="n">
        <f aca="false">0.5*(B97-B96)*(W97*AL97+W96*AL96)</f>
        <v>5.18912312195549E-012</v>
      </c>
      <c r="AR97" s="37" t="n">
        <f aca="false">0.5*(B97-B96)*(X97*AL97+X96*AL96)</f>
        <v>6.36274955974396E-014</v>
      </c>
      <c r="AS97" s="37" t="n">
        <f aca="false">0.5*(B97-B96)*(Y97*AL97+Y96*AL96)</f>
        <v>7.87872416913144E-013</v>
      </c>
      <c r="AT97" s="37" t="n">
        <f aca="false">0.5*(B97-B96)*(Z97*AL97+Z96*AL96)</f>
        <v>2.70517516677909E-014</v>
      </c>
      <c r="AU97" s="37" t="n">
        <f aca="false">0.5*(B97-B96)*(AA97*AL97+AA96*AL96)</f>
        <v>1.67031427522647E-011</v>
      </c>
      <c r="AV97" s="37" t="n">
        <f aca="false">0.5*(B97-B96)*(S97+S96)</f>
        <v>2.20060180548041E-012</v>
      </c>
      <c r="AW97" s="37" t="n">
        <f aca="false">0.5*(B97-B96)*(T97+T96)</f>
        <v>1.03774586588355E-011</v>
      </c>
      <c r="AX97" s="37" t="n">
        <f aca="false">0.5*(B97-B96)*(U97+U96)</f>
        <v>7.89561512141228E-012</v>
      </c>
      <c r="AY97" s="37" t="n">
        <f aca="false">0.5*(B97-B96)*(V97+V96)</f>
        <v>2.28576893279863E-009</v>
      </c>
      <c r="AZ97" s="37" t="n">
        <f aca="false">0.5*(B97-B96)*(W97+W96)</f>
        <v>1.12537051160744E-009</v>
      </c>
      <c r="BA97" s="37" t="n">
        <f aca="false">0.5*(B97-B96)*(X97+X96)</f>
        <v>1.37895463367214E-011</v>
      </c>
      <c r="BB97" s="37" t="n">
        <f aca="false">0.5*(B97-B96)*(Y97+Y96)</f>
        <v>1.70866707932112E-010</v>
      </c>
      <c r="BC97" s="37" t="n">
        <f aca="false">0.5*(B97-B96)*(Z97+Z96)</f>
        <v>5.86114086280571E-012</v>
      </c>
      <c r="BD97" s="37" t="n">
        <f aca="false">0.5*(B97-B96)*(AA97+AA96)</f>
        <v>3.62213051512344E-009</v>
      </c>
      <c r="BE97" s="37" t="n">
        <f aca="false">IF(B97&gt;2000,AK97,-999)</f>
        <v>-999</v>
      </c>
      <c r="BF97" s="37" t="n">
        <f aca="false">IF(AND(B97&lt;1000,AK97&gt;=-3),B97,1000000000)</f>
        <v>76.0378792641122</v>
      </c>
    </row>
    <row r="98" customFormat="false" ht="15" hidden="false" customHeight="false" outlineLevel="0" collapsed="false">
      <c r="A98" s="5" t="n">
        <v>59</v>
      </c>
      <c r="B98" s="47" t="n">
        <f aca="false">20*10^(A98/100)</f>
        <v>77.8090289988561</v>
      </c>
      <c r="C98" s="37" t="n">
        <f aca="false">2*PI()*B98</f>
        <v>488.888547771523</v>
      </c>
      <c r="D98" s="37" t="n">
        <f aca="false">SQRT(L_Rp0^2+L_Rp1^2*C98)</f>
        <v>77235970.4767723</v>
      </c>
      <c r="E98" s="5" t="str">
        <f aca="false">COMPLEX(D98,C98*L_Mp)</f>
        <v>77235970.4767723+7222213.22008197i</v>
      </c>
      <c r="F98" s="5" t="str">
        <f aca="false">IMDIV(1,E98)</f>
        <v>1.28351072933099e-08-1.20019054596836e-09i</v>
      </c>
      <c r="G98" s="5" t="str">
        <f aca="false">COMPLEX(0,C98*L_Cf)</f>
        <v>5.16959445671485e-13i</v>
      </c>
      <c r="H98" s="5" t="str">
        <f aca="false">COMPLEX(0,C98*L_Cbv)</f>
        <v>5.16959445671485e-12i</v>
      </c>
      <c r="I98" s="5" t="str">
        <f aca="false">COMPLEX(L_Rsq+L_Rh,C98*(L_Md+L_Mh)-1/(C98*L_Cd))</f>
        <v>552400610.124532-2356319019349.37i</v>
      </c>
      <c r="J98" s="5" t="str">
        <f aca="false">IMDIV(1,I98)</f>
        <v>9.94914930415467e-17+4.24390728432417e-13i</v>
      </c>
      <c r="K98" s="5" t="str">
        <f aca="false">IMSUM(F98,G98,H98)</f>
        <v>1.28351072933099e-08-1.19450399206597e-09i</v>
      </c>
      <c r="L98" s="5" t="str">
        <f aca="false">IMSUM(IMPRODUCT(IMSUM(F98,G98),H98),IMPRODUCT(IMSUM(J98,L_Yv),K98))</f>
        <v>3.23802539126709e-20+6.94102732214337e-20i</v>
      </c>
      <c r="M98" s="37" t="n">
        <f aca="false">IMABS(IMDIV(IMPRODUCT(J98,F98,H98),L98))^2</f>
        <v>1.36352412984521E-025</v>
      </c>
      <c r="N98" s="5" t="str">
        <f aca="false">IMDIV(IMPRODUCT(L_Yv,K98,E98),H98)</f>
        <v>0.000169919135048928-0.386861653798151i</v>
      </c>
      <c r="O98" s="37" t="n">
        <f aca="false">IMABS(IMSUM(1,IMPRODUCT(E98,G98),N98))^2</f>
        <v>1.14996344635936</v>
      </c>
      <c r="P98" s="37" t="n">
        <f aca="false">IMABS(N98)^2</f>
        <v>0.149661968051953</v>
      </c>
      <c r="Q98" s="37" t="n">
        <f aca="false">p_Rb^2/(1+(C98*p_Rb*L_Ctot)^2)</f>
        <v>6.89687646755197E+017</v>
      </c>
      <c r="R98" s="37" t="n">
        <f aca="false">M98*L_Kt^2*Q98</f>
        <v>1.88735110726144E-005</v>
      </c>
      <c r="S98" s="37" t="n">
        <f aca="false">L_kT4*D98</f>
        <v>1.27173813819362E-012</v>
      </c>
      <c r="T98" s="37" t="n">
        <f aca="false">L_kT4*L_Rsq*O98</f>
        <v>5.94012627369579E-012</v>
      </c>
      <c r="U98" s="37" t="n">
        <f aca="false">L_kT4*L_Rh*O98</f>
        <v>4.51950254600713E-012</v>
      </c>
      <c r="V98" s="37" t="n">
        <f aca="false">L_kT4*p_Rv*P98</f>
        <v>1.23213854525219E-009</v>
      </c>
      <c r="W98" s="37" t="n">
        <f aca="false">L_kT4/p_Rb*Q98/R98</f>
        <v>6.01696984124551E-010</v>
      </c>
      <c r="X98" s="37" t="n">
        <f aca="false">p_en^2*(1+p_fc/B98)/R98</f>
        <v>7.74909684191285E-012</v>
      </c>
      <c r="Y98" s="37" t="n">
        <f aca="false">p_in^2*Q98/R98</f>
        <v>9.13565637180166E-011</v>
      </c>
      <c r="Z98" s="37" t="n">
        <f aca="false">p_eo^2/L_G^2/R98</f>
        <v>3.35897901850557E-012</v>
      </c>
      <c r="AA98" s="37" t="n">
        <f aca="false">SUM(S98:Z98)</f>
        <v>1.94803153591308E-009</v>
      </c>
      <c r="AB98" s="47" t="n">
        <f aca="false">10*LOG10(AA98/L_PREF^2)</f>
        <v>6.87535991893367</v>
      </c>
      <c r="AC98" s="47" t="n">
        <f aca="false">10*LOG10(S98/L_PREF^2)</f>
        <v>-24.9766229577439</v>
      </c>
      <c r="AD98" s="47" t="n">
        <f aca="false">10*LOG10(T98/L_PREF^2)</f>
        <v>-18.2826431412684</v>
      </c>
      <c r="AE98" s="47" t="n">
        <f aca="false">10*LOG10(U98/L_PREF^2)</f>
        <v>-19.4696935594431</v>
      </c>
      <c r="AF98" s="47" t="n">
        <f aca="false">10*LOG10(V98/L_PREF^2)</f>
        <v>4.8859955258452</v>
      </c>
      <c r="AG98" s="47" t="n">
        <f aca="false">10*LOG10(W98/L_PREF^2)</f>
        <v>1.77317843362384</v>
      </c>
      <c r="AH98" s="47" t="n">
        <f aca="false">10*LOG10(X98/L_PREF^2)</f>
        <v>-17.1280890294169</v>
      </c>
      <c r="AI98" s="47" t="n">
        <f aca="false">10*LOG10(Y98/L_PREF^2)</f>
        <v>-6.41320235653533</v>
      </c>
      <c r="AJ98" s="47" t="n">
        <f aca="false">10*LOG10(Z98/L_PREF^2)</f>
        <v>-20.7585270025073</v>
      </c>
      <c r="AK98" s="47" t="n">
        <f aca="false">10*LOG10(R98/$R$6)</f>
        <v>-0.529182043918753</v>
      </c>
      <c r="AL98" s="37" t="n">
        <f aca="false">(12194^2*B98^4/((B98^2+20.6^2)*SQRT((B98^2+107.7^2)*(B98^2+737.9^2))*(B98^2+12194^2))*1.2589254)^2</f>
        <v>0.00521930435690344</v>
      </c>
      <c r="AM98" s="37" t="n">
        <f aca="false">0.5*(B98-B97)*(S98*AL98+S97*AL97)</f>
        <v>1.12913027852112E-014</v>
      </c>
      <c r="AN98" s="37" t="n">
        <f aca="false">0.5*(B98-B97)*(T98*AL98+T97*AL97)</f>
        <v>5.28997220109007E-014</v>
      </c>
      <c r="AO98" s="37" t="n">
        <f aca="false">0.5*(B98-B97)*(U98*AL98+U97*AL97)</f>
        <v>4.02483747475262E-014</v>
      </c>
      <c r="AP98" s="37" t="n">
        <f aca="false">0.5*(B98-B97)*(V98*AL98+V97*AL97)</f>
        <v>1.1187853192194E-011</v>
      </c>
      <c r="AQ98" s="37" t="n">
        <f aca="false">0.5*(B98-B97)*(W98*AL98+W97*AL97)</f>
        <v>5.47774166433256E-012</v>
      </c>
      <c r="AR98" s="37" t="n">
        <f aca="false">0.5*(B98-B97)*(X98*AL98+X97*AL97)</f>
        <v>6.94177901751856E-014</v>
      </c>
      <c r="AS98" s="37" t="n">
        <f aca="false">0.5*(B98-B97)*(Y98*AL98+Y97*AL97)</f>
        <v>8.31693807002436E-013</v>
      </c>
      <c r="AT98" s="37" t="n">
        <f aca="false">0.5*(B98-B97)*(Z98*AL98+Z97*AL97)</f>
        <v>2.99020001060329E-014</v>
      </c>
      <c r="AU98" s="37" t="n">
        <f aca="false">0.5*(B98-B97)*(AA98*AL98+AA97*AL97)</f>
        <v>1.77010478533538E-011</v>
      </c>
      <c r="AV98" s="37" t="n">
        <f aca="false">0.5*(B98-B97)*(S98+S97)</f>
        <v>2.25224445002317E-012</v>
      </c>
      <c r="AW98" s="37" t="n">
        <f aca="false">0.5*(B98-B97)*(T98+T97)</f>
        <v>1.05531220683457E-011</v>
      </c>
      <c r="AX98" s="37" t="n">
        <f aca="false">0.5*(B98-B97)*(U98+U97)</f>
        <v>8.0292673688463E-012</v>
      </c>
      <c r="AY98" s="37" t="n">
        <f aca="false">0.5*(B98-B97)*(V98+V97)</f>
        <v>2.23373043069887E-009</v>
      </c>
      <c r="AZ98" s="37" t="n">
        <f aca="false">0.5*(B98-B97)*(W98+W97)</f>
        <v>1.09378774856085E-009</v>
      </c>
      <c r="BA98" s="37" t="n">
        <f aca="false">0.5*(B98-B97)*(X98+X97)</f>
        <v>1.38518394740689E-011</v>
      </c>
      <c r="BB98" s="37" t="n">
        <f aca="false">0.5*(B98-B97)*(Y98+Y97)</f>
        <v>1.6607144922086E-010</v>
      </c>
      <c r="BC98" s="37" t="n">
        <f aca="false">0.5*(B98-B97)*(Z98+Z97)</f>
        <v>5.96514179501826E-012</v>
      </c>
      <c r="BD98" s="37" t="n">
        <f aca="false">0.5*(B98-B97)*(AA98+AA97)</f>
        <v>3.53424124363688E-009</v>
      </c>
      <c r="BE98" s="37" t="n">
        <f aca="false">IF(B98&gt;2000,AK98,-999)</f>
        <v>-999</v>
      </c>
      <c r="BF98" s="37" t="n">
        <f aca="false">IF(AND(B98&lt;1000,AK98&gt;=-3),B98,1000000000)</f>
        <v>77.8090289988561</v>
      </c>
    </row>
    <row r="99" customFormat="false" ht="15" hidden="false" customHeight="false" outlineLevel="0" collapsed="false">
      <c r="A99" s="5" t="n">
        <v>60</v>
      </c>
      <c r="B99" s="47" t="n">
        <f aca="false">20*10^(A99/100)</f>
        <v>79.6214341106994</v>
      </c>
      <c r="C99" s="37" t="n">
        <f aca="false">2*PI()*B99</f>
        <v>500.276224940914</v>
      </c>
      <c r="D99" s="37" t="n">
        <f aca="false">SQRT(L_Rp0^2+L_Rp1^2*C99)</f>
        <v>77249597.6602654</v>
      </c>
      <c r="E99" s="5" t="str">
        <f aca="false">COMPLEX(D99,C99*L_Mp)</f>
        <v>77249597.6602654+7390440.17686729i</v>
      </c>
      <c r="F99" s="5" t="str">
        <f aca="false">IMDIV(1,E99)</f>
        <v>1.2827643952217e-08-1.22721590934287e-09i</v>
      </c>
      <c r="G99" s="5" t="str">
        <f aca="false">COMPLEX(0,C99*L_Cf)</f>
        <v>5.29000978048973e-13i</v>
      </c>
      <c r="H99" s="5" t="str">
        <f aca="false">COMPLEX(0,C99*L_Cbv)</f>
        <v>5.29000978048974e-12i</v>
      </c>
      <c r="I99" s="5" t="str">
        <f aca="false">COMPLEX(L_Rsq+L_Rh,C99*(L_Md+L_Mh)-1/(C99*L_Cd))</f>
        <v>552400610.124532-2302682565313.7i</v>
      </c>
      <c r="J99" s="5" t="str">
        <f aca="false">IMDIV(1,I99)</f>
        <v>1.04180390059063e-16+4.3427607326955e-13i</v>
      </c>
      <c r="K99" s="5" t="str">
        <f aca="false">IMSUM(F99,G99,H99)</f>
        <v>1.2827643952217e-08-1.22139689858433e-09i</v>
      </c>
      <c r="L99" s="5" t="str">
        <f aca="false">IMSUM(IMPRODUCT(IMSUM(F99,G99),H99),IMPRODUCT(IMSUM(J99,L_Yv),K99))</f>
        <v>3.26762334852539e-20+7.09861797699627e-20i</v>
      </c>
      <c r="M99" s="37" t="n">
        <f aca="false">IMABS(IMDIV(IMPRODUCT(J99,F99,H99),L99))^2</f>
        <v>1.43510476297447E-025</v>
      </c>
      <c r="N99" s="5" t="str">
        <f aca="false">IMDIV(IMPRODUCT(L_Yv,K99,E99),H99)</f>
        <v>0.000169949114852541-0.378054875677952i</v>
      </c>
      <c r="O99" s="37" t="n">
        <f aca="false">IMABS(IMSUM(1,IMPRODUCT(E99,G99),N99))^2</f>
        <v>1.14322669888229</v>
      </c>
      <c r="P99" s="37" t="n">
        <f aca="false">IMABS(N99)^2</f>
        <v>0.142925517906573</v>
      </c>
      <c r="Q99" s="37" t="n">
        <f aca="false">p_Rb^2/(1+(C99*p_Rb*L_Ctot)^2)</f>
        <v>6.58646609766872E+017</v>
      </c>
      <c r="R99" s="37" t="n">
        <f aca="false">M99*L_Kt^2*Q99</f>
        <v>1.89702691037891E-005</v>
      </c>
      <c r="S99" s="37" t="n">
        <f aca="false">L_kT4*D99</f>
        <v>1.27196251821833E-012</v>
      </c>
      <c r="T99" s="37" t="n">
        <f aca="false">L_kT4*L_Rsq*O99</f>
        <v>5.90532766264911E-012</v>
      </c>
      <c r="U99" s="37" t="n">
        <f aca="false">L_kT4*L_Rh*O99</f>
        <v>4.49302627193877E-012</v>
      </c>
      <c r="V99" s="37" t="n">
        <f aca="false">L_kT4*p_Rv*P99</f>
        <v>1.17667863121839E-009</v>
      </c>
      <c r="W99" s="37" t="n">
        <f aca="false">L_kT4/p_Rb*Q99/R99</f>
        <v>5.7168534163907E-010</v>
      </c>
      <c r="X99" s="37" t="n">
        <f aca="false">p_en^2*(1+p_fc/B99)/R99</f>
        <v>7.61087599856282E-012</v>
      </c>
      <c r="Y99" s="37" t="n">
        <f aca="false">p_in^2*Q99/R99</f>
        <v>8.6799850619319E-011</v>
      </c>
      <c r="Z99" s="37" t="n">
        <f aca="false">p_eo^2/L_G^2/R99</f>
        <v>3.34184651528121E-012</v>
      </c>
      <c r="AA99" s="37" t="n">
        <f aca="false">SUM(S99:Z99)</f>
        <v>1.85778686244343E-009</v>
      </c>
      <c r="AB99" s="47" t="n">
        <f aca="false">10*LOG10(AA99/L_PREF^2)</f>
        <v>6.66935896061465</v>
      </c>
      <c r="AC99" s="47" t="n">
        <f aca="false">10*LOG10(S99/L_PREF^2)</f>
        <v>-24.9758567747688</v>
      </c>
      <c r="AD99" s="47" t="n">
        <f aca="false">10*LOG10(T99/L_PREF^2)</f>
        <v>-18.3081599147284</v>
      </c>
      <c r="AE99" s="47" t="n">
        <f aca="false">10*LOG10(U99/L_PREF^2)</f>
        <v>-19.4952103329032</v>
      </c>
      <c r="AF99" s="47" t="n">
        <f aca="false">10*LOG10(V99/L_PREF^2)</f>
        <v>4.68597875299721</v>
      </c>
      <c r="AG99" s="47" t="n">
        <f aca="false">10*LOG10(W99/L_PREF^2)</f>
        <v>1.55097065453601</v>
      </c>
      <c r="AH99" s="47" t="n">
        <f aca="false">10*LOG10(X99/L_PREF^2)</f>
        <v>-17.2062534514253</v>
      </c>
      <c r="AI99" s="47" t="n">
        <f aca="false">10*LOG10(Y99/L_PREF^2)</f>
        <v>-6.63541013562315</v>
      </c>
      <c r="AJ99" s="47" t="n">
        <f aca="false">10*LOG10(Z99/L_PREF^2)</f>
        <v>-20.7807349164047</v>
      </c>
      <c r="AK99" s="47" t="n">
        <f aca="false">10*LOG10(R99/$R$6)</f>
        <v>-0.506974130021329</v>
      </c>
      <c r="AL99" s="37" t="n">
        <f aca="false">(12194^2*B99^4/((B99^2+20.6^2)*SQRT((B99^2+107.7^2)*(B99^2+737.9^2))*(B99^2+12194^2))*1.2589254)^2</f>
        <v>0.00566222536705414</v>
      </c>
      <c r="AM99" s="37" t="n">
        <f aca="false">0.5*(B99-B98)*(S99*AL99+S98*AL98)</f>
        <v>1.25415958375796E-014</v>
      </c>
      <c r="AN99" s="37" t="n">
        <f aca="false">0.5*(B99-B98)*(T99*AL99+T98*AL98)</f>
        <v>5.8396257297757E-014</v>
      </c>
      <c r="AO99" s="37" t="n">
        <f aca="false">0.5*(B99-B98)*(U99*AL99+U98*AL98)</f>
        <v>4.44303742671609E-014</v>
      </c>
      <c r="AP99" s="37" t="n">
        <f aca="false">0.5*(B99-B98)*(V99*AL99+V98*AL98)</f>
        <v>1.18653864300817E-011</v>
      </c>
      <c r="AQ99" s="37" t="n">
        <f aca="false">0.5*(B99-B98)*(W99*AL99+W98*AL98)</f>
        <v>5.77926233681769E-012</v>
      </c>
      <c r="AR99" s="37" t="n">
        <f aca="false">0.5*(B99-B98)*(X99*AL99+X98*AL98)</f>
        <v>7.57036087867344E-014</v>
      </c>
      <c r="AS99" s="37" t="n">
        <f aca="false">0.5*(B99-B98)*(Y99*AL99+Y98*AL98)</f>
        <v>8.77474147032335E-013</v>
      </c>
      <c r="AT99" s="37" t="n">
        <f aca="false">0.5*(B99-B98)*(Z99*AL99+Z98*AL98)</f>
        <v>3.30345466130207E-014</v>
      </c>
      <c r="AU99" s="37" t="n">
        <f aca="false">0.5*(B99-B98)*(AA99*AL99+AA98*AL98)</f>
        <v>1.8746229296734E-011</v>
      </c>
      <c r="AV99" s="37" t="n">
        <f aca="false">0.5*(B99-B98)*(S99+S98)</f>
        <v>2.30510803634011E-012</v>
      </c>
      <c r="AW99" s="37" t="n">
        <f aca="false">0.5*(B99-B98)*(T99+T98)</f>
        <v>1.0734380633168E-011</v>
      </c>
      <c r="AX99" s="37" t="n">
        <f aca="false">0.5*(B99-B98)*(U99+U98)</f>
        <v>8.16717665014018E-012</v>
      </c>
      <c r="AY99" s="37" t="n">
        <f aca="false">0.5*(B99-B98)*(V99+V98)</f>
        <v>2.18287628206563E-009</v>
      </c>
      <c r="AZ99" s="37" t="n">
        <f aca="false">0.5*(B99-B98)*(W99+W98)</f>
        <v>1.06332206268029E-009</v>
      </c>
      <c r="BA99" s="37" t="n">
        <f aca="false">0.5*(B99-B98)*(X99+X98)</f>
        <v>1.39192466469263E-011</v>
      </c>
      <c r="BB99" s="37" t="n">
        <f aca="false">0.5*(B99-B98)*(Y99+Y98)</f>
        <v>1.61445798026332E-010</v>
      </c>
      <c r="BC99" s="37" t="n">
        <f aca="false">0.5*(B99-B98)*(Z99+Z98)</f>
        <v>6.0723052255027E-012</v>
      </c>
      <c r="BD99" s="37" t="n">
        <f aca="false">0.5*(B99-B98)*(AA99+AA98)</f>
        <v>3.44884235996434E-009</v>
      </c>
      <c r="BE99" s="37" t="n">
        <f aca="false">IF(B99&gt;2000,AK99,-999)</f>
        <v>-999</v>
      </c>
      <c r="BF99" s="37" t="n">
        <f aca="false">IF(AND(B99&lt;1000,AK99&gt;=-3),B99,1000000000)</f>
        <v>79.6214341106994</v>
      </c>
    </row>
    <row r="100" customFormat="false" ht="15" hidden="false" customHeight="false" outlineLevel="0" collapsed="false">
      <c r="A100" s="5" t="n">
        <v>61</v>
      </c>
      <c r="B100" s="47" t="n">
        <f aca="false">20*10^(A100/100)</f>
        <v>81.4760555608225</v>
      </c>
      <c r="C100" s="37" t="n">
        <f aca="false">2*PI()*B100</f>
        <v>511.929155186708</v>
      </c>
      <c r="D100" s="37" t="n">
        <f aca="false">SQRT(L_Rp0^2+L_Rp1^2*C100)</f>
        <v>77263539.7735468</v>
      </c>
      <c r="E100" s="5" t="str">
        <f aca="false">COMPLEX(D100,C100*L_Mp)</f>
        <v>77263539.7735468+7562585.64285844i</v>
      </c>
      <c r="F100" s="5" t="str">
        <f aca="false">IMDIV(1,E100)</f>
        <v>1.2819893417685e-08-1.25481620681264e-09i</v>
      </c>
      <c r="G100" s="5" t="str">
        <f aca="false">COMPLEX(0,C100*L_Cf)</f>
        <v>5.4132299374718e-13i</v>
      </c>
      <c r="H100" s="5" t="str">
        <f aca="false">COMPLEX(0,C100*L_Cbv)</f>
        <v>5.4132299374718e-12i</v>
      </c>
      <c r="I100" s="5" t="str">
        <f aca="false">COMPLEX(L_Rsq+L_Rh,C100*(L_Md+L_Mh)-1/(C100*L_Cd))</f>
        <v>552400610.124532-2250267024053.77i</v>
      </c>
      <c r="J100" s="5" t="str">
        <f aca="false">IMDIV(1,I100)</f>
        <v>1.09090268699595e-16+4.4439167843157e-13i</v>
      </c>
      <c r="K100" s="5" t="str">
        <f aca="false">IMSUM(F100,G100,H100)</f>
        <v>1.2819893417685e-08-1.24886165388142e-09i</v>
      </c>
      <c r="L100" s="5" t="str">
        <f aca="false">IMSUM(IMPRODUCT(IMSUM(F100,G100),H100),IMPRODUCT(IMSUM(J100,L_Yv),K100))</f>
        <v>3.29858474383922e-20+7.25962252505927e-20i</v>
      </c>
      <c r="M100" s="37" t="n">
        <f aca="false">IMABS(IMDIV(IMPRODUCT(J100,F100,H100),L100))^2</f>
        <v>1.51013269129795E-025</v>
      </c>
      <c r="N100" s="5" t="str">
        <f aca="false">IMDIV(IMPRODUCT(L_Yv,K100,E100),H100)</f>
        <v>0.000169979787501994-0.369448547256988i</v>
      </c>
      <c r="O100" s="37" t="n">
        <f aca="false">IMABS(IMSUM(1,IMPRODUCT(E100,G100),N100))^2</f>
        <v>1.13679312628557</v>
      </c>
      <c r="P100" s="37" t="n">
        <f aca="false">IMABS(N100)^2</f>
        <v>0.136492257963427</v>
      </c>
      <c r="Q100" s="37" t="n">
        <f aca="false">p_Rb^2/(1+(C100*p_Rb*L_Ctot)^2)</f>
        <v>6.29002647781659E+017</v>
      </c>
      <c r="R100" s="37" t="n">
        <f aca="false">M100*L_Kt^2*Q100</f>
        <v>1.90636039968627E-005</v>
      </c>
      <c r="S100" s="37" t="n">
        <f aca="false">L_kT4*D100</f>
        <v>1.27219208375726E-012</v>
      </c>
      <c r="T100" s="37" t="n">
        <f aca="false">L_kT4*L_Rsq*O100</f>
        <v>5.87209509883457E-012</v>
      </c>
      <c r="U100" s="37" t="n">
        <f aca="false">L_kT4*L_Rh*O100</f>
        <v>4.46774151369462E-012</v>
      </c>
      <c r="V100" s="37" t="n">
        <f aca="false">L_kT4*p_Rv*P100</f>
        <v>1.12371482450948E-009</v>
      </c>
      <c r="W100" s="37" t="n">
        <f aca="false">L_kT4/p_Rb*Q100/R100</f>
        <v>5.43282296606507E-010</v>
      </c>
      <c r="X100" s="37" t="n">
        <f aca="false">p_en^2*(1+p_fc/B100)/R100</f>
        <v>7.47763567294938E-012</v>
      </c>
      <c r="Y100" s="37" t="n">
        <f aca="false">p_in^2*Q100/R100</f>
        <v>8.24873733063766E-011</v>
      </c>
      <c r="Z100" s="37" t="n">
        <f aca="false">p_eo^2/L_G^2/R100</f>
        <v>3.32548492451257E-012</v>
      </c>
      <c r="AA100" s="37" t="n">
        <f aca="false">SUM(S100:Z100)</f>
        <v>1.77189964371612E-009</v>
      </c>
      <c r="AB100" s="47" t="n">
        <f aca="false">10*LOG10(AA100/L_PREF^2)</f>
        <v>6.46379129487999</v>
      </c>
      <c r="AC100" s="47" t="n">
        <f aca="false">10*LOG10(S100/L_PREF^2)</f>
        <v>-24.9750730248584</v>
      </c>
      <c r="AD100" s="47" t="n">
        <f aca="false">10*LOG10(T100/L_PREF^2)</f>
        <v>-18.3326691094504</v>
      </c>
      <c r="AE100" s="47" t="n">
        <f aca="false">10*LOG10(U100/L_PREF^2)</f>
        <v>-19.5197195276251</v>
      </c>
      <c r="AF100" s="47" t="n">
        <f aca="false">10*LOG10(V100/L_PREF^2)</f>
        <v>4.48596118965691</v>
      </c>
      <c r="AG100" s="47" t="n">
        <f aca="false">10*LOG10(W100/L_PREF^2)</f>
        <v>1.32965562019081</v>
      </c>
      <c r="AH100" s="47" t="n">
        <f aca="false">10*LOG10(X100/L_PREF^2)</f>
        <v>-17.2829568978793</v>
      </c>
      <c r="AI100" s="47" t="n">
        <f aca="false">10*LOG10(Y100/L_PREF^2)</f>
        <v>-6.85672516996836</v>
      </c>
      <c r="AJ100" s="47" t="n">
        <f aca="false">10*LOG10(Z100/L_PREF^2)</f>
        <v>-20.8020500794921</v>
      </c>
      <c r="AK100" s="47" t="n">
        <f aca="false">10*LOG10(R100/$R$6)</f>
        <v>-0.485658966933948</v>
      </c>
      <c r="AL100" s="37" t="n">
        <f aca="false">(12194^2*B100^4/((B100^2+20.6^2)*SQRT((B100^2+107.7^2)*(B100^2+737.9^2))*(B100^2+12194^2))*1.2589254)^2</f>
        <v>0.00613807711428473</v>
      </c>
      <c r="AM100" s="37" t="n">
        <f aca="false">0.5*(B100-B99)*(S100*AL100+S99*AL99)</f>
        <v>1.39198163665127E-014</v>
      </c>
      <c r="AN100" s="37" t="n">
        <f aca="false">0.5*(B100-B99)*(T100*AL100+T99*AL99)</f>
        <v>6.44301692062321E-014</v>
      </c>
      <c r="AO100" s="37" t="n">
        <f aca="false">0.5*(B100-B99)*(U100*AL100+U99*AL99)</f>
        <v>4.90212329419159E-014</v>
      </c>
      <c r="AP100" s="37" t="n">
        <f aca="false">0.5*(B100-B99)*(V100*AL100+V99*AL99)</f>
        <v>1.25743963423185E-011</v>
      </c>
      <c r="AQ100" s="37" t="n">
        <f aca="false">0.5*(B100-B99)*(W100*AL100+W99*AL99)</f>
        <v>6.09402632200054E-012</v>
      </c>
      <c r="AR100" s="37" t="n">
        <f aca="false">0.5*(B100-B99)*(X100*AL100+X99*AL99)</f>
        <v>8.25239774645208E-014</v>
      </c>
      <c r="AS100" s="37" t="n">
        <f aca="false">0.5*(B100-B99)*(Y100*AL100+Y99*AL99)</f>
        <v>9.25265239271782E-013</v>
      </c>
      <c r="AT100" s="37" t="n">
        <f aca="false">0.5*(B100-B99)*(Z100*AL100+Z99*AL99)</f>
        <v>3.64751841110234E-014</v>
      </c>
      <c r="AU100" s="37" t="n">
        <f aca="false">0.5*(B100-B99)*(AA100*AL100+AA99*AL99)</f>
        <v>1.9840058283681E-011</v>
      </c>
      <c r="AV100" s="37" t="n">
        <f aca="false">0.5*(B100-B99)*(S100+S99)</f>
        <v>2.35922184862667E-012</v>
      </c>
      <c r="AW100" s="37" t="n">
        <f aca="false">0.5*(B100-B99)*(T100+T99)</f>
        <v>1.09213304403079E-011</v>
      </c>
      <c r="AX100" s="37" t="n">
        <f aca="false">0.5*(B100-B99)*(U100+U99)</f>
        <v>8.3094160724039E-012</v>
      </c>
      <c r="AY100" s="37" t="n">
        <f aca="false">0.5*(B100-B99)*(V100+V99)</f>
        <v>2.13317952335786E-009</v>
      </c>
      <c r="AZ100" s="37" t="n">
        <f aca="false">0.5*(B100-B99)*(W100+W99)</f>
        <v>1.03392144904167E-009</v>
      </c>
      <c r="BA100" s="37" t="n">
        <f aca="false">0.5*(B100-B99)*(X100+X99)</f>
        <v>1.39917386982097E-011</v>
      </c>
      <c r="BB100" s="37" t="n">
        <f aca="false">0.5*(B100-B99)*(Y100+Y99)</f>
        <v>1.56981858362194E-010</v>
      </c>
      <c r="BC100" s="37" t="n">
        <f aca="false">0.5*(B100-B99)*(Z100+Z99)</f>
        <v>6.18268795166086E-012</v>
      </c>
      <c r="BD100" s="37" t="n">
        <f aca="false">0.5*(B100-B99)*(AA100+AA99)</f>
        <v>3.36584722577294E-009</v>
      </c>
      <c r="BE100" s="37" t="n">
        <f aca="false">IF(B100&gt;2000,AK100,-999)</f>
        <v>-999</v>
      </c>
      <c r="BF100" s="37" t="n">
        <f aca="false">IF(AND(B100&lt;1000,AK100&gt;=-3),B100,1000000000)</f>
        <v>81.4760555608225</v>
      </c>
    </row>
    <row r="101" customFormat="false" ht="15" hidden="false" customHeight="false" outlineLevel="0" collapsed="false">
      <c r="A101" s="5" t="n">
        <v>62</v>
      </c>
      <c r="B101" s="47" t="n">
        <f aca="false">20*10^(A101/100)</f>
        <v>83.3738766940671</v>
      </c>
      <c r="C101" s="37" t="n">
        <f aca="false">2*PI()*B101</f>
        <v>523.853517046765</v>
      </c>
      <c r="D101" s="37" t="n">
        <f aca="false">SQRT(L_Rp0^2+L_Rp1^2*C101)</f>
        <v>77277804.0364238</v>
      </c>
      <c r="E101" s="5" t="str">
        <f aca="false">COMPLEX(D101,C101*L_Mp)</f>
        <v>77277804.0364238+7738740.89186008i</v>
      </c>
      <c r="F101" s="5" t="str">
        <f aca="false">IMDIV(1,E101)</f>
        <v>1.28118441741551e-08-1.28300155066442e-09i</v>
      </c>
      <c r="G101" s="5" t="str">
        <f aca="false">COMPLEX(0,C101*L_Cf)</f>
        <v>5.53932026061927e-13i</v>
      </c>
      <c r="H101" s="5" t="str">
        <f aca="false">COMPLEX(0,C101*L_Cbv)</f>
        <v>5.53932026061927e-12i</v>
      </c>
      <c r="I101" s="5" t="str">
        <f aca="false">COMPLEX(L_Rsq+L_Rh,C101*(L_Md+L_Mh)-1/(C101*L_Cd))</f>
        <v>552400610.124532-2199044604155.79i</v>
      </c>
      <c r="J101" s="5" t="str">
        <f aca="false">IMDIV(1,I101)</f>
        <v>1.14231543575128e-16+4.54742907446538e-13i</v>
      </c>
      <c r="K101" s="5" t="str">
        <f aca="false">IMSUM(F101,G101,H101)</f>
        <v>1.28118441741551e-08-1.27690829837774e-09i</v>
      </c>
      <c r="L101" s="5" t="str">
        <f aca="false">IMSUM(IMPRODUCT(IMSUM(F101,G101),H101),IMPRODUCT(IMSUM(J101,L_Yv),K101))</f>
        <v>3.33097049342996e-20+7.42410408193402e-20i</v>
      </c>
      <c r="M101" s="37" t="n">
        <f aca="false">IMABS(IMDIV(IMPRODUCT(J101,F101,H101),L101))^2</f>
        <v>1.58876811789212E-025</v>
      </c>
      <c r="N101" s="5" t="str">
        <f aca="false">IMDIV(IMPRODUCT(L_Yv,K101,E101),H101)</f>
        <v>0.000170011168880272-0.361038105346009i</v>
      </c>
      <c r="O101" s="37" t="n">
        <f aca="false">IMABS(IMSUM(1,IMPRODUCT(E101,G101),N101))^2</f>
        <v>1.13064908200972</v>
      </c>
      <c r="P101" s="37" t="n">
        <f aca="false">IMABS(N101)^2</f>
        <v>0.130348542415633</v>
      </c>
      <c r="Q101" s="37" t="n">
        <f aca="false">p_Rb^2/(1+(C101*p_Rb*L_Ctot)^2)</f>
        <v>6.00692882224821E+017</v>
      </c>
      <c r="R101" s="37" t="n">
        <f aca="false">M101*L_Kt^2*Q101</f>
        <v>1.91536006041008E-005</v>
      </c>
      <c r="S101" s="37" t="n">
        <f aca="false">L_kT4*D101</f>
        <v>1.272426953689E-012</v>
      </c>
      <c r="T101" s="37" t="n">
        <f aca="false">L_kT4*L_Rsq*O101</f>
        <v>5.84035809106686E-012</v>
      </c>
      <c r="U101" s="37" t="n">
        <f aca="false">L_kT4*L_Rh*O101</f>
        <v>4.44359463856101E-012</v>
      </c>
      <c r="V101" s="37" t="n">
        <f aca="false">L_kT4*p_Rv*P101</f>
        <v>1.07313478179032E-009</v>
      </c>
      <c r="W101" s="37" t="n">
        <f aca="false">L_kT4/p_Rb*Q101/R101</f>
        <v>5.16392762083753E-010</v>
      </c>
      <c r="X101" s="37" t="n">
        <f aca="false">p_en^2*(1+p_fc/B101)/R101</f>
        <v>7.34914840912399E-012</v>
      </c>
      <c r="Y101" s="37" t="n">
        <f aca="false">p_in^2*Q101/R101</f>
        <v>7.84046945847107E-011</v>
      </c>
      <c r="Z101" s="37" t="n">
        <f aca="false">p_eo^2/L_G^2/R101</f>
        <v>3.30985954071066E-012</v>
      </c>
      <c r="AA101" s="37" t="n">
        <f aca="false">SUM(S101:Z101)</f>
        <v>1.69014762609194E-009</v>
      </c>
      <c r="AB101" s="47" t="n">
        <f aca="false">10*LOG10(AA101/L_PREF^2)</f>
        <v>6.25864648431891</v>
      </c>
      <c r="AC101" s="47" t="n">
        <f aca="false">10*LOG10(S101/L_PREF^2)</f>
        <v>-24.9742713117995</v>
      </c>
      <c r="AD101" s="47" t="n">
        <f aca="false">10*LOG10(T101/L_PREF^2)</f>
        <v>-18.3562051541306</v>
      </c>
      <c r="AE101" s="47" t="n">
        <f aca="false">10*LOG10(U101/L_PREF^2)</f>
        <v>-19.5432555723053</v>
      </c>
      <c r="AF101" s="47" t="n">
        <f aca="false">10*LOG10(V101/L_PREF^2)</f>
        <v>4.28594279856771</v>
      </c>
      <c r="AG101" s="47" t="n">
        <f aca="false">10*LOG10(W101/L_PREF^2)</f>
        <v>1.10920155107017</v>
      </c>
      <c r="AH101" s="47" t="n">
        <f aca="false">10*LOG10(X101/L_PREF^2)</f>
        <v>-17.3582297369211</v>
      </c>
      <c r="AI101" s="47" t="n">
        <f aca="false">10*LOG10(Y101/L_PREF^2)</f>
        <v>-7.07717923908899</v>
      </c>
      <c r="AJ101" s="47" t="n">
        <f aca="false">10*LOG10(Z101/L_PREF^2)</f>
        <v>-20.8225042715605</v>
      </c>
      <c r="AK101" s="47" t="n">
        <f aca="false">10*LOG10(R101/$R$6)</f>
        <v>-0.465204774865484</v>
      </c>
      <c r="AL101" s="37" t="n">
        <f aca="false">(12194^2*B101^4/((B101^2+20.6^2)*SQRT((B101^2+107.7^2)*(B101^2+737.9^2))*(B101^2+12194^2))*1.2589254)^2</f>
        <v>0.00664889136384114</v>
      </c>
      <c r="AM101" s="37" t="n">
        <f aca="false">0.5*(B101-B100)*(S101*AL101+S100*AL100)</f>
        <v>1.54378655758475E-014</v>
      </c>
      <c r="AN101" s="37" t="n">
        <f aca="false">0.5*(B101-B100)*(T101*AL101+T100*AL100)</f>
        <v>7.10499434337462E-014</v>
      </c>
      <c r="AO101" s="37" t="n">
        <f aca="false">0.5*(B101-B100)*(U101*AL101+U100*AL100)</f>
        <v>5.40578407675316E-014</v>
      </c>
      <c r="AP101" s="37" t="n">
        <f aca="false">0.5*(B101-B100)*(V101*AL101+V100*AL100)</f>
        <v>1.33156870005994E-011</v>
      </c>
      <c r="AQ101" s="37" t="n">
        <f aca="false">0.5*(B101-B100)*(W101*AL101+W100*AL100)</f>
        <v>6.42236716084205E-012</v>
      </c>
      <c r="AR101" s="37" t="n">
        <f aca="false">0.5*(B101-B100)*(X101*AL101+X100*AL100)</f>
        <v>8.99206572140293E-014</v>
      </c>
      <c r="AS101" s="37" t="n">
        <f aca="false">0.5*(B101-B100)*(Y101*AL101+Y100*AL100)</f>
        <v>9.75117725749664E-013</v>
      </c>
      <c r="AT101" s="37" t="n">
        <f aca="false">0.5*(B101-B100)*(Z101*AL101+Z100*AL100)</f>
        <v>4.02518178015327E-014</v>
      </c>
      <c r="AU101" s="37" t="n">
        <f aca="false">0.5*(B101-B100)*(AA101*AL101+AA100*AL100)</f>
        <v>2.09838900119838E-011</v>
      </c>
      <c r="AV101" s="37" t="n">
        <f aca="false">0.5*(B101-B100)*(S101+S100)</f>
        <v>2.41461589266093E-012</v>
      </c>
      <c r="AW101" s="37" t="n">
        <f aca="false">0.5*(B101-B100)*(T101+T100)</f>
        <v>1.11140705929661E-011</v>
      </c>
      <c r="AX101" s="37" t="n">
        <f aca="false">0.5*(B101-B100)*(U101+U100)</f>
        <v>8.45606103759837E-012</v>
      </c>
      <c r="AY101" s="37" t="n">
        <f aca="false">0.5*(B101-B100)*(V101+V100)</f>
        <v>2.08461380469785E-009</v>
      </c>
      <c r="AZ101" s="37" t="n">
        <f aca="false">0.5*(B101-B100)*(W101+W100)</f>
        <v>1.00553686037726E-009</v>
      </c>
      <c r="BA101" s="37" t="n">
        <f aca="false">0.5*(B101-B100)*(X101+X100)</f>
        <v>1.40692920845063E-011</v>
      </c>
      <c r="BB101" s="37" t="n">
        <f aca="false">0.5*(B101-B100)*(Y101+Y100)</f>
        <v>1.5267218330756E-010</v>
      </c>
      <c r="BC101" s="37" t="n">
        <f aca="false">0.5*(B101-B100)*(Z101+Z100)</f>
        <v>6.2963484762289E-012</v>
      </c>
      <c r="BD101" s="37" t="n">
        <f aca="false">0.5*(B101-B100)*(AA101+AA100)</f>
        <v>3.28517323646663E-009</v>
      </c>
      <c r="BE101" s="37" t="n">
        <f aca="false">IF(B101&gt;2000,AK101,-999)</f>
        <v>-999</v>
      </c>
      <c r="BF101" s="37" t="n">
        <f aca="false">IF(AND(B101&lt;1000,AK101&gt;=-3),B101,1000000000)</f>
        <v>83.3738766940671</v>
      </c>
    </row>
    <row r="102" customFormat="false" ht="15" hidden="false" customHeight="false" outlineLevel="0" collapsed="false">
      <c r="A102" s="5" t="n">
        <v>63</v>
      </c>
      <c r="B102" s="47" t="n">
        <f aca="false">20*10^(A102/100)</f>
        <v>85.3159037603186</v>
      </c>
      <c r="C102" s="37" t="n">
        <f aca="false">2*PI()*B102</f>
        <v>536.055632975581</v>
      </c>
      <c r="D102" s="37" t="n">
        <f aca="false">SQRT(L_Rp0^2+L_Rp1^2*C102)</f>
        <v>77292397.8315143</v>
      </c>
      <c r="E102" s="5" t="str">
        <f aca="false">COMPLEX(D102,C102*L_Mp)</f>
        <v>77292397.8315143+7918999.32371694i</v>
      </c>
      <c r="F102" s="5" t="str">
        <f aca="false">IMDIV(1,E102)</f>
        <v>1.2803484253088e-08-1.31178208964924e-09i</v>
      </c>
      <c r="G102" s="5" t="str">
        <f aca="false">COMPLEX(0,C102*L_Cf)</f>
        <v>5.66834760469051e-13i</v>
      </c>
      <c r="H102" s="5" t="str">
        <f aca="false">COMPLEX(0,C102*L_Cbv)</f>
        <v>5.66834760469051e-12i</v>
      </c>
      <c r="I102" s="5" t="str">
        <f aca="false">COMPLEX(L_Rsq+L_Rh,C102*(L_Md+L_Mh)-1/(C102*L_Cd))</f>
        <v>552400610.124532-2148988146814.74i</v>
      </c>
      <c r="J102" s="5" t="str">
        <f aca="false">IMDIV(1,I102)</f>
        <v>1.19615120129836e-16+4.65335248780571e-13i</v>
      </c>
      <c r="K102" s="5" t="str">
        <f aca="false">IMSUM(F102,G102,H102)</f>
        <v>1.2803484253088e-08-1.30554690728408e-09i</v>
      </c>
      <c r="L102" s="5" t="str">
        <f aca="false">IMSUM(IMPRODUCT(IMSUM(F102,G102),H102),IMPRODUCT(IMSUM(J102,L_Yv),K102))</f>
        <v>3.36484408406612e-20+7.59212618501345e-20i</v>
      </c>
      <c r="M102" s="37" t="n">
        <f aca="false">IMABS(IMDIV(IMPRODUCT(J102,F102,H102),L102))^2</f>
        <v>1.67117882584021E-025</v>
      </c>
      <c r="N102" s="5" t="str">
        <f aca="false">IMDIV(IMPRODUCT(L_Yv,K102,E102),H102)</f>
        <v>0.000170043275229396-0.352819090617385i</v>
      </c>
      <c r="O102" s="37" t="n">
        <f aca="false">IMABS(IMSUM(1,IMPRODUCT(E102,G102),N102))^2</f>
        <v>1.12478153362158</v>
      </c>
      <c r="P102" s="37" t="n">
        <f aca="false">IMABS(N102)^2</f>
        <v>0.124481339618794</v>
      </c>
      <c r="Q102" s="37" t="n">
        <f aca="false">p_Rb^2/(1+(C102*p_Rb*L_Ctot)^2)</f>
        <v>5.73657264509739E+017</v>
      </c>
      <c r="R102" s="37" t="n">
        <f aca="false">M102*L_Kt^2*Q102</f>
        <v>1.92403446456864E-005</v>
      </c>
      <c r="S102" s="37" t="n">
        <f aca="false">L_kT4*D102</f>
        <v>1.27266724957294E-012</v>
      </c>
      <c r="T102" s="37" t="n">
        <f aca="false">L_kT4*L_Rsq*O102</f>
        <v>5.81004932042469E-012</v>
      </c>
      <c r="U102" s="37" t="n">
        <f aca="false">L_kT4*L_Rh*O102</f>
        <v>4.42053442741866E-012</v>
      </c>
      <c r="V102" s="37" t="n">
        <f aca="false">L_kT4*p_Rv*P102</f>
        <v>1.02483121600875E-009</v>
      </c>
      <c r="W102" s="37" t="n">
        <f aca="false">L_kT4/p_Rb*Q102/R102</f>
        <v>4.90927927055581E-010</v>
      </c>
      <c r="X102" s="37" t="n">
        <f aca="false">p_en^2*(1+p_fc/B102)/R102</f>
        <v>7.22519916613885E-012</v>
      </c>
      <c r="Y102" s="37" t="n">
        <f aca="false">p_in^2*Q102/R102</f>
        <v>7.45383301434716E-011</v>
      </c>
      <c r="Z102" s="37" t="n">
        <f aca="false">p_eo^2/L_G^2/R102</f>
        <v>3.29493721998673E-012</v>
      </c>
      <c r="AA102" s="37" t="n">
        <f aca="false">SUM(S102:Z102)</f>
        <v>1.61232086059134E-009</v>
      </c>
      <c r="AB102" s="47" t="n">
        <f aca="false">10*LOG10(AA102/L_PREF^2)</f>
        <v>6.05391481698093</v>
      </c>
      <c r="AC102" s="47" t="n">
        <f aca="false">10*LOG10(S102/L_PREF^2)</f>
        <v>-24.9734512307464</v>
      </c>
      <c r="AD102" s="47" t="n">
        <f aca="false">10*LOG10(T102/L_PREF^2)</f>
        <v>-18.3788017227715</v>
      </c>
      <c r="AE102" s="47" t="n">
        <f aca="false">10*LOG10(U102/L_PREF^2)</f>
        <v>-19.5658521409463</v>
      </c>
      <c r="AF102" s="47" t="n">
        <f aca="false">10*LOG10(V102/L_PREF^2)</f>
        <v>4.08592354071698</v>
      </c>
      <c r="AG102" s="47" t="n">
        <f aca="false">10*LOG10(W102/L_PREF^2)</f>
        <v>0.889577468651104</v>
      </c>
      <c r="AH102" s="47" t="n">
        <f aca="false">10*LOG10(X102/L_PREF^2)</f>
        <v>-17.4321016819517</v>
      </c>
      <c r="AI102" s="47" t="n">
        <f aca="false">10*LOG10(Y102/L_PREF^2)</f>
        <v>-7.29680332150806</v>
      </c>
      <c r="AJ102" s="47" t="n">
        <f aca="false">10*LOG10(Z102/L_PREF^2)</f>
        <v>-20.8421284713939</v>
      </c>
      <c r="AK102" s="47" t="n">
        <f aca="false">10*LOG10(R102/$R$6)</f>
        <v>-0.445580575032157</v>
      </c>
      <c r="AL102" s="37" t="n">
        <f aca="false">(12194^2*B102^4/((B102^2+20.6^2)*SQRT((B102^2+107.7^2)*(B102^2+737.9^2))*(B102^2+12194^2))*1.2589254)^2</f>
        <v>0.00719679109362472</v>
      </c>
      <c r="AM102" s="37" t="n">
        <f aca="false">0.5*(B102-B101)*(S102*AL102+S101*AL101)</f>
        <v>1.71086262368391E-014</v>
      </c>
      <c r="AN102" s="37" t="n">
        <f aca="false">0.5*(B102-B101)*(T102*AL102+T101*AL101)</f>
        <v>7.83079861508616E-014</v>
      </c>
      <c r="AO102" s="37" t="n">
        <f aca="false">0.5*(B102-B101)*(U102*AL102+U101*AL101)</f>
        <v>5.95800706036698E-014</v>
      </c>
      <c r="AP102" s="37" t="n">
        <f aca="false">0.5*(B102-B101)*(V102*AL102+V101*AL101)</f>
        <v>1.40900401954407E-011</v>
      </c>
      <c r="AQ102" s="37" t="n">
        <f aca="false">0.5*(B102-B101)*(W102*AL102+W101*AL101)</f>
        <v>6.76460958017768E-012</v>
      </c>
      <c r="AR102" s="37" t="n">
        <f aca="false">0.5*(B102-B101)*(X102*AL102+X101*AL101)</f>
        <v>9.79383071613097E-014</v>
      </c>
      <c r="AS102" s="37" t="n">
        <f aca="false">0.5*(B102-B101)*(Y102*AL102+Y101*AL101)</f>
        <v>1.02708091023286E-012</v>
      </c>
      <c r="AT102" s="37" t="n">
        <f aca="false">0.5*(B102-B101)*(Z102*AL102+Z101*AL101)</f>
        <v>4.43946138180953E-014</v>
      </c>
      <c r="AU102" s="37" t="n">
        <f aca="false">0.5*(B102-B101)*(AA102*AL102+AA101*AL101)</f>
        <v>2.21790602898221E-011</v>
      </c>
      <c r="AV102" s="37" t="n">
        <f aca="false">0.5*(B102-B101)*(S102+S101)</f>
        <v>2.4713209144472E-012</v>
      </c>
      <c r="AW102" s="37" t="n">
        <f aca="false">0.5*(B102-B101)*(T102+T101)</f>
        <v>1.13127032629867E-011</v>
      </c>
      <c r="AX102" s="37" t="n">
        <f aca="false">0.5*(B102-B101)*(U102+U101)</f>
        <v>8.60718928243944E-012</v>
      </c>
      <c r="AY102" s="37" t="n">
        <f aca="false">0.5*(B102-B101)*(V102+V101)</f>
        <v>2.03715337590053E-009</v>
      </c>
      <c r="AZ102" s="37" t="n">
        <f aca="false">0.5*(B102-B101)*(W102+W101)</f>
        <v>9.78122021351834E-010</v>
      </c>
      <c r="BA102" s="37" t="n">
        <f aca="false">0.5*(B102-B101)*(X102+X101)</f>
        <v>1.41518887320585E-011</v>
      </c>
      <c r="BB102" s="37" t="n">
        <f aca="false">0.5*(B102-B101)*(Y102+Y101)</f>
        <v>1.48509746808249E-010</v>
      </c>
      <c r="BC102" s="37" t="n">
        <f aca="false">0.5*(B102-B101)*(Z102+Z101)</f>
        <v>6.41334703818219E-012</v>
      </c>
      <c r="BD102" s="37" t="n">
        <f aca="false">0.5*(B102-B101)*(AA102+AA101)</f>
        <v>3.20674159329073E-009</v>
      </c>
      <c r="BE102" s="37" t="n">
        <f aca="false">IF(B102&gt;2000,AK102,-999)</f>
        <v>-999</v>
      </c>
      <c r="BF102" s="37" t="n">
        <f aca="false">IF(AND(B102&lt;1000,AK102&gt;=-3),B102,1000000000)</f>
        <v>85.3159037603186</v>
      </c>
    </row>
    <row r="103" customFormat="false" ht="15" hidden="false" customHeight="false" outlineLevel="0" collapsed="false">
      <c r="A103" s="5" t="n">
        <v>64</v>
      </c>
      <c r="B103" s="47" t="n">
        <f aca="false">20*10^(A103/100)</f>
        <v>87.3031664480332</v>
      </c>
      <c r="C103" s="37" t="n">
        <f aca="false">2*PI()*B103</f>
        <v>548.541972696536</v>
      </c>
      <c r="D103" s="37" t="n">
        <f aca="false">SQRT(L_Rp0^2+L_Rp1^2*C103)</f>
        <v>77307328.7077936</v>
      </c>
      <c r="E103" s="5" t="str">
        <f aca="false">COMPLEX(D103,C103*L_Mp)</f>
        <v>77307328.7077936+8103456.51383557i</v>
      </c>
      <c r="F103" s="5" t="str">
        <f aca="false">IMDIV(1,E103)</f>
        <v>1.27948012172286e-08-1.34116799791234e-09i</v>
      </c>
      <c r="G103" s="5" t="str">
        <f aca="false">COMPLEX(0,C103*L_Cf)</f>
        <v>5.80038038169119e-13i</v>
      </c>
      <c r="H103" s="5" t="str">
        <f aca="false">COMPLEX(0,C103*L_Cbv)</f>
        <v>5.80038038169119e-12i</v>
      </c>
      <c r="I103" s="5" t="str">
        <f aca="false">COMPLEX(L_Rsq+L_Rh,C103*(L_Md+L_Mh)-1/(C103*L_Cd))</f>
        <v>552400610.124532-2100071111434.34i</v>
      </c>
      <c r="J103" s="5" t="str">
        <f aca="false">IMDIV(1,I103)</f>
        <v>1.25252417772942e-16+4.76174318748422e-13i</v>
      </c>
      <c r="K103" s="5" t="str">
        <f aca="false">IMSUM(F103,G103,H103)</f>
        <v>1.27948012172286e-08-1.33478757949248e-09i</v>
      </c>
      <c r="L103" s="5" t="str">
        <f aca="false">IMSUM(IMPRODUCT(IMSUM(F103,G103),H103),IMPRODUCT(IMSUM(J103,L_Yv),K103))</f>
        <v>3.40027166829688e-20+7.76375273768301e-20i</v>
      </c>
      <c r="M103" s="37" t="n">
        <f aca="false">IMABS(IMDIV(IMPRODUCT(J103,F103,H103),L103))^2</f>
        <v>1.75754053871281E-025</v>
      </c>
      <c r="N103" s="5" t="str">
        <f aca="false">IMDIV(IMPRODUCT(L_Yv,K103,E103),H103)</f>
        <v>0.000170076123157021-0.344787145240721i</v>
      </c>
      <c r="O103" s="37" t="n">
        <f aca="false">IMABS(IMSUM(1,IMPRODUCT(E103,G103),N103))^2</f>
        <v>1.11917803517076</v>
      </c>
      <c r="P103" s="37" t="n">
        <f aca="false">IMABS(N103)^2</f>
        <v>0.118878204449134</v>
      </c>
      <c r="Q103" s="37" t="n">
        <f aca="false">p_Rb^2/(1+(C103*p_Rb*L_Ctot)^2)</f>
        <v>5.47838448668686E+017</v>
      </c>
      <c r="R103" s="37" t="n">
        <f aca="false">M103*L_Kt^2*Q103</f>
        <v>1.93239224091826E-005</v>
      </c>
      <c r="S103" s="37" t="n">
        <f aca="false">L_kT4*D103</f>
        <v>1.27291309570763E-012</v>
      </c>
      <c r="T103" s="37" t="n">
        <f aca="false">L_kT4*L_Rsq*O103</f>
        <v>5.78110449745858E-012</v>
      </c>
      <c r="U103" s="37" t="n">
        <f aca="false">L_kT4*L_Rh*O103</f>
        <v>4.39851196610023E-012</v>
      </c>
      <c r="V103" s="37" t="n">
        <f aca="false">L_kT4*p_Rv*P103</f>
        <v>9.78701668825456E-010</v>
      </c>
      <c r="W103" s="37" t="n">
        <f aca="false">L_kT4/p_Rb*Q103/R103</f>
        <v>4.66804798317644E-010</v>
      </c>
      <c r="X103" s="37" t="n">
        <f aca="false">p_en^2*(1+p_fc/B103)/R103</f>
        <v>7.10558456927569E-012</v>
      </c>
      <c r="Y103" s="37" t="n">
        <f aca="false">p_in^2*Q103/R103</f>
        <v>7.08756789988399E-011</v>
      </c>
      <c r="Z103" s="37" t="n">
        <f aca="false">p_eo^2/L_G^2/R103</f>
        <v>3.28068630974834E-012</v>
      </c>
      <c r="AA103" s="37" t="n">
        <f aca="false">SUM(S103:Z103)</f>
        <v>1.53822094658023E-009</v>
      </c>
      <c r="AB103" s="47" t="n">
        <f aca="false">10*LOG10(AA103/L_PREF^2)</f>
        <v>5.84958729695848</v>
      </c>
      <c r="AC103" s="47" t="n">
        <f aca="false">10*LOG10(S103/L_PREF^2)</f>
        <v>-24.9726123680468</v>
      </c>
      <c r="AD103" s="47" t="n">
        <f aca="false">10*LOG10(T103/L_PREF^2)</f>
        <v>-18.4004917170904</v>
      </c>
      <c r="AE103" s="47" t="n">
        <f aca="false">10*LOG10(U103/L_PREF^2)</f>
        <v>-19.5875421352651</v>
      </c>
      <c r="AF103" s="47" t="n">
        <f aca="false">10*LOG10(V103/L_PREF^2)</f>
        <v>3.88590337525345</v>
      </c>
      <c r="AG103" s="47" t="n">
        <f aca="false">10*LOG10(W103/L_PREF^2)</f>
        <v>0.670753202102479</v>
      </c>
      <c r="AH103" s="47" t="n">
        <f aca="false">10*LOG10(X103/L_PREF^2)</f>
        <v>-17.5046017862571</v>
      </c>
      <c r="AI103" s="47" t="n">
        <f aca="false">10*LOG10(Y103/L_PREF^2)</f>
        <v>-7.51562758805668</v>
      </c>
      <c r="AJ103" s="47" t="n">
        <f aca="false">10*LOG10(Z103/L_PREF^2)</f>
        <v>-20.8609528500722</v>
      </c>
      <c r="AK103" s="47" t="n">
        <f aca="false">10*LOG10(R103/$R$6)</f>
        <v>-0.426756196353777</v>
      </c>
      <c r="AL103" s="37" t="n">
        <f aca="false">(12194^2*B103^4/((B103^2+20.6^2)*SQRT((B103^2+107.7^2)*(B103^2+737.9^2))*(B103^2+12194^2))*1.2589254)^2</f>
        <v>0.0077839922136174</v>
      </c>
      <c r="AM103" s="37" t="n">
        <f aca="false">0.5*(B103-B102)*(S103*AL103+S102*AL102)</f>
        <v>1.89460318183108E-014</v>
      </c>
      <c r="AN103" s="37" t="n">
        <f aca="false">0.5*(B103-B102)*(T103*AL103+T102*AL102)</f>
        <v>8.6260896460905E-014</v>
      </c>
      <c r="AO103" s="37" t="n">
        <f aca="false">0.5*(B103-B102)*(U103*AL103+U102*AL102)</f>
        <v>6.56309854728658E-014</v>
      </c>
      <c r="AP103" s="37" t="n">
        <f aca="false">0.5*(B103-B102)*(V103*AL103+V102*AL102)</f>
        <v>1.48982126029394E-011</v>
      </c>
      <c r="AQ103" s="37" t="n">
        <f aca="false">0.5*(B103-B102)*(W103*AL103+W102*AL102)</f>
        <v>7.12106833263518E-012</v>
      </c>
      <c r="AR103" s="37" t="n">
        <f aca="false">0.5*(B103-B102)*(X103*AL103+X102*AL102)</f>
        <v>1.06624655808221E-013</v>
      </c>
      <c r="AS103" s="37" t="n">
        <f aca="false">0.5*(B103-B102)*(Y103*AL103+Y102*AL102)</f>
        <v>1.08120258208918E-012</v>
      </c>
      <c r="AT103" s="37" t="n">
        <f aca="false">0.5*(B103-B102)*(Z103*AL103+Z102*AL102)</f>
        <v>4.89361564145343E-014</v>
      </c>
      <c r="AU103" s="37" t="n">
        <f aca="false">0.5*(B103-B102)*(AA103*AL103+AA102*AL102)</f>
        <v>2.34268822436386E-011</v>
      </c>
      <c r="AV103" s="37" t="n">
        <f aca="false">0.5*(B103-B102)*(S103+S102)</f>
        <v>2.52936841937794E-012</v>
      </c>
      <c r="AW103" s="37" t="n">
        <f aca="false">0.5*(B103-B102)*(T103+T102)</f>
        <v>1.15173337449204E-011</v>
      </c>
      <c r="AX103" s="37" t="n">
        <f aca="false">0.5*(B103-B102)*(U103+U102)</f>
        <v>8.76288091953232E-012</v>
      </c>
      <c r="AY103" s="37" t="n">
        <f aca="false">0.5*(B103-B102)*(V103+V102)</f>
        <v>1.99077307282016E-009</v>
      </c>
      <c r="AZ103" s="37" t="n">
        <f aca="false">0.5*(B103-B102)*(W103+W102)</f>
        <v>9.51633254968741E-010</v>
      </c>
      <c r="BA103" s="37" t="n">
        <f aca="false">0.5*(B103-B102)*(X103+X102)</f>
        <v>1.42395159015487E-011</v>
      </c>
      <c r="BB103" s="37" t="n">
        <f aca="false">0.5*(B103-B102)*(Y103+Y102)</f>
        <v>1.44487917319757E-010</v>
      </c>
      <c r="BC103" s="37" t="n">
        <f aca="false">0.5*(B103-B102)*(Z103+Z102)</f>
        <v>6.53374564455054E-012</v>
      </c>
      <c r="BD103" s="37" t="n">
        <f aca="false">0.5*(B103-B102)*(AA103+AA102)</f>
        <v>3.13047708973859E-009</v>
      </c>
      <c r="BE103" s="37" t="n">
        <f aca="false">IF(B103&gt;2000,AK103,-999)</f>
        <v>-999</v>
      </c>
      <c r="BF103" s="37" t="n">
        <f aca="false">IF(AND(B103&lt;1000,AK103&gt;=-3),B103,1000000000)</f>
        <v>87.3031664480332</v>
      </c>
    </row>
    <row r="104" customFormat="false" ht="15" hidden="false" customHeight="false" outlineLevel="0" collapsed="false">
      <c r="A104" s="5" t="n">
        <v>65</v>
      </c>
      <c r="B104" s="47" t="n">
        <f aca="false">20*10^(A104/100)</f>
        <v>89.3367184301926</v>
      </c>
      <c r="C104" s="37" t="n">
        <f aca="false">2*PI()*B104</f>
        <v>561.319156632226</v>
      </c>
      <c r="D104" s="37" t="n">
        <f aca="false">SQRT(L_Rp0^2+L_Rp1^2*C104)</f>
        <v>77322604.3842123</v>
      </c>
      <c r="E104" s="5" t="str">
        <f aca="false">COMPLEX(D104,C104*L_Mp)</f>
        <v>77322604.3842123+8292210.26385977i</v>
      </c>
      <c r="F104" s="5" t="str">
        <f aca="false">IMDIV(1,E104)</f>
        <v>1.27857821445466e-08-1.37116946298995e-09i</v>
      </c>
      <c r="G104" s="5" t="str">
        <f aca="false">COMPLEX(0,C104*L_Cf)</f>
        <v>5.93548859714736e-13i</v>
      </c>
      <c r="H104" s="5" t="str">
        <f aca="false">COMPLEX(0,C104*L_Cbv)</f>
        <v>5.93548859714736e-12i</v>
      </c>
      <c r="I104" s="5" t="str">
        <f aca="false">COMPLEX(L_Rsq+L_Rh,C104*(L_Md+L_Mh)-1/(C104*L_Cd))</f>
        <v>552400610.124532-2052267561554.96i</v>
      </c>
      <c r="J104" s="5" t="str">
        <f aca="false">IMDIV(1,I104)</f>
        <v>1.31155394101839e-16+4.87265864491861e-13i</v>
      </c>
      <c r="K104" s="5" t="str">
        <f aca="false">IMSUM(F104,G104,H104)</f>
        <v>1.27857821445466e-08-1.36464042553309e-09i</v>
      </c>
      <c r="L104" s="5" t="str">
        <f aca="false">IMSUM(IMPRODUCT(IMSUM(F104,G104),H104),IMPRODUCT(IMSUM(J104,L_Yv),K104))</f>
        <v>3.43732216199021e-20+7.93904794834148e-20i</v>
      </c>
      <c r="M104" s="37" t="n">
        <f aca="false">IMABS(IMDIV(IMPRODUCT(J104,F104,H104),L104))^2</f>
        <v>1.84803729771525E-025</v>
      </c>
      <c r="N104" s="5" t="str">
        <f aca="false">IMDIV(IMPRODUCT(L_Yv,K104,E104),H104)</f>
        <v>0.000170109729645069-0.336938010572261i</v>
      </c>
      <c r="O104" s="37" t="n">
        <f aca="false">IMABS(IMSUM(1,IMPRODUCT(E104,G104),N104))^2</f>
        <v>1.11382670078991</v>
      </c>
      <c r="P104" s="37" t="n">
        <f aca="false">IMABS(N104)^2</f>
        <v>0.113527251905713</v>
      </c>
      <c r="Q104" s="37" t="n">
        <f aca="false">p_Rb^2/(1+(C104*p_Rb*L_Ctot)^2)</f>
        <v>5.23181669716062E+017</v>
      </c>
      <c r="R104" s="37" t="n">
        <f aca="false">M104*L_Kt^2*Q104</f>
        <v>1.94044204706675E-005</v>
      </c>
      <c r="S104" s="37" t="n">
        <f aca="false">L_kT4*D104</f>
        <v>1.27316461919039E-012</v>
      </c>
      <c r="T104" s="37" t="n">
        <f aca="false">L_kT4*L_Rsq*O104</f>
        <v>5.75346222582323E-012</v>
      </c>
      <c r="U104" s="37" t="n">
        <f aca="false">L_kT4*L_Rh*O104</f>
        <v>4.37748054163597E-012</v>
      </c>
      <c r="V104" s="37" t="n">
        <f aca="false">L_kT4*p_Rv*P104</f>
        <v>9.34648293286021E-010</v>
      </c>
      <c r="W104" s="37" t="n">
        <f aca="false">L_kT4/p_Rb*Q104/R104</f>
        <v>4.43945778433812E-010</v>
      </c>
      <c r="X104" s="37" t="n">
        <f aca="false">p_en^2*(1+p_fc/B104)/R104</f>
        <v>6.99011220867042E-012</v>
      </c>
      <c r="Y104" s="37" t="n">
        <f aca="false">p_in^2*Q104/R104</f>
        <v>6.74049594146506E-011</v>
      </c>
      <c r="Z104" s="37" t="n">
        <f aca="false">p_eo^2/L_G^2/R104</f>
        <v>3.26707658155915E-012</v>
      </c>
      <c r="AA104" s="37" t="n">
        <f aca="false">SUM(S104:Z104)</f>
        <v>1.46766032731136E-009</v>
      </c>
      <c r="AB104" s="47" t="n">
        <f aca="false">10*LOG10(AA104/L_PREF^2)</f>
        <v>5.64565563541149</v>
      </c>
      <c r="AC104" s="47" t="n">
        <f aca="false">10*LOG10(S104/L_PREF^2)</f>
        <v>-24.9717543010652</v>
      </c>
      <c r="AD104" s="47" t="n">
        <f aca="false">10*LOG10(T104/L_PREF^2)</f>
        <v>-18.4213072523562</v>
      </c>
      <c r="AE104" s="47" t="n">
        <f aca="false">10*LOG10(U104/L_PREF^2)</f>
        <v>-19.608357670531</v>
      </c>
      <c r="AF104" s="47" t="n">
        <f aca="false">10*LOG10(V104/L_PREF^2)</f>
        <v>3.68588225940015</v>
      </c>
      <c r="AG104" s="47" t="n">
        <f aca="false">10*LOG10(W104/L_PREF^2)</f>
        <v>0.452699392259168</v>
      </c>
      <c r="AH104" s="47" t="n">
        <f aca="false">10*LOG10(X104/L_PREF^2)</f>
        <v>-17.5757584402073</v>
      </c>
      <c r="AI104" s="47" t="n">
        <f aca="false">10*LOG10(Y104/L_PREF^2)</f>
        <v>-7.73368139789999</v>
      </c>
      <c r="AJ104" s="47" t="n">
        <f aca="false">10*LOG10(Z104/L_PREF^2)</f>
        <v>-20.8790067669986</v>
      </c>
      <c r="AK104" s="47" t="n">
        <f aca="false">10*LOG10(R104/$R$6)</f>
        <v>-0.408702279427379</v>
      </c>
      <c r="AL104" s="37" t="n">
        <f aca="false">(12194^2*B104^4/((B104^2+20.6^2)*SQRT((B104^2+107.7^2)*(B104^2+737.9^2))*(B104^2+12194^2))*1.2589254)^2</f>
        <v>0.00841280520316309</v>
      </c>
      <c r="AM104" s="37" t="n">
        <f aca="false">0.5*(B104-B103)*(S104*AL104+S103*AL103)</f>
        <v>2.09651396031022E-014</v>
      </c>
      <c r="AN104" s="37" t="n">
        <f aca="false">0.5*(B104-B103)*(T104*AL104+T103*AL103)</f>
        <v>9.49697543758277E-014</v>
      </c>
      <c r="AO104" s="37" t="n">
        <f aca="false">0.5*(B104-B103)*(U104*AL104+U103*AL103)</f>
        <v>7.22570576649001E-014</v>
      </c>
      <c r="AP104" s="37" t="n">
        <f aca="false">0.5*(B104-B103)*(V104*AL104+V103*AL103)</f>
        <v>1.57409330063614E-011</v>
      </c>
      <c r="AQ104" s="37" t="n">
        <f aca="false">0.5*(B104-B103)*(W104*AL104+W103*AL103)</f>
        <v>7.49204705770092E-012</v>
      </c>
      <c r="AR104" s="37" t="n">
        <f aca="false">0.5*(B104-B103)*(X104*AL104+X103*AL103)</f>
        <v>1.16030680802853E-013</v>
      </c>
      <c r="AS104" s="37" t="n">
        <f aca="false">0.5*(B104-B103)*(Y104*AL104+Y103*AL103)</f>
        <v>1.13752884336138E-012</v>
      </c>
      <c r="AT104" s="37" t="n">
        <f aca="false">0.5*(B104-B103)*(Z104*AL104+Z103*AL103)</f>
        <v>5.39116140924513E-014</v>
      </c>
      <c r="AU104" s="37" t="n">
        <f aca="false">0.5*(B104-B103)*(AA104*AL104+AA103*AL103)</f>
        <v>2.47286431539629E-011</v>
      </c>
      <c r="AV104" s="37" t="n">
        <f aca="false">0.5*(B104-B103)*(S104+S103)</f>
        <v>2.5887906919314E-012</v>
      </c>
      <c r="AW104" s="37" t="n">
        <f aca="false">0.5*(B104-B103)*(T104+T103)</f>
        <v>1.17280705117399E-011</v>
      </c>
      <c r="AX104" s="37" t="n">
        <f aca="false">0.5*(B104-B103)*(U104+U103)</f>
        <v>8.9232184797616E-012</v>
      </c>
      <c r="AY104" s="37" t="n">
        <f aca="false">0.5*(B104-B103)*(V104+V103)</f>
        <v>1.94544830400823E-009</v>
      </c>
      <c r="AZ104" s="37" t="n">
        <f aca="false">0.5*(B104-B103)*(W104+W103)</f>
        <v>9.26029320302881E-010</v>
      </c>
      <c r="BA104" s="37" t="n">
        <f aca="false">0.5*(B104-B103)*(X104+X103)</f>
        <v>1.43321660613553E-011</v>
      </c>
      <c r="BB104" s="37" t="n">
        <f aca="false">0.5*(B104-B103)*(Y104+Y103)</f>
        <v>1.40600433170012E-010</v>
      </c>
      <c r="BC104" s="37" t="n">
        <f aca="false">0.5*(B104-B103)*(Z104+Z103)</f>
        <v>6.65760810316412E-012</v>
      </c>
      <c r="BD104" s="37" t="n">
        <f aca="false">0.5*(B104-B103)*(AA104+AA103)</f>
        <v>3.05630791132907E-009</v>
      </c>
      <c r="BE104" s="37" t="n">
        <f aca="false">IF(B104&gt;2000,AK104,-999)</f>
        <v>-999</v>
      </c>
      <c r="BF104" s="37" t="n">
        <f aca="false">IF(AND(B104&lt;1000,AK104&gt;=-3),B104,1000000000)</f>
        <v>89.3367184301926</v>
      </c>
    </row>
    <row r="105" customFormat="false" ht="15" hidden="false" customHeight="false" outlineLevel="0" collapsed="false">
      <c r="A105" s="5" t="n">
        <v>66</v>
      </c>
      <c r="B105" s="47" t="n">
        <f aca="false">20*10^(A105/100)</f>
        <v>91.417637922975</v>
      </c>
      <c r="C105" s="37" t="n">
        <f aca="false">2*PI()*B105</f>
        <v>574.3939594147</v>
      </c>
      <c r="D105" s="37" t="n">
        <f aca="false">SQRT(L_Rp0^2+L_Rp1^2*C105)</f>
        <v>77338232.7533876</v>
      </c>
      <c r="E105" s="5" t="str">
        <f aca="false">COMPLEX(D105,C105*L_Mp)</f>
        <v>77338232.7533876+8485360.65352625i</v>
      </c>
      <c r="F105" s="5" t="str">
        <f aca="false">IMDIV(1,E105)</f>
        <v>1.27764136118684e-08-1.40179667281803e-09i</v>
      </c>
      <c r="G105" s="5" t="str">
        <f aca="false">COMPLEX(0,C105*L_Cf)</f>
        <v>6.07374388722322e-13i</v>
      </c>
      <c r="H105" s="5" t="str">
        <f aca="false">COMPLEX(0,C105*L_Cbv)</f>
        <v>6.07374388722322e-12i</v>
      </c>
      <c r="I105" s="5" t="str">
        <f aca="false">COMPLEX(L_Rsq+L_Rh,C105*(L_Md+L_Mh)-1/(C105*L_Cd))</f>
        <v>552400610.124532-2005552151101.68i</v>
      </c>
      <c r="J105" s="5" t="str">
        <f aca="false">IMDIV(1,I105)</f>
        <v>1.37336570266894e-16+4.98615767027489e-13i</v>
      </c>
      <c r="K105" s="5" t="str">
        <f aca="false">IMSUM(F105,G105,H105)</f>
        <v>1.27764136118684e-08-1.39511555454208e-09i</v>
      </c>
      <c r="L105" s="5" t="str">
        <f aca="false">IMSUM(IMPRODUCT(IMSUM(F105,G105),H105),IMPRODUCT(IMSUM(J105,L_Yv),K105))</f>
        <v>3.47606734410602e-20+8.11807626391939e-20i</v>
      </c>
      <c r="M105" s="37" t="n">
        <f aca="false">IMABS(IMDIV(IMPRODUCT(J105,F105,H105),L105))^2</f>
        <v>1.94286185630205E-025</v>
      </c>
      <c r="N105" s="5" t="str">
        <f aca="false">IMDIV(IMPRODUCT(L_Yv,K105,E105),H105)</f>
        <v>0.000170144112057635-0.329267524896909i</v>
      </c>
      <c r="O105" s="37" t="n">
        <f aca="false">IMABS(IMSUM(1,IMPRODUCT(E105,G105),N105))^2</f>
        <v>1.10871617948334</v>
      </c>
      <c r="P105" s="37" t="n">
        <f aca="false">IMABS(N105)^2</f>
        <v>0.108417131900755</v>
      </c>
      <c r="Q105" s="37" t="n">
        <f aca="false">p_Rb^2/(1+(C105*p_Rb*L_Ctot)^2)</f>
        <v>4.99634627486078E+017</v>
      </c>
      <c r="R105" s="37" t="n">
        <f aca="false">M105*L_Kt^2*Q105</f>
        <v>1.94819254371488E-005</v>
      </c>
      <c r="S105" s="37" t="n">
        <f aca="false">L_kT4*D105</f>
        <v>1.27342194997804E-012</v>
      </c>
      <c r="T105" s="37" t="n">
        <f aca="false">L_kT4*L_Rsq*O105</f>
        <v>5.72706387204813E-012</v>
      </c>
      <c r="U105" s="37" t="n">
        <f aca="false">L_kT4*L_Rh*O105</f>
        <v>4.35739554316964E-012</v>
      </c>
      <c r="V105" s="37" t="n">
        <f aca="false">L_kT4*p_Rv*P105</f>
        <v>8.92577646274436E-010</v>
      </c>
      <c r="W105" s="37" t="n">
        <f aca="false">L_kT4/p_Rb*Q105/R105</f>
        <v>4.22278276784167E-010</v>
      </c>
      <c r="X105" s="37" t="n">
        <f aca="false">p_en^2*(1+p_fc/B105)/R105</f>
        <v>6.8785999822612E-012</v>
      </c>
      <c r="Y105" s="37" t="n">
        <f aca="false">p_in^2*Q105/R105</f>
        <v>6.41151498472217E-011</v>
      </c>
      <c r="Z105" s="37" t="n">
        <f aca="false">p_eo^2/L_G^2/R105</f>
        <v>3.25407916701906E-012</v>
      </c>
      <c r="AA105" s="37" t="n">
        <f aca="false">SUM(S105:Z105)</f>
        <v>1.4004616334203E-009</v>
      </c>
      <c r="AB105" s="47" t="n">
        <f aca="false">10*LOG10(AA105/L_PREF^2)</f>
        <v>5.44211224207855</v>
      </c>
      <c r="AC105" s="47" t="n">
        <f aca="false">10*LOG10(S105/L_PREF^2)</f>
        <v>-24.9708765980031</v>
      </c>
      <c r="AD105" s="47" t="n">
        <f aca="false">10*LOG10(T105/L_PREF^2)</f>
        <v>-18.4412796464499</v>
      </c>
      <c r="AE105" s="47" t="n">
        <f aca="false">10*LOG10(U105/L_PREF^2)</f>
        <v>-19.6283300646246</v>
      </c>
      <c r="AF105" s="47" t="n">
        <f aca="false">10*LOG10(V105/L_PREF^2)</f>
        <v>3.48586014836389</v>
      </c>
      <c r="AG105" s="47" t="n">
        <f aca="false">10*LOG10(W105/L_PREF^2)</f>
        <v>0.235387493074011</v>
      </c>
      <c r="AH105" s="47" t="n">
        <f aca="false">10*LOG10(X105/L_PREF^2)</f>
        <v>-17.6455993708231</v>
      </c>
      <c r="AI105" s="47" t="n">
        <f aca="false">10*LOG10(Y105/L_PREF^2)</f>
        <v>-7.95099329708515</v>
      </c>
      <c r="AJ105" s="47" t="n">
        <f aca="false">10*LOG10(Z105/L_PREF^2)</f>
        <v>-20.8963187684473</v>
      </c>
      <c r="AK105" s="47" t="n">
        <f aca="false">10*LOG10(R105/$R$6)</f>
        <v>-0.391390277978664</v>
      </c>
      <c r="AL105" s="37" t="n">
        <f aca="false">(12194^2*B105^4/((B105^2+20.6^2)*SQRT((B105^2+107.7^2)*(B105^2+737.9^2))*(B105^2+12194^2))*1.2589254)^2</f>
        <v>0.00908563666808059</v>
      </c>
      <c r="AM105" s="37" t="n">
        <f aca="false">0.5*(B105-B104)*(S105*AL105+S104*AL104)</f>
        <v>2.31822079868391E-014</v>
      </c>
      <c r="AN105" s="37" t="n">
        <f aca="false">0.5*(B105-B104)*(T105*AL105+T104*AL104)</f>
        <v>1.04500425051008E-013</v>
      </c>
      <c r="AO105" s="37" t="n">
        <f aca="false">0.5*(B105-B104)*(U105*AL105+U104*AL104)</f>
        <v>7.95084002116693E-014</v>
      </c>
      <c r="AP105" s="37" t="n">
        <f aca="false">0.5*(B105-B104)*(V105*AL105+V104*AL104)</f>
        <v>1.66188995939586E-011</v>
      </c>
      <c r="AQ105" s="37" t="n">
        <f aca="false">0.5*(B105-B104)*(W105*AL105+W104*AL104)</f>
        <v>7.87783717255398E-012</v>
      </c>
      <c r="AR105" s="37" t="n">
        <f aca="false">0.5*(B105-B104)*(X105*AL105+X104*AL104)</f>
        <v>1.26210797663336E-013</v>
      </c>
      <c r="AS105" s="37" t="n">
        <f aca="false">0.5*(B105-B104)*(Y105*AL105+Y104*AL104)</f>
        <v>1.1961039403608E-012</v>
      </c>
      <c r="AT105" s="37" t="n">
        <f aca="false">0.5*(B105-B104)*(Z105*AL105+Z104*AL104)</f>
        <v>5.93589150947739E-014</v>
      </c>
      <c r="AU105" s="37" t="n">
        <f aca="false">0.5*(B105-B104)*(AA105*AL105+AA104*AL104)</f>
        <v>2.6085601452881E-011</v>
      </c>
      <c r="AV105" s="37" t="n">
        <f aca="false">0.5*(B105-B104)*(S105+S104)</f>
        <v>2.6496208159202E-012</v>
      </c>
      <c r="AW105" s="37" t="n">
        <f aca="false">0.5*(B105-B104)*(T105+T104)</f>
        <v>1.19450252722287E-011</v>
      </c>
      <c r="AX105" s="37" t="n">
        <f aca="false">0.5*(B105-B104)*(U105+U104)</f>
        <v>9.08828695595535E-012</v>
      </c>
      <c r="AY105" s="37" t="n">
        <f aca="false">0.5*(B105-B104)*(V105+V104)</f>
        <v>1.90115503767448E-009</v>
      </c>
      <c r="AZ105" s="37" t="n">
        <f aca="false">0.5*(B105-B104)*(W105+W104)</f>
        <v>9.01271260810049E-010</v>
      </c>
      <c r="BA105" s="37" t="n">
        <f aca="false">0.5*(B105-B104)*(X105+X104)</f>
        <v>1.44298367689492E-011</v>
      </c>
      <c r="BB105" s="37" t="n">
        <f aca="false">0.5*(B105-B104)*(Y105+Y104)</f>
        <v>1.3684137952795E-010</v>
      </c>
      <c r="BC105" s="37" t="n">
        <f aca="false">0.5*(B105-B104)*(Z105+Z104)</f>
        <v>6.78500005634315E-012</v>
      </c>
      <c r="BD105" s="37" t="n">
        <f aca="false">0.5*(B105-B104)*(AA105+AA104)</f>
        <v>2.98416544788188E-009</v>
      </c>
      <c r="BE105" s="37" t="n">
        <f aca="false">IF(B105&gt;2000,AK105,-999)</f>
        <v>-999</v>
      </c>
      <c r="BF105" s="37" t="n">
        <f aca="false">IF(AND(B105&lt;1000,AK105&gt;=-3),B105,1000000000)</f>
        <v>91.417637922975</v>
      </c>
    </row>
    <row r="106" customFormat="false" ht="15" hidden="false" customHeight="false" outlineLevel="0" collapsed="false">
      <c r="A106" s="5" t="n">
        <v>67</v>
      </c>
      <c r="B106" s="47" t="n">
        <f aca="false">20*10^(A106/100)</f>
        <v>93.5470282574397</v>
      </c>
      <c r="C106" s="37" t="n">
        <f aca="false">2*PI()*B106</f>
        <v>587.773313477458</v>
      </c>
      <c r="D106" s="37" t="n">
        <f aca="false">SQRT(L_Rp0^2+L_Rp1^2*C106)</f>
        <v>77354221.885368</v>
      </c>
      <c r="E106" s="5" t="str">
        <f aca="false">COMPLEX(D106,C106*L_Mp)</f>
        <v>77354221.885368+8683010.09372825i</v>
      </c>
      <c r="F106" s="5" t="str">
        <f aca="false">IMDIV(1,E106)</f>
        <v>1.27666816782208e-08-1.43305980169617e-09i</v>
      </c>
      <c r="G106" s="5" t="str">
        <f aca="false">COMPLEX(0,C106*L_Cf)</f>
        <v>6.21521955670359e-13i</v>
      </c>
      <c r="H106" s="5" t="str">
        <f aca="false">COMPLEX(0,C106*L_Cbv)</f>
        <v>6.21521955670359e-12i</v>
      </c>
      <c r="I106" s="5" t="str">
        <f aca="false">COMPLEX(L_Rsq+L_Rh,C106*(L_Md+L_Mh)-1/(C106*L_Cd))</f>
        <v>552400610.124532-1959900110945.54i</v>
      </c>
      <c r="J106" s="5" t="str">
        <f aca="false">IMDIV(1,I106)</f>
        <v>1.43809057531723e-16+5.1023004436555e-13i</v>
      </c>
      <c r="K106" s="5" t="str">
        <f aca="false">IMSUM(F106,G106,H106)</f>
        <v>1.27666816782208e-08-1.4262230601838e-09i</v>
      </c>
      <c r="L106" s="5" t="str">
        <f aca="false">IMSUM(IMPRODUCT(IMSUM(F106,G106),H106),IMPRODUCT(IMSUM(J106,L_Yv),K106))</f>
        <v>3.51658195861883e-20+8.3009022975605e-20i</v>
      </c>
      <c r="M106" s="37" t="n">
        <f aca="false">IMABS(IMDIV(IMPRODUCT(J106,F106,H106),L106))^2</f>
        <v>2.04221609309565E-025</v>
      </c>
      <c r="N106" s="5" t="str">
        <f aca="false">IMDIV(IMPRODUCT(L_Yv,K106,E106),H106)</f>
        <v>0.000170179288147621-0.321771621221628i</v>
      </c>
      <c r="O106" s="37" t="n">
        <f aca="false">IMABS(IMSUM(1,IMPRODUCT(E106,G106),N106))^2</f>
        <v>1.10383563104985</v>
      </c>
      <c r="P106" s="37" t="n">
        <f aca="false">IMABS(N106)^2</f>
        <v>0.103537005184585</v>
      </c>
      <c r="Q106" s="37" t="n">
        <f aca="false">p_Rb^2/(1+(C106*p_Rb*L_Ctot)^2)</f>
        <v>4.77147375698525E+017</v>
      </c>
      <c r="R106" s="37" t="n">
        <f aca="false">M106*L_Kt^2*Q106</f>
        <v>1.95565237097368E-005</v>
      </c>
      <c r="S106" s="37" t="n">
        <f aca="false">L_kT4*D106</f>
        <v>1.27368522094894E-012</v>
      </c>
      <c r="T106" s="37" t="n">
        <f aca="false">L_kT4*L_Rsq*O106</f>
        <v>5.70185344116736E-012</v>
      </c>
      <c r="U106" s="37" t="n">
        <f aca="false">L_kT4*L_Rh*O106</f>
        <v>4.33821436733233E-012</v>
      </c>
      <c r="V106" s="37" t="n">
        <f aca="false">L_kT4*p_Rv*P106</f>
        <v>8.52400490307722E-010</v>
      </c>
      <c r="W106" s="37" t="n">
        <f aca="false">L_kT4/p_Rb*Q106/R106</f>
        <v>4.01734350974233E-010</v>
      </c>
      <c r="X106" s="37" t="n">
        <f aca="false">p_en^2*(1+p_fc/B106)/R106</f>
        <v>6.77087548019307E-012</v>
      </c>
      <c r="Y106" s="37" t="n">
        <f aca="false">p_in^2*Q106/R106</f>
        <v>6.0995934499975E-011</v>
      </c>
      <c r="Z106" s="37" t="n">
        <f aca="false">p_eo^2/L_G^2/R106</f>
        <v>3.2416664965298E-012</v>
      </c>
      <c r="AA106" s="37" t="n">
        <f aca="false">SUM(S106:Z106)</f>
        <v>1.3364570707881E-009</v>
      </c>
      <c r="AB106" s="47" t="n">
        <f aca="false">10*LOG10(AA106/L_PREF^2)</f>
        <v>5.23895021731467</v>
      </c>
      <c r="AC106" s="47" t="n">
        <f aca="false">10*LOG10(S106/L_PREF^2)</f>
        <v>-24.9699788177163</v>
      </c>
      <c r="AD106" s="47" t="n">
        <f aca="false">10*LOG10(T106/L_PREF^2)</f>
        <v>-18.4604394119393</v>
      </c>
      <c r="AE106" s="47" t="n">
        <f aca="false">10*LOG10(U106/L_PREF^2)</f>
        <v>-19.647489830114</v>
      </c>
      <c r="AF106" s="47" t="n">
        <f aca="false">10*LOG10(V106/L_PREF^2)</f>
        <v>3.28583699524006</v>
      </c>
      <c r="AG106" s="47" t="n">
        <f aca="false">10*LOG10(W106/L_PREF^2)</f>
        <v>0.0187897707467294</v>
      </c>
      <c r="AH106" s="47" t="n">
        <f aca="false">10*LOG10(X106/L_PREF^2)</f>
        <v>-17.7141516435114</v>
      </c>
      <c r="AI106" s="47" t="n">
        <f aca="false">10*LOG10(Y106/L_PREF^2)</f>
        <v>-8.16759101941243</v>
      </c>
      <c r="AJ106" s="47" t="n">
        <f aca="false">10*LOG10(Z106/L_PREF^2)</f>
        <v>-20.9129165884356</v>
      </c>
      <c r="AK106" s="47" t="n">
        <f aca="false">10*LOG10(R106/$R$6)</f>
        <v>-0.374792457990439</v>
      </c>
      <c r="AL106" s="37" t="n">
        <f aca="false">(12194^2*B106^4/((B106^2+20.6^2)*SQRT((B106^2+107.7^2)*(B106^2+737.9^2))*(B106^2+12194^2))*1.2589254)^2</f>
        <v>0.00980499082074042</v>
      </c>
      <c r="AM106" s="37" t="n">
        <f aca="false">0.5*(B106-B105)*(S106*AL106+S105*AL105)</f>
        <v>2.56147781670484E-014</v>
      </c>
      <c r="AN106" s="37" t="n">
        <f aca="false">0.5*(B106-B105)*(T106*AL106+T105*AL105)</f>
        <v>1.14923880064407E-013</v>
      </c>
      <c r="AO106" s="37" t="n">
        <f aca="false">0.5*(B106-B105)*(U106*AL106+U105*AL105)</f>
        <v>8.74390113301324E-014</v>
      </c>
      <c r="AP106" s="37" t="n">
        <f aca="false">0.5*(B106-B105)*(V106*AL106+V105*AL105)</f>
        <v>1.7532777353803E-011</v>
      </c>
      <c r="AQ106" s="37" t="n">
        <f aca="false">0.5*(B106-B105)*(W106*AL106+W105*AL105)</f>
        <v>8.27871680103531E-012</v>
      </c>
      <c r="AR106" s="37" t="n">
        <f aca="false">0.5*(B106-B105)*(X106*AL106+X105*AL105)</f>
        <v>1.37223057925573E-013</v>
      </c>
      <c r="AS106" s="37" t="n">
        <f aca="false">0.5*(B106-B105)*(Y106*AL106+Y105*AL105)</f>
        <v>1.25697010105113E-012</v>
      </c>
      <c r="AT106" s="37" t="n">
        <f aca="false">0.5*(B106-B105)*(Z106*AL106+Z105*AL105)</f>
        <v>6.53189327167375E-014</v>
      </c>
      <c r="AU106" s="37" t="n">
        <f aca="false">0.5*(B106-B105)*(AA106*AL106+AA105*AL105)</f>
        <v>2.74989839160933E-011</v>
      </c>
      <c r="AV106" s="37" t="n">
        <f aca="false">0.5*(B106-B105)*(S106+S105)</f>
        <v>2.71189269530874E-012</v>
      </c>
      <c r="AW106" s="37" t="n">
        <f aca="false">0.5*(B106-B105)*(T106+T105)</f>
        <v>1.21683130300783E-011</v>
      </c>
      <c r="AX106" s="37" t="n">
        <f aca="false">0.5*(B106-B105)*(U106+U105)</f>
        <v>9.25817384784888E-012</v>
      </c>
      <c r="AY106" s="37" t="n">
        <f aca="false">0.5*(B106-B105)*(V106+V105)</f>
        <v>1.85786978894507E-009</v>
      </c>
      <c r="AZ106" s="37" t="n">
        <f aca="false">0.5*(B106-B105)*(W106+W105)</f>
        <v>8.7732226251277E-010</v>
      </c>
      <c r="BA106" s="37" t="n">
        <f aca="false">0.5*(B106-B105)*(X106+X105)</f>
        <v>1.45325305601311E-011</v>
      </c>
      <c r="BB106" s="37" t="n">
        <f aca="false">0.5*(B106-B105)*(Y106+Y105)</f>
        <v>1.33205166871655E-010</v>
      </c>
      <c r="BC106" s="37" t="n">
        <f aca="false">0.5*(B106-B105)*(Z106+Z105)</f>
        <v>6.91598901555074E-012</v>
      </c>
      <c r="BD106" s="37" t="n">
        <f aca="false">0.5*(B106-B105)*(AA106+AA105)</f>
        <v>2.91398411747842E-009</v>
      </c>
      <c r="BE106" s="37" t="n">
        <f aca="false">IF(B106&gt;2000,AK106,-999)</f>
        <v>-999</v>
      </c>
      <c r="BF106" s="37" t="n">
        <f aca="false">IF(AND(B106&lt;1000,AK106&gt;=-3),B106,1000000000)</f>
        <v>93.5470282574397</v>
      </c>
    </row>
    <row r="107" customFormat="false" ht="15" hidden="false" customHeight="false" outlineLevel="0" collapsed="false">
      <c r="A107" s="5" t="n">
        <v>68</v>
      </c>
      <c r="B107" s="47" t="n">
        <f aca="false">20*10^(A107/100)</f>
        <v>95.7260184645277</v>
      </c>
      <c r="C107" s="37" t="n">
        <f aca="false">2*PI()*B107</f>
        <v>601.464312731122</v>
      </c>
      <c r="D107" s="37" t="n">
        <f aca="false">SQRT(L_Rp0^2+L_Rp1^2*C107)</f>
        <v>77370580.0314731</v>
      </c>
      <c r="E107" s="5" t="str">
        <f aca="false">COMPLEX(D107,C107*L_Mp)</f>
        <v>77370580.0314731+8885263.38081517i</v>
      </c>
      <c r="F107" s="5" t="str">
        <f aca="false">IMDIV(1,E107)</f>
        <v>1.27565718679102e-08-1.46496899514741e-09i</v>
      </c>
      <c r="G107" s="5" t="str">
        <f aca="false">COMPLEX(0,C107*L_Cf)</f>
        <v>6.35999061786108e-13i</v>
      </c>
      <c r="H107" s="5" t="str">
        <f aca="false">COMPLEX(0,C107*L_Cbv)</f>
        <v>6.35999061786108e-12i</v>
      </c>
      <c r="I107" s="5" t="str">
        <f aca="false">COMPLEX(L_Rsq+L_Rh,C107*(L_Md+L_Mh)-1/(C107*L_Cd))</f>
        <v>552400610.124532-1915287235770.57i</v>
      </c>
      <c r="J107" s="5" t="str">
        <f aca="false">IMDIV(1,I107)</f>
        <v>1.50586585085302e-16+5.22114854701442e-13i</v>
      </c>
      <c r="K107" s="5" t="str">
        <f aca="false">IMSUM(F107,G107,H107)</f>
        <v>1.27565718679102e-08-1.45797300546776e-09i</v>
      </c>
      <c r="L107" s="5" t="str">
        <f aca="false">IMSUM(IMPRODUCT(IMSUM(F107,G107),H107),IMPRODUCT(IMSUM(J107,L_Yv),K107))</f>
        <v>3.55894381848528e-20+8.48759075011704e-20i</v>
      </c>
      <c r="M107" s="37" t="n">
        <f aca="false">IMABS(IMDIV(IMPRODUCT(J107,F107,H107),L107))^2</f>
        <v>2.14631144398869E-025</v>
      </c>
      <c r="N107" s="5" t="str">
        <f aca="false">IMDIV(IMPRODUCT(L_Yv,K107,E107),H107)</f>
        <v>0.000170215276069328-0.314446325119068i</v>
      </c>
      <c r="O107" s="37" t="n">
        <f aca="false">IMABS(IMSUM(1,IMPRODUCT(E107,G107),N107))^2</f>
        <v>1.09917470308924</v>
      </c>
      <c r="P107" s="37" t="n">
        <f aca="false">IMABS(N107)^2</f>
        <v>0.0988765203541269</v>
      </c>
      <c r="Q107" s="37" t="n">
        <f aca="false">p_Rb^2/(1+(C107*p_Rb*L_Ctot)^2)</f>
        <v>4.55672216017314E+017</v>
      </c>
      <c r="R107" s="37" t="n">
        <f aca="false">M107*L_Kt^2*Q107</f>
        <v>1.96283012669627E-005</v>
      </c>
      <c r="S107" s="37" t="n">
        <f aca="false">L_kT4*D107</f>
        <v>1.27395456796619E-012</v>
      </c>
      <c r="T107" s="37" t="n">
        <f aca="false">L_kT4*L_Rsq*O107</f>
        <v>5.67777745794696E-012</v>
      </c>
      <c r="U107" s="37" t="n">
        <f aca="false">L_kT4*L_Rh*O107</f>
        <v>4.31989632787515E-012</v>
      </c>
      <c r="V107" s="37" t="n">
        <f aca="false">L_kT4*p_Rv*P107</f>
        <v>8.14031604251265E-010</v>
      </c>
      <c r="W107" s="37" t="n">
        <f aca="false">L_kT4/p_Rb*Q107/R107</f>
        <v>3.82250376107689E-010</v>
      </c>
      <c r="X107" s="37" t="n">
        <f aca="false">p_en^2*(1+p_fc/B107)/R107</f>
        <v>6.66677540799628E-012</v>
      </c>
      <c r="Y107" s="37" t="n">
        <f aca="false">p_in^2*Q107/R107</f>
        <v>5.80376531086107E-011</v>
      </c>
      <c r="Z107" s="37" t="n">
        <f aca="false">p_eo^2/L_G^2/R107</f>
        <v>3.22981224081519E-012</v>
      </c>
      <c r="AA107" s="37" t="n">
        <f aca="false">SUM(S107:Z107)</f>
        <v>1.27548784947016E-009</v>
      </c>
      <c r="AB107" s="47" t="n">
        <f aca="false">10*LOG10(AA107/L_PREF^2)</f>
        <v>5.03616334469125</v>
      </c>
      <c r="AC107" s="47" t="n">
        <f aca="false">10*LOG10(S107/L_PREF^2)</f>
        <v>-24.9690605095297</v>
      </c>
      <c r="AD107" s="47" t="n">
        <f aca="false">10*LOG10(T107/L_PREF^2)</f>
        <v>-18.4788162509651</v>
      </c>
      <c r="AE107" s="47" t="n">
        <f aca="false">10*LOG10(U107/L_PREF^2)</f>
        <v>-19.6658666691398</v>
      </c>
      <c r="AF107" s="47" t="n">
        <f aca="false">10*LOG10(V107/L_PREF^2)</f>
        <v>3.08581275091316</v>
      </c>
      <c r="AG107" s="47" t="n">
        <f aca="false">10*LOG10(W107/L_PREF^2)</f>
        <v>-0.197120699279378</v>
      </c>
      <c r="AH107" s="47" t="n">
        <f aca="false">10*LOG10(X107/L_PREF^2)</f>
        <v>-17.7814416657751</v>
      </c>
      <c r="AI107" s="47" t="n">
        <f aca="false">10*LOG10(Y107/L_PREF^2)</f>
        <v>-8.38350148943854</v>
      </c>
      <c r="AJ107" s="47" t="n">
        <f aca="false">10*LOG10(Z107/L_PREF^2)</f>
        <v>-20.9288271517272</v>
      </c>
      <c r="AK107" s="47" t="n">
        <f aca="false">10*LOG10(R107/$R$6)</f>
        <v>-0.358881894698857</v>
      </c>
      <c r="AL107" s="37" t="n">
        <f aca="false">(12194^2*B107^4/((B107^2+20.6^2)*SQRT((B107^2+107.7^2)*(B107^2+737.9^2))*(B107^2+12194^2))*1.2589254)^2</f>
        <v>0.0105734708872923</v>
      </c>
      <c r="AM107" s="37" t="n">
        <f aca="false">0.5*(B107-B106)*(S107*AL107+S106*AL106)</f>
        <v>2.82817604434562E-014</v>
      </c>
      <c r="AN107" s="37" t="n">
        <f aca="false">0.5*(B107-B106)*(T107*AL107+T106*AL106)</f>
        <v>1.26316536570806E-013</v>
      </c>
      <c r="AO107" s="37" t="n">
        <f aca="false">0.5*(B107-B106)*(U107*AL107+U106*AL106)</f>
        <v>9.61070324653836E-014</v>
      </c>
      <c r="AP107" s="37" t="n">
        <f aca="false">0.5*(B107-B106)*(V107*AL107+V106*AL106)</f>
        <v>1.84831955854214E-011</v>
      </c>
      <c r="AQ107" s="37" t="n">
        <f aca="false">0.5*(B107-B106)*(W107*AL107+W106*AL106)</f>
        <v>8.69494974870701E-012</v>
      </c>
      <c r="AR107" s="37" t="n">
        <f aca="false">0.5*(B107-B106)*(X107*AL107+X106*AL106)</f>
        <v>1.49129357218643E-013</v>
      </c>
      <c r="AS107" s="37" t="n">
        <f aca="false">0.5*(B107-B106)*(Y107*AL107+Y106*AL106)</f>
        <v>1.3201673794301E-012</v>
      </c>
      <c r="AT107" s="37" t="n">
        <f aca="false">0.5*(B107-B106)*(Z107*AL107+Z106*AL106)</f>
        <v>7.18356809118484E-014</v>
      </c>
      <c r="AU107" s="37" t="n">
        <f aca="false">0.5*(B107-B106)*(AA107*AL107+AA106*AL106)</f>
        <v>2.89699830811686E-011</v>
      </c>
      <c r="AV107" s="37" t="n">
        <f aca="false">0.5*(B107-B106)*(S107+S106)</f>
        <v>2.77564107561695E-012</v>
      </c>
      <c r="AW107" s="37" t="n">
        <f aca="false">0.5*(B107-B106)*(T107+T106)</f>
        <v>1.23980521447233E-011</v>
      </c>
      <c r="AX107" s="37" t="n">
        <f aca="false">0.5*(B107-B106)*(U107+U106)</f>
        <v>9.43296920837064E-012</v>
      </c>
      <c r="AY107" s="37" t="n">
        <f aca="false">0.5*(B107-B106)*(V107+V106)</f>
        <v>1.81556960741062E-009</v>
      </c>
      <c r="AZ107" s="37" t="n">
        <f aca="false">0.5*(B107-B106)*(W107+W106)</f>
        <v>8.54147521409048E-010</v>
      </c>
      <c r="BA107" s="37" t="n">
        <f aca="false">0.5*(B107-B106)*(X107+X106)</f>
        <v>1.46402548458162E-011</v>
      </c>
      <c r="BB107" s="37" t="n">
        <f aca="false">0.5*(B107-B106)*(Y107+Y106)</f>
        <v>1.29686510856832E-010</v>
      </c>
      <c r="BC107" s="37" t="n">
        <f aca="false">0.5*(B107-B106)*(Z107+Z106)</f>
        <v>7.05064439702659E-012</v>
      </c>
      <c r="BD107" s="37" t="n">
        <f aca="false">0.5*(B107-B106)*(AA107+AA106)</f>
        <v>2.84570120134805E-009</v>
      </c>
      <c r="BE107" s="37" t="n">
        <f aca="false">IF(B107&gt;2000,AK107,-999)</f>
        <v>-999</v>
      </c>
      <c r="BF107" s="37" t="n">
        <f aca="false">IF(AND(B107&lt;1000,AK107&gt;=-3),B107,1000000000)</f>
        <v>95.7260184645277</v>
      </c>
    </row>
    <row r="108" customFormat="false" ht="15" hidden="false" customHeight="false" outlineLevel="0" collapsed="false">
      <c r="A108" s="5" t="n">
        <v>69</v>
      </c>
      <c r="B108" s="47" t="n">
        <f aca="false">20*10^(A108/100)</f>
        <v>97.9557638736892</v>
      </c>
      <c r="C108" s="37" t="n">
        <f aca="false">2*PI()*B108</f>
        <v>615.474216324717</v>
      </c>
      <c r="D108" s="37" t="n">
        <f aca="false">SQRT(L_Rp0^2+L_Rp1^2*C108)</f>
        <v>77387315.6282096</v>
      </c>
      <c r="E108" s="5" t="str">
        <f aca="false">COMPLEX(D108,C108*L_Mp)</f>
        <v>77387315.6282096+9092227.75215697i</v>
      </c>
      <c r="F108" s="5" t="str">
        <f aca="false">IMDIV(1,E108)</f>
        <v>1.27460691533628e-08-1.49753435361276e-09i</v>
      </c>
      <c r="G108" s="5" t="str">
        <f aca="false">COMPLEX(0,C108*L_Cf)</f>
        <v>6.50813383022858e-13i</v>
      </c>
      <c r="H108" s="5" t="str">
        <f aca="false">COMPLEX(0,C108*L_Cbv)</f>
        <v>6.50813383022858e-12i</v>
      </c>
      <c r="I108" s="5" t="str">
        <f aca="false">COMPLEX(L_Rsq+L_Rh,C108*(L_Md+L_Mh)-1/(C108*L_Cd))</f>
        <v>552400610.124532-1871689871239.83i</v>
      </c>
      <c r="J108" s="5" t="str">
        <f aca="false">IMDIV(1,I108)</f>
        <v>1.57683529164912e-16+5.34276499681601e-13i</v>
      </c>
      <c r="K108" s="5" t="str">
        <f aca="false">IMSUM(F108,G108,H108)</f>
        <v>1.27460691533628e-08-1.49037540639951e-09i</v>
      </c>
      <c r="L108" s="5" t="str">
        <f aca="false">IMSUM(IMPRODUCT(IMSUM(F108,G108),H108),IMPRODUCT(IMSUM(J108,L_Yv),K108))</f>
        <v>3.60323391153168e-20+8.67820632509388e-20i</v>
      </c>
      <c r="M108" s="37" t="n">
        <f aca="false">IMABS(IMDIV(IMPRODUCT(J108,F108,H108),L108))^2</f>
        <v>2.25536935434987E-025</v>
      </c>
      <c r="N108" s="5" t="str">
        <f aca="false">IMDIV(IMPRODUCT(L_Yv,K108,E108),H108)</f>
        <v>0.000170252094381909-0.307287752620278i</v>
      </c>
      <c r="O108" s="37" t="n">
        <f aca="false">IMABS(IMSUM(1,IMPRODUCT(E108,G108),N108))^2</f>
        <v>1.09472350904332</v>
      </c>
      <c r="P108" s="37" t="n">
        <f aca="false">IMABS(N108)^2</f>
        <v>0.0944257918961968</v>
      </c>
      <c r="Q108" s="37" t="n">
        <f aca="false">p_Rb^2/(1+(C108*p_Rb*L_Ctot)^2)</f>
        <v>4.35163596877102E+017</v>
      </c>
      <c r="R108" s="37" t="n">
        <f aca="false">M108*L_Kt^2*Q108</f>
        <v>1.96973434675437E-005</v>
      </c>
      <c r="S108" s="37" t="n">
        <f aca="false">L_kT4*D108</f>
        <v>1.27423012994209E-012</v>
      </c>
      <c r="T108" s="37" t="n">
        <f aca="false">L_kT4*L_Rsq*O108</f>
        <v>5.65478485345578E-012</v>
      </c>
      <c r="U108" s="37" t="n">
        <f aca="false">L_kT4*L_Rh*O108</f>
        <v>4.30240256936746E-012</v>
      </c>
      <c r="V108" s="37" t="n">
        <f aca="false">L_kT4*p_Rv*P108</f>
        <v>7.77389602553393E-010</v>
      </c>
      <c r="W108" s="37" t="n">
        <f aca="false">L_kT4/p_Rb*Q108/R108</f>
        <v>3.63766739636936E-010</v>
      </c>
      <c r="X108" s="37" t="n">
        <f aca="false">p_en^2*(1+p_fc/B108)/R108</f>
        <v>6.56614504603311E-012</v>
      </c>
      <c r="Y108" s="37" t="n">
        <f aca="false">p_in^2*Q108/R108</f>
        <v>5.52312546098084E-011</v>
      </c>
      <c r="Z108" s="37" t="n">
        <f aca="false">p_eo^2/L_G^2/R108</f>
        <v>3.21849125507227E-012</v>
      </c>
      <c r="AA108" s="37" t="n">
        <f aca="false">SUM(S108:Z108)</f>
        <v>1.21740365065401E-009</v>
      </c>
      <c r="AB108" s="47" t="n">
        <f aca="false">10*LOG10(AA108/L_PREF^2)</f>
        <v>4.83374608419004</v>
      </c>
      <c r="AC108" s="47" t="n">
        <f aca="false">10*LOG10(S108/L_PREF^2)</f>
        <v>-24.9681212130484</v>
      </c>
      <c r="AD108" s="47" t="n">
        <f aca="false">10*LOG10(T108/L_PREF^2)</f>
        <v>-18.4964390527328</v>
      </c>
      <c r="AE108" s="47" t="n">
        <f aca="false">10*LOG10(U108/L_PREF^2)</f>
        <v>-19.6834894709076</v>
      </c>
      <c r="AF108" s="47" t="n">
        <f aca="false">10*LOG10(V108/L_PREF^2)</f>
        <v>2.8857873639527</v>
      </c>
      <c r="AG108" s="47" t="n">
        <f aca="false">10*LOG10(W108/L_PREF^2)</f>
        <v>-0.412370037266424</v>
      </c>
      <c r="AH108" s="47" t="n">
        <f aca="false">10*LOG10(X108/L_PREF^2)</f>
        <v>-17.8474951927091</v>
      </c>
      <c r="AI108" s="47" t="n">
        <f aca="false">10*LOG10(Y108/L_PREF^2)</f>
        <v>-8.59875082742559</v>
      </c>
      <c r="AJ108" s="47" t="n">
        <f aca="false">10*LOG10(Z108/L_PREF^2)</f>
        <v>-20.944076578782</v>
      </c>
      <c r="AK108" s="47" t="n">
        <f aca="false">10*LOG10(R108/$R$6)</f>
        <v>-0.343632467643968</v>
      </c>
      <c r="AL108" s="37" t="n">
        <f aca="false">(12194^2*B108^4/((B108^2+20.6^2)*SQRT((B108^2+107.7^2)*(B108^2+737.9^2))*(B108^2+12194^2))*1.2589254)^2</f>
        <v>0.0113937804471432</v>
      </c>
      <c r="AM108" s="37" t="n">
        <f aca="false">0.5*(B108-B107)*(S108*AL108+S107*AL107)</f>
        <v>3.1203525363896E-014</v>
      </c>
      <c r="AN108" s="37" t="n">
        <f aca="false">0.5*(B108-B107)*(T108*AL108+T107*AL107)</f>
        <v>1.38760615209567E-013</v>
      </c>
      <c r="AO108" s="37" t="n">
        <f aca="false">0.5*(B108-B107)*(U108*AL108+U107*AL107)</f>
        <v>1.05575020602209E-013</v>
      </c>
      <c r="AP108" s="37" t="n">
        <f aca="false">0.5*(B108-B107)*(V108*AL108+V107*AL107)</f>
        <v>1.94707455466384E-011</v>
      </c>
      <c r="AQ108" s="37" t="n">
        <f aca="false">0.5*(B108-B107)*(W108*AL108+W107*AL107)</f>
        <v>9.12678453139347E-012</v>
      </c>
      <c r="AR108" s="37" t="n">
        <f aca="false">0.5*(B108-B107)*(X108*AL108+X107*AL107)</f>
        <v>1.61995653805459E-013</v>
      </c>
      <c r="AS108" s="37" t="n">
        <f aca="false">0.5*(B108-B107)*(Y108*AL108+Y107*AL107)</f>
        <v>1.38573350803145E-012</v>
      </c>
      <c r="AT108" s="37" t="n">
        <f aca="false">0.5*(B108-B107)*(Z108*AL108+Z107*AL107)</f>
        <v>7.89565206979036E-014</v>
      </c>
      <c r="AU108" s="37" t="n">
        <f aca="false">0.5*(B108-B107)*(AA108*AL108+AA107*AL107)</f>
        <v>3.04997549217423E-011</v>
      </c>
      <c r="AV108" s="37" t="n">
        <f aca="false">0.5*(B108-B107)*(S108+S107)</f>
        <v>2.84090156592835E-012</v>
      </c>
      <c r="AW108" s="37" t="n">
        <f aca="false">0.5*(B108-B107)*(T108+T107)</f>
        <v>1.26343643939438E-011</v>
      </c>
      <c r="AX108" s="37" t="n">
        <f aca="false">0.5*(B108-B107)*(U108+U107)</f>
        <v>9.61276569127272E-012</v>
      </c>
      <c r="AY108" s="37" t="n">
        <f aca="false">0.5*(B108-B107)*(V108+V107)</f>
        <v>1.77423206495751E-009</v>
      </c>
      <c r="AZ108" s="37" t="n">
        <f aca="false">0.5*(B108-B107)*(W108+W107)</f>
        <v>8.31714119493761E-010</v>
      </c>
      <c r="BA108" s="37" t="n">
        <f aca="false">0.5*(B108-B107)*(X108+X107)</f>
        <v>1.4753021816086E-011</v>
      </c>
      <c r="BB108" s="37" t="n">
        <f aca="false">0.5*(B108-B107)*(Y108+Y107)</f>
        <v>1.26280413492944E-010</v>
      </c>
      <c r="BC108" s="37" t="n">
        <f aca="false">0.5*(B108-B107)*(Z108+Z107)</f>
        <v>7.18903755841773E-012</v>
      </c>
      <c r="BD108" s="37" t="n">
        <f aca="false">0.5*(B108-B107)*(AA108+AA107)</f>
        <v>2.77925668896986E-009</v>
      </c>
      <c r="BE108" s="37" t="n">
        <f aca="false">IF(B108&gt;2000,AK108,-999)</f>
        <v>-999</v>
      </c>
      <c r="BF108" s="37" t="n">
        <f aca="false">IF(AND(B108&lt;1000,AK108&gt;=-3),B108,1000000000)</f>
        <v>97.9557638736892</v>
      </c>
    </row>
    <row r="109" customFormat="false" ht="15" hidden="false" customHeight="false" outlineLevel="0" collapsed="false">
      <c r="A109" s="5" t="n">
        <v>70</v>
      </c>
      <c r="B109" s="47" t="n">
        <f aca="false">20*10^(A109/100)</f>
        <v>100.237446725454</v>
      </c>
      <c r="C109" s="37" t="n">
        <f aca="false">2*PI()*B109</f>
        <v>629.810452494572</v>
      </c>
      <c r="D109" s="37" t="n">
        <f aca="false">SQRT(L_Rp0^2+L_Rp1^2*C109)</f>
        <v>77404437.3012654</v>
      </c>
      <c r="E109" s="5" t="str">
        <f aca="false">COMPLEX(D109,C109*L_Mp)</f>
        <v>77404437.3012654+9304012.94300282i</v>
      </c>
      <c r="F109" s="5" t="str">
        <f aca="false">IMDIV(1,E109)</f>
        <v>1.27351579377581e-08-1.53076591491673e-09i</v>
      </c>
      <c r="G109" s="5" t="str">
        <f aca="false">COMPLEX(0,C109*L_Cf)</f>
        <v>6.65972774129821e-13i</v>
      </c>
      <c r="H109" s="5" t="str">
        <f aca="false">COMPLEX(0,C109*L_Cbv)</f>
        <v>6.65972774129821e-12i</v>
      </c>
      <c r="I109" s="5" t="str">
        <f aca="false">COMPLEX(L_Rsq+L_Rh,C109*(L_Md+L_Mh)-1/(C109*L_Cd))</f>
        <v>552400610.124532-1829084901453.56i</v>
      </c>
      <c r="J109" s="5" t="str">
        <f aca="false">IMDIV(1,I109)</f>
        <v>1.65114943551695e-16+5.46721427745487e-13i</v>
      </c>
      <c r="K109" s="5" t="str">
        <f aca="false">IMSUM(F109,G109,H109)</f>
        <v>1.27351579377581e-08-1.5234402144013e-09i</v>
      </c>
      <c r="L109" s="5" t="str">
        <f aca="false">IMSUM(IMPRODUCT(IMSUM(F109,G109),H109),IMPRODUCT(IMSUM(J109,L_Yv),K109))</f>
        <v>3.64953650811485e-20+8.87281363666495e-20i</v>
      </c>
      <c r="M109" s="37" t="n">
        <f aca="false">IMABS(IMDIV(IMPRODUCT(J109,F109,H109),L109))^2</f>
        <v>2.36962175229757E-025</v>
      </c>
      <c r="N109" s="5" t="str">
        <f aca="false">IMDIV(IMPRODUCT(L_Yv,K109,E109),H109)</f>
        <v>0.000170289762062907-0.300292108155361i</v>
      </c>
      <c r="O109" s="37" t="n">
        <f aca="false">IMABS(IMSUM(1,IMPRODUCT(E109,G109),N109))^2</f>
        <v>1.09047260722529</v>
      </c>
      <c r="P109" s="37" t="n">
        <f aca="false">IMABS(N109)^2</f>
        <v>0.0901753792189941</v>
      </c>
      <c r="Q109" s="37" t="n">
        <f aca="false">p_Rb^2/(1+(C109*p_Rb*L_Ctot)^2)</f>
        <v>4.15578016863393E+017</v>
      </c>
      <c r="R109" s="37" t="n">
        <f aca="false">M109*L_Kt^2*Q109</f>
        <v>1.9763734871827E-005</v>
      </c>
      <c r="S109" s="37" t="n">
        <f aca="false">L_kT4*D109</f>
        <v>1.27451204890395E-012</v>
      </c>
      <c r="T109" s="37" t="n">
        <f aca="false">L_kT4*L_Rsq*O109</f>
        <v>5.63282685674195E-012</v>
      </c>
      <c r="U109" s="37" t="n">
        <f aca="false">L_kT4*L_Rh*O109</f>
        <v>4.28569598477972E-012</v>
      </c>
      <c r="V109" s="37" t="n">
        <f aca="false">L_kT4*p_Rv*P109</f>
        <v>7.42396762615647E-010</v>
      </c>
      <c r="W109" s="37" t="n">
        <f aca="false">L_kT4/p_Rb*Q109/R109</f>
        <v>3.46227559699532E-010</v>
      </c>
      <c r="X109" s="37" t="n">
        <f aca="false">p_en^2*(1+p_fc/B109)/R109</f>
        <v>6.46883774287272E-012</v>
      </c>
      <c r="Y109" s="37" t="n">
        <f aca="false">p_in^2*Q109/R109</f>
        <v>5.25682543758209E-011</v>
      </c>
      <c r="Z109" s="37" t="n">
        <f aca="false">p_eo^2/L_G^2/R109</f>
        <v>3.20767952563534E-012</v>
      </c>
      <c r="AA109" s="37" t="n">
        <f aca="false">SUM(S109:Z109)</f>
        <v>1.16206212884993E-009</v>
      </c>
      <c r="AB109" s="47" t="n">
        <f aca="false">10*LOG10(AA109/L_PREF^2)</f>
        <v>4.63169356601898</v>
      </c>
      <c r="AC109" s="47" t="n">
        <f aca="false">10*LOG10(S109/L_PREF^2)</f>
        <v>-24.967160457967</v>
      </c>
      <c r="AD109" s="47" t="n">
        <f aca="false">10*LOG10(T109/L_PREF^2)</f>
        <v>-18.5133358934119</v>
      </c>
      <c r="AE109" s="47" t="n">
        <f aca="false">10*LOG10(U109/L_PREF^2)</f>
        <v>-19.7003863115866</v>
      </c>
      <c r="AF109" s="47" t="n">
        <f aca="false">10*LOG10(V109/L_PREF^2)</f>
        <v>2.68576078050373</v>
      </c>
      <c r="AG109" s="47" t="n">
        <f aca="false">10*LOG10(W109/L_PREF^2)</f>
        <v>-0.626983565897138</v>
      </c>
      <c r="AH109" s="47" t="n">
        <f aca="false">10*LOG10(X109/L_PREF^2)</f>
        <v>-17.9123373341035</v>
      </c>
      <c r="AI109" s="47" t="n">
        <f aca="false">10*LOG10(Y109/L_PREF^2)</f>
        <v>-8.8133643560563</v>
      </c>
      <c r="AJ109" s="47" t="n">
        <f aca="false">10*LOG10(Z109/L_PREF^2)</f>
        <v>-20.9586901924719</v>
      </c>
      <c r="AK109" s="47" t="n">
        <f aca="false">10*LOG10(R109/$R$6)</f>
        <v>-0.329018853954123</v>
      </c>
      <c r="AL109" s="37" t="n">
        <f aca="false">(12194^2*B109^4/((B109^2+20.6^2)*SQRT((B109^2+107.7^2)*(B109^2+737.9^2))*(B109^2+12194^2))*1.2589254)^2</f>
        <v>0.0122687247105168</v>
      </c>
      <c r="AM109" s="37" t="n">
        <f aca="false">0.5*(B109-B108)*(S109*AL109+S108*AL108)</f>
        <v>3.4401999964522E-014</v>
      </c>
      <c r="AN109" s="37" t="n">
        <f aca="false">0.5*(B109-B108)*(T109*AL109+T108*AL108)</f>
        <v>1.52344517694102E-013</v>
      </c>
      <c r="AO109" s="37" t="n">
        <f aca="false">0.5*(B109-B108)*(U109*AL109+U108*AL108)</f>
        <v>1.15910235551329E-013</v>
      </c>
      <c r="AP109" s="37" t="n">
        <f aca="false">0.5*(B109-B108)*(V109*AL109+V108*AL108)</f>
        <v>2.04959782523006E-011</v>
      </c>
      <c r="AQ109" s="37" t="n">
        <f aca="false">0.5*(B109-B108)*(W109*AL109+W108*AL108)</f>
        <v>9.57445346389243E-012</v>
      </c>
      <c r="AR109" s="37" t="n">
        <f aca="false">0.5*(B109-B108)*(X109*AL109+X108*AL108)</f>
        <v>1.75892198160258E-013</v>
      </c>
      <c r="AS109" s="37" t="n">
        <f aca="false">0.5*(B109-B108)*(Y109*AL109+Y108*AL108)</f>
        <v>1.45370375956249E-012</v>
      </c>
      <c r="AT109" s="37" t="n">
        <f aca="false">0.5*(B109-B108)*(Z109*AL109+Z108*AL108)</f>
        <v>8.67323778968894E-014</v>
      </c>
      <c r="AU109" s="37" t="n">
        <f aca="false">0.5*(B109-B108)*(AA109*AL109+AA108*AL108)</f>
        <v>3.20894168050227E-011</v>
      </c>
      <c r="AV109" s="37" t="n">
        <f aca="false">0.5*(B109-B108)*(S109+S108)</f>
        <v>2.90771066152185E-012</v>
      </c>
      <c r="AW109" s="37" t="n">
        <f aca="false">0.5*(B109-B108)*(T109+T108)</f>
        <v>1.28773750382712E-011</v>
      </c>
      <c r="AX109" s="37" t="n">
        <f aca="false">0.5*(B109-B108)*(U109+U108)</f>
        <v>9.79765860013361E-012</v>
      </c>
      <c r="AY109" s="37" t="n">
        <f aca="false">0.5*(B109-B108)*(V109+V108)</f>
        <v>1.73383524387639E-009</v>
      </c>
      <c r="AZ109" s="37" t="n">
        <f aca="false">0.5*(B109-B108)*(W109+W108)</f>
        <v>8.09990908823538E-010</v>
      </c>
      <c r="BA109" s="37" t="n">
        <f aca="false">0.5*(B109-B108)*(X109+X108)</f>
        <v>1.48708483512506E-011</v>
      </c>
      <c r="BB109" s="37" t="n">
        <f aca="false">0.5*(B109-B108)*(Y109+Y108)</f>
        <v>1.2298214554061E-010</v>
      </c>
      <c r="BC109" s="37" t="n">
        <f aca="false">0.5*(B109-B108)*(Z109+Z108)</f>
        <v>7.33124183642761E-012</v>
      </c>
      <c r="BD109" s="37" t="n">
        <f aca="false">0.5*(B109-B108)*(AA109+AA108)</f>
        <v>2.71459313272814E-009</v>
      </c>
      <c r="BE109" s="37" t="n">
        <f aca="false">IF(B109&gt;2000,AK109,-999)</f>
        <v>-999</v>
      </c>
      <c r="BF109" s="37" t="n">
        <f aca="false">IF(AND(B109&lt;1000,AK109&gt;=-3),B109,1000000000)</f>
        <v>100.237446725454</v>
      </c>
    </row>
    <row r="110" customFormat="false" ht="15" hidden="false" customHeight="false" outlineLevel="0" collapsed="false">
      <c r="A110" s="5" t="n">
        <v>71</v>
      </c>
      <c r="B110" s="47" t="n">
        <f aca="false">20*10^(A110/100)</f>
        <v>102.572276798273</v>
      </c>
      <c r="C110" s="37" t="n">
        <f aca="false">2*PI()*B110</f>
        <v>644.480622502866</v>
      </c>
      <c r="D110" s="37" t="n">
        <f aca="false">SQRT(L_Rp0^2+L_Rp1^2*C110)</f>
        <v>77421953.8695815</v>
      </c>
      <c r="E110" s="5" t="str">
        <f aca="false">COMPLEX(D110,C110*L_Mp)</f>
        <v>77421953.8695815+9520731.24466422i</v>
      </c>
      <c r="F110" s="5" t="str">
        <f aca="false">IMDIV(1,E110)</f>
        <v>1.27238220374908e-08-1.5646736354387e-09i</v>
      </c>
      <c r="G110" s="5" t="str">
        <f aca="false">COMPLEX(0,C110*L_Cf)</f>
        <v>6.81485272816819e-13i</v>
      </c>
      <c r="H110" s="5" t="str">
        <f aca="false">COMPLEX(0,C110*L_Cbv)</f>
        <v>6.8148527281682e-12i</v>
      </c>
      <c r="I110" s="5" t="str">
        <f aca="false">COMPLEX(L_Rsq+L_Rh,C110*(L_Md+L_Mh)-1/(C110*L_Cd))</f>
        <v>552400610.124532-1787449736692.85i</v>
      </c>
      <c r="J110" s="5" t="str">
        <f aca="false">IMDIV(1,I110)</f>
        <v>1.72896591503538e-16+5.59456237545467e-13i</v>
      </c>
      <c r="K110" s="5" t="str">
        <f aca="false">IMSUM(F110,G110,H110)</f>
        <v>1.27238220374908e-08-1.55717729743772e-09i</v>
      </c>
      <c r="L110" s="5" t="str">
        <f aca="false">IMSUM(IMPRODUCT(IMSUM(F110,G110),H110),IMPRODUCT(IMSUM(J110,L_Yv),K110))</f>
        <v>3.69793927038501e-20+9.0714771103691e-20i</v>
      </c>
      <c r="M110" s="37" t="n">
        <f aca="false">IMABS(IMDIV(IMPRODUCT(J110,F110,H110),L110))^2</f>
        <v>2.48931154405157E-025</v>
      </c>
      <c r="N110" s="5" t="str">
        <f aca="false">IMDIV(IMPRODUCT(L_Yv,K110,E110),H110)</f>
        <v>0.000170328298513078-0.293455682541023i</v>
      </c>
      <c r="O110" s="37" t="n">
        <f aca="false">IMABS(IMSUM(1,IMPRODUCT(E110,G110),N110))^2</f>
        <v>1.08641298079248</v>
      </c>
      <c r="P110" s="37" t="n">
        <f aca="false">IMABS(N110)^2</f>
        <v>0.0861162666273469</v>
      </c>
      <c r="Q110" s="37" t="n">
        <f aca="false">p_Rb^2/(1+(C110*p_Rb*L_Ctot)^2)</f>
        <v>3.96873932441198E+017</v>
      </c>
      <c r="R110" s="37" t="n">
        <f aca="false">M110*L_Kt^2*Q110</f>
        <v>1.98275590811013E-005</v>
      </c>
      <c r="S110" s="37" t="n">
        <f aca="false">L_kT4*D110</f>
        <v>1.27480047006109E-012</v>
      </c>
      <c r="T110" s="37" t="n">
        <f aca="false">L_kT4*L_Rsq*O110</f>
        <v>5.61185689138236E-012</v>
      </c>
      <c r="U110" s="37" t="n">
        <f aca="false">L_kT4*L_Rh*O110</f>
        <v>4.26974113677387E-012</v>
      </c>
      <c r="V110" s="37" t="n">
        <f aca="false">L_kT4*p_Rv*P110</f>
        <v>7.08978859932777E-010</v>
      </c>
      <c r="W110" s="37" t="n">
        <f aca="false">L_kT4/p_Rb*Q110/R110</f>
        <v>3.29580425025306E-010</v>
      </c>
      <c r="X110" s="37" t="n">
        <f aca="false">p_en^2*(1+p_fc/B110)/R110</f>
        <v>6.37471444040389E-012</v>
      </c>
      <c r="Y110" s="37" t="n">
        <f aca="false">p_in^2*Q110/R110</f>
        <v>5.00406947241782E-011</v>
      </c>
      <c r="Z110" s="37" t="n">
        <f aca="false">p_eo^2/L_G^2/R110</f>
        <v>3.19735411903881E-012</v>
      </c>
      <c r="AA110" s="37" t="n">
        <f aca="false">SUM(S110:Z110)</f>
        <v>1.10932844673992E-009</v>
      </c>
      <c r="AB110" s="47" t="n">
        <f aca="false">10*LOG10(AA110/L_PREF^2)</f>
        <v>4.43000158507454</v>
      </c>
      <c r="AC110" s="47" t="n">
        <f aca="false">10*LOG10(S110/L_PREF^2)</f>
        <v>-24.966177763875</v>
      </c>
      <c r="AD110" s="47" t="n">
        <f aca="false">10*LOG10(T110/L_PREF^2)</f>
        <v>-18.5295340382471</v>
      </c>
      <c r="AE110" s="47" t="n">
        <f aca="false">10*LOG10(U110/L_PREF^2)</f>
        <v>-19.7165844564218</v>
      </c>
      <c r="AF110" s="47" t="n">
        <f aca="false">10*LOG10(V110/L_PREF^2)</f>
        <v>2.48573294417278</v>
      </c>
      <c r="AG110" s="47" t="n">
        <f aca="false">10*LOG10(W110/L_PREF^2)</f>
        <v>-0.840985818585568</v>
      </c>
      <c r="AH110" s="47" t="n">
        <f aca="false">10*LOG10(X110/L_PREF^2)</f>
        <v>-17.9759925629797</v>
      </c>
      <c r="AI110" s="47" t="n">
        <f aca="false">10*LOG10(Y110/L_PREF^2)</f>
        <v>-9.02736660874473</v>
      </c>
      <c r="AJ110" s="47" t="n">
        <f aca="false">10*LOG10(Z110/L_PREF^2)</f>
        <v>-20.9726925263912</v>
      </c>
      <c r="AK110" s="47" t="n">
        <f aca="false">10*LOG10(R110/$R$6)</f>
        <v>-0.315016520034855</v>
      </c>
      <c r="AL110" s="37" t="n">
        <f aca="false">(12194^2*B110^4/((B110^2+20.6^2)*SQRT((B110^2+107.7^2)*(B110^2+737.9^2))*(B110^2+12194^2))*1.2589254)^2</f>
        <v>0.0132012117404407</v>
      </c>
      <c r="AM110" s="37" t="n">
        <f aca="false">0.5*(B110-B109)*(S110*AL110+S109*AL109)</f>
        <v>3.79007693678166E-014</v>
      </c>
      <c r="AN110" s="37" t="n">
        <f aca="false">0.5*(B110-B109)*(T110*AL110+T109*AL109)</f>
        <v>1.67163225062288E-013</v>
      </c>
      <c r="AO110" s="37" t="n">
        <f aca="false">0.5*(B110-B109)*(U110*AL110+U109*AL109)</f>
        <v>1.27184942955384E-013</v>
      </c>
      <c r="AP110" s="37" t="n">
        <f aca="false">0.5*(B110-B109)*(V110*AL110+V109*AL109)</f>
        <v>2.15594024394665E-011</v>
      </c>
      <c r="AQ110" s="37" t="n">
        <f aca="false">0.5*(B110-B109)*(W110*AL110+W109*AL109)</f>
        <v>1.00381718146918E-011</v>
      </c>
      <c r="AR110" s="37" t="n">
        <f aca="false">0.5*(B110-B109)*(X110*AL110+X109*AL109)</f>
        <v>1.9089377418785E-013</v>
      </c>
      <c r="AS110" s="37" t="n">
        <f aca="false">0.5*(B110-B109)*(Y110*AL110+Y109*AL109)</f>
        <v>1.52411081856355E-012</v>
      </c>
      <c r="AT110" s="37" t="n">
        <f aca="false">0.5*(B110-B109)*(Z110*AL110+Z109*AL109)</f>
        <v>9.52179727720673E-014</v>
      </c>
      <c r="AU110" s="37" t="n">
        <f aca="false">0.5*(B110-B109)*(AA110*AL110+AA109*AL109)</f>
        <v>3.37400457570672E-011</v>
      </c>
      <c r="AV110" s="37" t="n">
        <f aca="false">0.5*(B110-B109)*(S110+S109)</f>
        <v>2.97610576714615E-012</v>
      </c>
      <c r="AW110" s="37" t="n">
        <f aca="false">0.5*(B110-B109)*(T110+T109)</f>
        <v>1.31272128872271E-011</v>
      </c>
      <c r="AX110" s="37" t="n">
        <f aca="false">0.5*(B110-B109)*(U110+U109)</f>
        <v>9.98774593875561E-012</v>
      </c>
      <c r="AY110" s="37" t="n">
        <f aca="false">0.5*(B110-B109)*(V110+V109)</f>
        <v>1.69435772524088E-009</v>
      </c>
      <c r="AZ110" s="37" t="n">
        <f aca="false">0.5*(B110-B109)*(W110+W109)</f>
        <v>7.88948403093215E-010</v>
      </c>
      <c r="BA110" s="37" t="n">
        <f aca="false">0.5*(B110-B109)*(X110+X109)</f>
        <v>1.49937559396641E-011</v>
      </c>
      <c r="BB110" s="37" t="n">
        <f aca="false">0.5*(B110-B109)*(Y110+Y109)</f>
        <v>1.19787230049491E-010</v>
      </c>
      <c r="BC110" s="37" t="n">
        <f aca="false">0.5*(B110-B109)*(Z110+Z109)</f>
        <v>7.4773325854998E-012</v>
      </c>
      <c r="BD110" s="37" t="n">
        <f aca="false">0.5*(B110-B109)*(AA110+AA109)</f>
        <v>2.65165551150188E-009</v>
      </c>
      <c r="BE110" s="37" t="n">
        <f aca="false">IF(B110&gt;2000,AK110,-999)</f>
        <v>-999</v>
      </c>
      <c r="BF110" s="37" t="n">
        <f aca="false">IF(AND(B110&lt;1000,AK110&gt;=-3),B110,1000000000)</f>
        <v>102.572276798273</v>
      </c>
    </row>
    <row r="111" customFormat="false" ht="15" hidden="false" customHeight="false" outlineLevel="0" collapsed="false">
      <c r="A111" s="5" t="n">
        <v>72</v>
      </c>
      <c r="B111" s="47" t="n">
        <f aca="false">20*10^(A111/100)</f>
        <v>104.961492049955</v>
      </c>
      <c r="C111" s="37" t="n">
        <f aca="false">2*PI()*B111</f>
        <v>659.492504667921</v>
      </c>
      <c r="D111" s="37" t="n">
        <f aca="false">SQRT(L_Rp0^2+L_Rp1^2*C111)</f>
        <v>77439874.3495043</v>
      </c>
      <c r="E111" s="5" t="str">
        <f aca="false">COMPLEX(D111,C111*L_Mp)</f>
        <v>77439874.3495042+9742497.56405332i</v>
      </c>
      <c r="F111" s="5" t="str">
        <f aca="false">IMDIV(1,E111)</f>
        <v>1.27120446645013e-08-1.59926736992224e-09i</v>
      </c>
      <c r="G111" s="5" t="str">
        <f aca="false">COMPLEX(0,C111*L_Cf)</f>
        <v>6.97359104015989e-13i</v>
      </c>
      <c r="H111" s="5" t="str">
        <f aca="false">COMPLEX(0,C111*L_Cbv)</f>
        <v>6.97359104015989e-12i</v>
      </c>
      <c r="I111" s="5" t="str">
        <f aca="false">COMPLEX(L_Rsq+L_Rh,C111*(L_Md+L_Mh)-1/(C111*L_Cd))</f>
        <v>552400610.124532-1746762301442.22i</v>
      </c>
      <c r="J111" s="5" t="str">
        <f aca="false">IMDIV(1,I111)</f>
        <v>1.81044979193028e-16+5.72487681446405e-13i</v>
      </c>
      <c r="K111" s="5" t="str">
        <f aca="false">IMSUM(F111,G111,H111)</f>
        <v>1.27120446645013e-08-1.59159641977806e-09i</v>
      </c>
      <c r="L111" s="5" t="str">
        <f aca="false">IMSUM(IMPRODUCT(IMSUM(F111,G111),H111),IMPRODUCT(IMSUM(J111,L_Yv),K111))</f>
        <v>3.74853336295317e-20+9.27426087608053e-20i</v>
      </c>
      <c r="M111" s="37" t="n">
        <f aca="false">IMABS(IMDIV(IMPRODUCT(J111,F111,H111),L111))^2</f>
        <v>2.61469313242017E-025</v>
      </c>
      <c r="N111" s="5" t="str">
        <f aca="false">IMDIV(IMPRODUCT(L_Yv,K111,E111),H111)</f>
        <v>0.000170367723569176-0.286774851013914i</v>
      </c>
      <c r="O111" s="37" t="n">
        <f aca="false">IMABS(IMSUM(1,IMPRODUCT(E111,G111),N111))^2</f>
        <v>1.0825360186204</v>
      </c>
      <c r="P111" s="37" t="n">
        <f aca="false">IMABS(N111)^2</f>
        <v>0.0822398441992138</v>
      </c>
      <c r="Q111" s="37" t="n">
        <f aca="false">p_Rb^2/(1+(C111*p_Rb*L_Ctot)^2)</f>
        <v>3.79011669836525E+017</v>
      </c>
      <c r="R111" s="37" t="n">
        <f aca="false">M111*L_Kt^2*Q111</f>
        <v>1.98888985939191E-005</v>
      </c>
      <c r="S111" s="37" t="n">
        <f aca="false">L_kT4*D111</f>
        <v>1.27509554187325E-012</v>
      </c>
      <c r="T111" s="37" t="n">
        <f aca="false">L_kT4*L_Rsq*O111</f>
        <v>5.59183047668771E-012</v>
      </c>
      <c r="U111" s="37" t="n">
        <f aca="false">L_kT4*L_Rh*O111</f>
        <v>4.25450418253593E-012</v>
      </c>
      <c r="V111" s="37" t="n">
        <f aca="false">L_kT4*p_Rv*P111</f>
        <v>6.77065010652612E-010</v>
      </c>
      <c r="W111" s="37" t="n">
        <f aca="false">L_kT4/p_Rb*Q111/R111</f>
        <v>3.13776154660843E-010</v>
      </c>
      <c r="X111" s="37" t="n">
        <f aca="false">p_en^2*(1+p_fc/B111)/R111</f>
        <v>6.28364322864184E-012</v>
      </c>
      <c r="Y111" s="37" t="n">
        <f aca="false">p_in^2*Q111/R111</f>
        <v>4.76411084362919E-011</v>
      </c>
      <c r="Z111" s="37" t="n">
        <f aca="false">p_eo^2/L_G^2/R111</f>
        <v>3.18749313337177E-012</v>
      </c>
      <c r="AA111" s="37" t="n">
        <f aca="false">SUM(S111:Z111)</f>
        <v>1.05907484031286E-009</v>
      </c>
      <c r="AB111" s="47" t="n">
        <f aca="false">10*LOG10(AA111/L_PREF^2)</f>
        <v>4.22866659607149</v>
      </c>
      <c r="AC111" s="47" t="n">
        <f aca="false">10*LOG10(S111/L_PREF^2)</f>
        <v>-24.9651726400601</v>
      </c>
      <c r="AD111" s="47" t="n">
        <f aca="false">10*LOG10(T111/L_PREF^2)</f>
        <v>-18.5450599456943</v>
      </c>
      <c r="AE111" s="47" t="n">
        <f aca="false">10*LOG10(U111/L_PREF^2)</f>
        <v>-19.732110363869</v>
      </c>
      <c r="AF111" s="47" t="n">
        <f aca="false">10*LOG10(V111/L_PREF^2)</f>
        <v>2.28570379590817</v>
      </c>
      <c r="AG111" s="47" t="n">
        <f aca="false">10*LOG10(W111/L_PREF^2)</f>
        <v>-1.05440054921856</v>
      </c>
      <c r="AH111" s="47" t="n">
        <f aca="false">10*LOG10(X111/L_PREF^2)</f>
        <v>-18.0384847253971</v>
      </c>
      <c r="AI111" s="47" t="n">
        <f aca="false">10*LOG10(Y111/L_PREF^2)</f>
        <v>-9.24078133937772</v>
      </c>
      <c r="AJ111" s="47" t="n">
        <f aca="false">10*LOG10(Z111/L_PREF^2)</f>
        <v>-20.986107334599</v>
      </c>
      <c r="AK111" s="47" t="n">
        <f aca="false">10*LOG10(R111/$R$6)</f>
        <v>-0.301601711827007</v>
      </c>
      <c r="AL111" s="37" t="n">
        <f aca="false">(12194^2*B111^4/((B111^2+20.6^2)*SQRT((B111^2+107.7^2)*(B111^2+737.9^2))*(B111^2+12194^2))*1.2589254)^2</f>
        <v>0.0141942536257639</v>
      </c>
      <c r="AM111" s="37" t="n">
        <f aca="false">0.5*(B111-B110)*(S111*AL111+S110*AL110)</f>
        <v>4.17251840171028E-014</v>
      </c>
      <c r="AN111" s="37" t="n">
        <f aca="false">0.5*(B111-B110)*(T111*AL111+T110*AL110)</f>
        <v>1.83318717619053E-013</v>
      </c>
      <c r="AO111" s="37" t="n">
        <f aca="false">0.5*(B111-B110)*(U111*AL111+U110*AL110)</f>
        <v>1.39476733799229E-013</v>
      </c>
      <c r="AP111" s="37" t="n">
        <f aca="false">0.5*(B111-B110)*(V111*AL111+V110*AL110)</f>
        <v>2.26614827112611E-011</v>
      </c>
      <c r="AQ111" s="37" t="n">
        <f aca="false">0.5*(B111-B110)*(W111*AL111+W110*AL110)</f>
        <v>1.0518137031561E-011</v>
      </c>
      <c r="AR111" s="37" t="n">
        <f aca="false">0.5*(B111-B110)*(X111*AL111+X110*AL110)</f>
        <v>2.07079952722038E-013</v>
      </c>
      <c r="AS111" s="37" t="n">
        <f aca="false">0.5*(B111-B110)*(Y111*AL111+Y110*AL110)</f>
        <v>1.59698466382827E-012</v>
      </c>
      <c r="AT111" s="37" t="n">
        <f aca="false">0.5*(B111-B110)*(Z111*AL111+Z110*AL110)</f>
        <v>1.04472062155611E-013</v>
      </c>
      <c r="AU111" s="37" t="n">
        <f aca="false">0.5*(B111-B110)*(AA111*AL111+AA110*AL110)</f>
        <v>3.54526770569633E-011</v>
      </c>
      <c r="AV111" s="37" t="n">
        <f aca="false">0.5*(B111-B110)*(S111+S110)</f>
        <v>3.04612522095772E-012</v>
      </c>
      <c r="AW111" s="37" t="n">
        <f aca="false">0.5*(B111-B110)*(T111+T110)</f>
        <v>1.33840103674324E-011</v>
      </c>
      <c r="AX111" s="37" t="n">
        <f aca="false">0.5*(B111-B110)*(U111+U110)</f>
        <v>1.0183128462985E-011</v>
      </c>
      <c r="AY111" s="37" t="n">
        <f aca="false">0.5*(B111-B110)*(V111+V110)</f>
        <v>1.65577857755116E-009</v>
      </c>
      <c r="AZ111" s="37" t="n">
        <f aca="false">0.5*(B111-B110)*(W111+W110)</f>
        <v>7.68558676227907E-010</v>
      </c>
      <c r="BA111" s="37" t="n">
        <f aca="false">0.5*(B111-B110)*(X111+X110)</f>
        <v>1.5121770602062E-011</v>
      </c>
      <c r="BB111" s="37" t="n">
        <f aca="false">0.5*(B111-B110)*(Y111+Y110)</f>
        <v>1.16691426961374E-010</v>
      </c>
      <c r="BC111" s="37" t="n">
        <f aca="false">0.5*(B111-B110)*(Z111+Z110)</f>
        <v>7.62738721755815E-012</v>
      </c>
      <c r="BD111" s="37" t="n">
        <f aca="false">0.5*(B111-B110)*(AA111+AA110)</f>
        <v>2.59039110261144E-009</v>
      </c>
      <c r="BE111" s="37" t="n">
        <f aca="false">IF(B111&gt;2000,AK111,-999)</f>
        <v>-999</v>
      </c>
      <c r="BF111" s="37" t="n">
        <f aca="false">IF(AND(B111&lt;1000,AK111&gt;=-3),B111,1000000000)</f>
        <v>104.961492049955</v>
      </c>
    </row>
    <row r="112" customFormat="false" ht="15" hidden="false" customHeight="false" outlineLevel="0" collapsed="false">
      <c r="A112" s="5" t="n">
        <v>73</v>
      </c>
      <c r="B112" s="47" t="n">
        <f aca="false">20*10^(A112/100)</f>
        <v>107.406359274051</v>
      </c>
      <c r="C112" s="37" t="n">
        <f aca="false">2*PI()*B112</f>
        <v>674.854058488366</v>
      </c>
      <c r="D112" s="37" t="n">
        <f aca="false">SQRT(L_Rp0^2+L_Rp1^2*C112)</f>
        <v>77458207.9590188</v>
      </c>
      <c r="E112" s="5" t="str">
        <f aca="false">COMPLEX(D112,C112*L_Mp)</f>
        <v>77458207.9590188+9969429.48460808i</v>
      </c>
      <c r="F112" s="5" t="str">
        <f aca="false">IMDIV(1,E112)</f>
        <v>1.26998084085196e-08-1.63455684985321e-09i</v>
      </c>
      <c r="G112" s="5" t="str">
        <f aca="false">COMPLEX(0,C112*L_Cf)</f>
        <v>7.13602684242747e-13i</v>
      </c>
      <c r="H112" s="5" t="str">
        <f aca="false">COMPLEX(0,C112*L_Cbv)</f>
        <v>7.13602684242747e-12i</v>
      </c>
      <c r="I112" s="5" t="str">
        <f aca="false">COMPLEX(L_Rsq+L_Rh,C112*(L_Md+L_Mh)-1/(C112*L_Cd))</f>
        <v>552400610.124532-1707001022684.95i</v>
      </c>
      <c r="J112" s="5" t="str">
        <f aca="false">IMDIV(1,I112)</f>
        <v>1.89577390721402e-16+5.858226691068e-13i</v>
      </c>
      <c r="K112" s="5" t="str">
        <f aca="false">IMSUM(F112,G112,H112)</f>
        <v>1.26998084085196e-08-1.62670722032654e-09i</v>
      </c>
      <c r="L112" s="5" t="str">
        <f aca="false">IMSUM(IMPRODUCT(IMSUM(F112,G112),H112),IMPRODUCT(IMSUM(J112,L_Yv),K112))</f>
        <v>3.80141356473635e-20+9.48122865283425e-20i</v>
      </c>
      <c r="M112" s="37" t="n">
        <f aca="false">IMABS(IMDIV(IMPRODUCT(J112,F112,H112),L112))^2</f>
        <v>2.74603295953044E-025</v>
      </c>
      <c r="N112" s="5" t="str">
        <f aca="false">IMDIV(IMPRODUCT(L_Yv,K112,E112),H112)</f>
        <v>0.00017040805750992-0.280246071308726i</v>
      </c>
      <c r="O112" s="37" t="n">
        <f aca="false">IMABS(IMSUM(1,IMPRODUCT(E112,G112),N112))^2</f>
        <v>1.07883349703731</v>
      </c>
      <c r="P112" s="37" t="n">
        <f aca="false">IMABS(N112)^2</f>
        <v>0.0785378895228816</v>
      </c>
      <c r="Q112" s="37" t="n">
        <f aca="false">p_Rb^2/(1+(C112*p_Rb*L_Ctot)^2)</f>
        <v>3.61953340883807E+017</v>
      </c>
      <c r="R112" s="37" t="n">
        <f aca="false">M112*L_Kt^2*Q112</f>
        <v>1.99478346785517E-005</v>
      </c>
      <c r="S112" s="37" t="n">
        <f aca="false">L_kT4*D112</f>
        <v>1.27539741612027E-012</v>
      </c>
      <c r="T112" s="37" t="n">
        <f aca="false">L_kT4*L_Rsq*O112</f>
        <v>5.57270513335242E-012</v>
      </c>
      <c r="U112" s="37" t="n">
        <f aca="false">L_kT4*L_Rh*O112</f>
        <v>4.2399528019904E-012</v>
      </c>
      <c r="V112" s="37" t="n">
        <f aca="false">L_kT4*p_Rv*P112</f>
        <v>6.46587521221883E-010</v>
      </c>
      <c r="W112" s="37" t="n">
        <f aca="false">L_kT4/p_Rb*Q112/R112</f>
        <v>2.9876857590566E-010</v>
      </c>
      <c r="X112" s="37" t="n">
        <f aca="false">p_en^2*(1+p_fc/B112)/R112</f>
        <v>6.19549892831699E-012</v>
      </c>
      <c r="Y112" s="37" t="n">
        <f aca="false">p_in^2*Q112/R112</f>
        <v>4.53624850411691E-011</v>
      </c>
      <c r="Z112" s="37" t="n">
        <f aca="false">p_eo^2/L_G^2/R112</f>
        <v>3.17807565182043E-012</v>
      </c>
      <c r="AA112" s="37" t="n">
        <f aca="false">SUM(S112:Z112)</f>
        <v>1.01118021210031E-009</v>
      </c>
      <c r="AB112" s="47" t="n">
        <f aca="false">10*LOG10(AA112/L_PREF^2)</f>
        <v>4.02768570935774</v>
      </c>
      <c r="AC112" s="47" t="n">
        <f aca="false">10*LOG10(S112/L_PREF^2)</f>
        <v>-24.9641445853077</v>
      </c>
      <c r="AD112" s="47" t="n">
        <f aca="false">10*LOG10(T112/L_PREF^2)</f>
        <v>-18.5599392733974</v>
      </c>
      <c r="AE112" s="47" t="n">
        <f aca="false">10*LOG10(U112/L_PREF^2)</f>
        <v>-19.7469896915721</v>
      </c>
      <c r="AF112" s="47" t="n">
        <f aca="false">10*LOG10(V112/L_PREF^2)</f>
        <v>2.08567327387455</v>
      </c>
      <c r="AG112" s="47" t="n">
        <f aca="false">10*LOG10(W112/L_PREF^2)</f>
        <v>-1.26725074317294</v>
      </c>
      <c r="AH112" s="47" t="n">
        <f aca="false">10*LOG10(X112/L_PREF^2)</f>
        <v>-18.0998370513728</v>
      </c>
      <c r="AI112" s="47" t="n">
        <f aca="false">10*LOG10(Y112/L_PREF^2)</f>
        <v>-9.45363153333211</v>
      </c>
      <c r="AJ112" s="47" t="n">
        <f aca="false">10*LOG10(Z112/L_PREF^2)</f>
        <v>-20.9989576026368</v>
      </c>
      <c r="AK112" s="47" t="n">
        <f aca="false">10*LOG10(R112/$R$6)</f>
        <v>-0.288751443789219</v>
      </c>
      <c r="AL112" s="37" t="n">
        <f aca="false">(12194^2*B112^4/((B112^2+20.6^2)*SQRT((B112^2+107.7^2)*(B112^2+737.9^2))*(B112^2+12194^2))*1.2589254)^2</f>
        <v>0.0152509676117843</v>
      </c>
      <c r="AM112" s="37" t="n">
        <f aca="false">0.5*(B112-B111)*(S112*AL112+S111*AL111)</f>
        <v>4.59024728416629E-014</v>
      </c>
      <c r="AN112" s="37" t="n">
        <f aca="false">0.5*(B112-B111)*(T112*AL112+T111*AL111)</f>
        <v>2.0092041765419E-013</v>
      </c>
      <c r="AO112" s="37" t="n">
        <f aca="false">0.5*(B112-B111)*(U112*AL112+U111*AL111)</f>
        <v>1.52868861248627E-013</v>
      </c>
      <c r="AP112" s="37" t="n">
        <f aca="false">0.5*(B112-B111)*(V112*AL112+V111*AL111)</f>
        <v>2.38026378689166E-011</v>
      </c>
      <c r="AQ112" s="37" t="n">
        <f aca="false">0.5*(B112-B111)*(W112*AL112+W111*AL111)</f>
        <v>1.10145280417987E-011</v>
      </c>
      <c r="AR112" s="37" t="n">
        <f aca="false">0.5*(B112-B111)*(X112*AL112+X111*AL111)</f>
        <v>2.2453535797112E-013</v>
      </c>
      <c r="AS112" s="37" t="n">
        <f aca="false">0.5*(B112-B111)*(Y112*AL112+Y111*AL111)</f>
        <v>1.67235246215921E-012</v>
      </c>
      <c r="AT112" s="37" t="n">
        <f aca="false">0.5*(B112-B111)*(Z112*AL112+Z111*AL111)</f>
        <v>1.1455769469014E-013</v>
      </c>
      <c r="AU112" s="37" t="n">
        <f aca="false">0.5*(B112-B111)*(AA112*AL112+AA111*AL111)</f>
        <v>3.72283031772803E-011</v>
      </c>
      <c r="AV112" s="37" t="n">
        <f aca="false">0.5*(B112-B111)*(S112+S111)</f>
        <v>3.11780831914304E-012</v>
      </c>
      <c r="AW112" s="37" t="n">
        <f aca="false">0.5*(B112-B111)*(T112+T111)</f>
        <v>1.364790359262E-011</v>
      </c>
      <c r="AX112" s="37" t="n">
        <f aca="false">0.5*(B112-B111)*(U112+U111)</f>
        <v>1.0383909733981E-011</v>
      </c>
      <c r="AY112" s="37" t="n">
        <f aca="false">0.5*(B112-B111)*(V112+V111)</f>
        <v>1.61807734563584E-009</v>
      </c>
      <c r="AZ112" s="37" t="n">
        <f aca="false">0.5*(B112-B111)*(W112+W111)</f>
        <v>7.48795267527389E-010</v>
      </c>
      <c r="BA112" s="37" t="n">
        <f aca="false">0.5*(B112-B111)*(X112+X111)</f>
        <v>1.52549228221918E-011</v>
      </c>
      <c r="BB112" s="37" t="n">
        <f aca="false">0.5*(B112-B111)*(Y112+Y111)</f>
        <v>1.13690718708098E-010</v>
      </c>
      <c r="BC112" s="37" t="n">
        <f aca="false">0.5*(B112-B111)*(Z112+Z111)</f>
        <v>7.7814852428226E-012</v>
      </c>
      <c r="BD112" s="37" t="n">
        <f aca="false">0.5*(B112-B111)*(AA112+AA111)</f>
        <v>2.53074936158208E-009</v>
      </c>
      <c r="BE112" s="37" t="n">
        <f aca="false">IF(B112&gt;2000,AK112,-999)</f>
        <v>-999</v>
      </c>
      <c r="BF112" s="37" t="n">
        <f aca="false">IF(AND(B112&lt;1000,AK112&gt;=-3),B112,1000000000)</f>
        <v>107.406359274051</v>
      </c>
    </row>
    <row r="113" customFormat="false" ht="15" hidden="false" customHeight="false" outlineLevel="0" collapsed="false">
      <c r="A113" s="5" t="n">
        <v>74</v>
      </c>
      <c r="B113" s="47" t="n">
        <f aca="false">20*10^(A113/100)</f>
        <v>109.908174771525</v>
      </c>
      <c r="C113" s="37" t="n">
        <f aca="false">2*PI()*B113</f>
        <v>690.573428863371</v>
      </c>
      <c r="D113" s="37" t="n">
        <f aca="false">SQRT(L_Rp0^2+L_Rp1^2*C113)</f>
        <v>77476964.1220644</v>
      </c>
      <c r="E113" s="5" t="str">
        <f aca="false">COMPLEX(D113,C113*L_Mp)</f>
        <v>77476964.1220644+10201647.3286366i</v>
      </c>
      <c r="F113" s="5" t="str">
        <f aca="false">IMDIV(1,E113)</f>
        <v>1.26870952192751e-08-1.67055166033559e-09i</v>
      </c>
      <c r="G113" s="5" t="str">
        <f aca="false">COMPLEX(0,C113*L_Cf)</f>
        <v>7.30224626058339e-13i</v>
      </c>
      <c r="H113" s="5" t="str">
        <f aca="false">COMPLEX(0,C113*L_Cbv)</f>
        <v>7.30224626058339e-12i</v>
      </c>
      <c r="I113" s="5" t="str">
        <f aca="false">COMPLEX(L_Rsq+L_Rh,C113*(L_Md+L_Mh)-1/(C113*L_Cd))</f>
        <v>552400610.124532-1668144818464.74i</v>
      </c>
      <c r="J113" s="5" t="str">
        <f aca="false">IMDIV(1,I113)</f>
        <v>1.98511924782816e-16+5.99468271143408e-13i</v>
      </c>
      <c r="K113" s="5" t="str">
        <f aca="false">IMSUM(F113,G113,H113)</f>
        <v>1.26870952192751e-08-1.66251918944895e-09i</v>
      </c>
      <c r="L113" s="5" t="str">
        <f aca="false">IMSUM(IMPRODUCT(IMSUM(F113,G113),H113),IMPRODUCT(IMSUM(J113,L_Yv),K113))</f>
        <v>3.85667838172356e-20+9.69244362507655e-20i</v>
      </c>
      <c r="M113" s="37" t="n">
        <f aca="false">IMABS(IMDIV(IMPRODUCT(J113,F113,H113),L113))^2</f>
        <v>2.88361007496119E-025</v>
      </c>
      <c r="N113" s="5" t="str">
        <f aca="false">IMDIV(IMPRODUCT(L_Yv,K113,E113),H113)</f>
        <v>0.000170449321068613-0.273865881780041i</v>
      </c>
      <c r="O113" s="37" t="n">
        <f aca="false">IMABS(IMSUM(1,IMPRODUCT(E113,G113),N113))^2</f>
        <v>1.07529756238069</v>
      </c>
      <c r="P113" s="37" t="n">
        <f aca="false">IMABS(N113)^2</f>
        <v>0.0750025502561305</v>
      </c>
      <c r="Q113" s="37" t="n">
        <f aca="false">p_Rb^2/(1+(C113*p_Rb*L_Ctot)^2)</f>
        <v>3.45662762660774E+017</v>
      </c>
      <c r="R113" s="37" t="n">
        <f aca="false">M113*L_Kt^2*Q113</f>
        <v>2.00044472606836E-005</v>
      </c>
      <c r="S113" s="37" t="n">
        <f aca="false">L_kT4*D113</f>
        <v>1.27570624797315E-012</v>
      </c>
      <c r="T113" s="37" t="n">
        <f aca="false">L_kT4*L_Rsq*O113</f>
        <v>5.55444029335049E-012</v>
      </c>
      <c r="U113" s="37" t="n">
        <f aca="false">L_kT4*L_Rh*O113</f>
        <v>4.22605612924512E-012</v>
      </c>
      <c r="V113" s="37" t="n">
        <f aca="false">L_kT4*p_Rv*P113</f>
        <v>6.17481744799141E-010</v>
      </c>
      <c r="W113" s="37" t="n">
        <f aca="false">L_kT4/p_Rb*Q113/R113</f>
        <v>2.84514318989525E-010</v>
      </c>
      <c r="X113" s="37" t="n">
        <f aca="false">p_en^2*(1+p_fc/B113)/R113</f>
        <v>6.1101626994588E-012</v>
      </c>
      <c r="Y113" s="37" t="n">
        <f aca="false">p_in^2*Q113/R113</f>
        <v>4.3198239640959E-011</v>
      </c>
      <c r="Z113" s="37" t="n">
        <f aca="false">p_eo^2/L_G^2/R113</f>
        <v>3.16908169830024E-012</v>
      </c>
      <c r="AA113" s="37" t="n">
        <f aca="false">SUM(S113:Z113)</f>
        <v>9.65529750497953E-010</v>
      </c>
      <c r="AB113" s="47" t="n">
        <f aca="false">10*LOG10(AA113/L_PREF^2)</f>
        <v>3.82705668742952</v>
      </c>
      <c r="AC113" s="47" t="n">
        <f aca="false">10*LOG10(S113/L_PREF^2)</f>
        <v>-24.9630930876984</v>
      </c>
      <c r="AD113" s="47" t="n">
        <f aca="false">10*LOG10(T113/L_PREF^2)</f>
        <v>-18.5741968858323</v>
      </c>
      <c r="AE113" s="47" t="n">
        <f aca="false">10*LOG10(U113/L_PREF^2)</f>
        <v>-19.761247304007</v>
      </c>
      <c r="AF113" s="47" t="n">
        <f aca="false">10*LOG10(V113/L_PREF^2)</f>
        <v>1.88564131332176</v>
      </c>
      <c r="AG113" s="47" t="n">
        <f aca="false">10*LOG10(W113/L_PREF^2)</f>
        <v>-1.47955862946086</v>
      </c>
      <c r="AH113" s="47" t="n">
        <f aca="false">10*LOG10(X113/L_PREF^2)</f>
        <v>-18.1600721667683</v>
      </c>
      <c r="AI113" s="47" t="n">
        <f aca="false">10*LOG10(Y113/L_PREF^2)</f>
        <v>-9.66593941962002</v>
      </c>
      <c r="AJ113" s="47" t="n">
        <f aca="false">10*LOG10(Z113/L_PREF^2)</f>
        <v>-21.0112655596738</v>
      </c>
      <c r="AK113" s="47" t="n">
        <f aca="false">10*LOG10(R113/$R$6)</f>
        <v>-0.276443486752196</v>
      </c>
      <c r="AL113" s="37" t="n">
        <f aca="false">(12194^2*B113^4/((B113^2+20.6^2)*SQRT((B113^2+107.7^2)*(B113^2+737.9^2))*(B113^2+12194^2))*1.2589254)^2</f>
        <v>0.0163745771947223</v>
      </c>
      <c r="AM113" s="37" t="n">
        <f aca="false">0.5*(B113-B112)*(S113*AL113+S112*AL112)</f>
        <v>5.04618626619655E-014</v>
      </c>
      <c r="AN113" s="37" t="n">
        <f aca="false">0.5*(B113-B112)*(T113*AL113+T112*AL112)</f>
        <v>2.20085656069513E-013</v>
      </c>
      <c r="AO113" s="37" t="n">
        <f aca="false">0.5*(B113-B112)*(U113*AL113+U112*AL112)</f>
        <v>1.67450595680174E-013</v>
      </c>
      <c r="AP113" s="37" t="n">
        <f aca="false">0.5*(B113-B112)*(V113*AL113+V112*AL112)</f>
        <v>2.49832394386218E-011</v>
      </c>
      <c r="AQ113" s="37" t="n">
        <f aca="false">0.5*(B113-B112)*(W113*AL113+W112*AL112)</f>
        <v>1.15275046297433E-011</v>
      </c>
      <c r="AR113" s="37" t="n">
        <f aca="false">0.5*(B113-B112)*(X113*AL113+X112*AL112)</f>
        <v>2.43349947606508E-013</v>
      </c>
      <c r="AS113" s="37" t="n">
        <f aca="false">0.5*(B113-B112)*(Y113*AL113+Y112*AL112)</f>
        <v>1.75023847385428E-012</v>
      </c>
      <c r="AT113" s="37" t="n">
        <f aca="false">0.5*(B113-B112)*(Z113*AL113+Z112*AL112)</f>
        <v>1.25542479837007E-013</v>
      </c>
      <c r="AU113" s="37" t="n">
        <f aca="false">0.5*(B113-B112)*(AA113*AL113+AA112*AL112)</f>
        <v>3.90678730840746E-011</v>
      </c>
      <c r="AV113" s="37" t="n">
        <f aca="false">0.5*(B113-B112)*(S113+S112)</f>
        <v>3.19119534124629E-012</v>
      </c>
      <c r="AW113" s="37" t="n">
        <f aca="false">0.5*(B113-B112)*(T113+T112)</f>
        <v>1.39190324355883E-011</v>
      </c>
      <c r="AX113" s="37" t="n">
        <f aca="false">0.5*(B113-B112)*(U113+U112)</f>
        <v>1.05901961729608E-011</v>
      </c>
      <c r="AY113" s="37" t="n">
        <f aca="false">0.5*(B113-B112)*(V113+V112)</f>
        <v>1.58123403980623E-009</v>
      </c>
      <c r="AZ113" s="37" t="n">
        <f aca="false">0.5*(B113-B112)*(W113+W112)</f>
        <v>7.29633092930248E-010</v>
      </c>
      <c r="BA113" s="37" t="n">
        <f aca="false">0.5*(B113-B112)*(X113+X112)</f>
        <v>1.53932474835227E-011</v>
      </c>
      <c r="BB113" s="37" t="n">
        <f aca="false">0.5*(B113-B112)*(Y113+Y112)</f>
        <v>1.10781296738655E-010</v>
      </c>
      <c r="BC113" s="37" t="n">
        <f aca="false">0.5*(B113-B112)*(Z113+Z112)</f>
        <v>7.93970831172016E-012</v>
      </c>
      <c r="BD113" s="37" t="n">
        <f aca="false">0.5*(B113-B112)*(AA113+AA112)</f>
        <v>2.47268180922017E-009</v>
      </c>
      <c r="BE113" s="37" t="n">
        <f aca="false">IF(B113&gt;2000,AK113,-999)</f>
        <v>-999</v>
      </c>
      <c r="BF113" s="37" t="n">
        <f aca="false">IF(AND(B113&lt;1000,AK113&gt;=-3),B113,1000000000)</f>
        <v>109.908174771525</v>
      </c>
    </row>
    <row r="114" customFormat="false" ht="15" hidden="false" customHeight="false" outlineLevel="0" collapsed="false">
      <c r="A114" s="5" t="n">
        <v>75</v>
      </c>
      <c r="B114" s="47" t="n">
        <f aca="false">20*10^(A114/100)</f>
        <v>112.46826503807</v>
      </c>
      <c r="C114" s="37" t="n">
        <f aca="false">2*PI()*B114</f>
        <v>706.65895041118</v>
      </c>
      <c r="D114" s="37" t="n">
        <f aca="false">SQRT(L_Rp0^2+L_Rp1^2*C114)</f>
        <v>77496152.4729337</v>
      </c>
      <c r="E114" s="5" t="str">
        <f aca="false">COMPLEX(D114,C114*L_Mp)</f>
        <v>77496152.4729337+10439274.2211135i</v>
      </c>
      <c r="F114" s="5" t="str">
        <f aca="false">IMDIV(1,E114)</f>
        <v>1.26738863887273e-08-1.70726121539223e-09i</v>
      </c>
      <c r="G114" s="5" t="str">
        <f aca="false">COMPLEX(0,C114*L_Cf)</f>
        <v>7.47233742636333e-13i</v>
      </c>
      <c r="H114" s="5" t="str">
        <f aca="false">COMPLEX(0,C114*L_Cbv)</f>
        <v>7.47233742636333e-12i</v>
      </c>
      <c r="I114" s="5" t="str">
        <f aca="false">COMPLEX(L_Rsq+L_Rh,C114*(L_Md+L_Mh)-1/(C114*L_Cd))</f>
        <v>552400610.124532-1630173086707.79i</v>
      </c>
      <c r="J114" s="5" t="str">
        <f aca="false">IMDIV(1,I114)</f>
        <v>2.07867533056691e-16+6.13431722881276e-13i</v>
      </c>
      <c r="K114" s="5" t="str">
        <f aca="false">IMSUM(F114,G114,H114)</f>
        <v>1.26738863887273e-08-1.69904164422323e-09i</v>
      </c>
      <c r="L114" s="5" t="str">
        <f aca="false">IMSUM(IMPRODUCT(IMSUM(F114,G114),H114),IMPRODUCT(IMSUM(J114,L_Yv),K114))</f>
        <v>3.91443016037079e-20+9.90796830989607e-20i</v>
      </c>
      <c r="M114" s="37" t="n">
        <f aca="false">IMABS(IMDIV(IMPRODUCT(J114,F114,H114),L114))^2</f>
        <v>3.02771673049285E-025</v>
      </c>
      <c r="N114" s="5" t="str">
        <f aca="false">IMDIV(IMPRODUCT(L_Yv,K114,E114),H114)</f>
        <v>0.000170491535440407-0.26763089956692i</v>
      </c>
      <c r="O114" s="37" t="n">
        <f aca="false">IMABS(IMSUM(1,IMPRODUCT(E114,G114),N114))^2</f>
        <v>1.07192071433851</v>
      </c>
      <c r="P114" s="37" t="n">
        <f aca="false">IMABS(N114)^2</f>
        <v>0.0716263274703625</v>
      </c>
      <c r="Q114" s="37" t="n">
        <f aca="false">p_Rb^2/(1+(C114*p_Rb*L_Ctot)^2)</f>
        <v>3.30105380740303E+017</v>
      </c>
      <c r="R114" s="37" t="n">
        <f aca="false">M114*L_Kt^2*Q114</f>
        <v>2.00588148254464E-005</v>
      </c>
      <c r="S114" s="37" t="n">
        <f aca="false">L_kT4*D114</f>
        <v>1.27602219606649E-012</v>
      </c>
      <c r="T114" s="37" t="n">
        <f aca="false">L_kT4*L_Rsq*O114</f>
        <v>5.53699721388465E-012</v>
      </c>
      <c r="U114" s="37" t="n">
        <f aca="false">L_kT4*L_Rh*O114</f>
        <v>4.2127846871202E-012</v>
      </c>
      <c r="V114" s="37" t="n">
        <f aca="false">L_kT4*p_Rv*P114</f>
        <v>5.89685944130133E-010</v>
      </c>
      <c r="W114" s="37" t="n">
        <f aca="false">L_kT4/p_Rb*Q114/R114</f>
        <v>2.7097262714381E-010</v>
      </c>
      <c r="X114" s="37" t="n">
        <f aca="false">p_en^2*(1+p_fc/B114)/R114</f>
        <v>6.02752167430486E-012</v>
      </c>
      <c r="Y114" s="37" t="n">
        <f aca="false">p_in^2*Q114/R114</f>
        <v>4.11421840737988E-011</v>
      </c>
      <c r="Z114" s="37" t="n">
        <f aca="false">p_eo^2/L_G^2/R114</f>
        <v>3.16049219508331E-012</v>
      </c>
      <c r="AA114" s="37" t="n">
        <f aca="false">SUM(S114:Z114)</f>
        <v>9.22014573314201E-010</v>
      </c>
      <c r="AB114" s="47" t="n">
        <f aca="false">10*LOG10(AA114/L_PREF^2)</f>
        <v>3.6267779421582</v>
      </c>
      <c r="AC114" s="47" t="n">
        <f aca="false">10*LOG10(S114/L_PREF^2)</f>
        <v>-24.9620176244019</v>
      </c>
      <c r="AD114" s="47" t="n">
        <f aca="false">10*LOG10(T114/L_PREF^2)</f>
        <v>-18.5878568634499</v>
      </c>
      <c r="AE114" s="47" t="n">
        <f aca="false">10*LOG10(U114/L_PREF^2)</f>
        <v>-19.7749072816246</v>
      </c>
      <c r="AF114" s="47" t="n">
        <f aca="false">10*LOG10(V114/L_PREF^2)</f>
        <v>1.68560784644733</v>
      </c>
      <c r="AG114" s="47" t="n">
        <f aca="false">10*LOG10(W114/L_PREF^2)</f>
        <v>-1.69134569386458</v>
      </c>
      <c r="AH114" s="47" t="n">
        <f aca="false">10*LOG10(X114/L_PREF^2)</f>
        <v>-18.2192121060048</v>
      </c>
      <c r="AI114" s="47" t="n">
        <f aca="false">10*LOG10(Y114/L_PREF^2)</f>
        <v>-9.87772648402375</v>
      </c>
      <c r="AJ114" s="47" t="n">
        <f aca="false">10*LOG10(Z114/L_PREF^2)</f>
        <v>-21.0230526916424</v>
      </c>
      <c r="AK114" s="47" t="n">
        <f aca="false">10*LOG10(R114/$R$6)</f>
        <v>-0.264656354783602</v>
      </c>
      <c r="AL114" s="37" t="n">
        <f aca="false">(12194^2*B114^4/((B114^2+20.6^2)*SQRT((B114^2+107.7^2)*(B114^2+737.9^2))*(B114^2+12194^2))*1.2589254)^2</f>
        <v>0.017568413185601</v>
      </c>
      <c r="AM114" s="37" t="n">
        <f aca="false">0.5*(B114-B113)*(S114*AL114+S113*AL113)</f>
        <v>5.54347041596523E-014</v>
      </c>
      <c r="AN114" s="37" t="n">
        <f aca="false">0.5*(B114-B113)*(T114*AL114+T113*AL113)</f>
        <v>2.40940164098598E-013</v>
      </c>
      <c r="AO114" s="37" t="n">
        <f aca="false">0.5*(B114-B113)*(U114*AL114+U113*AL113)</f>
        <v>1.83317598802742E-013</v>
      </c>
      <c r="AP114" s="37" t="n">
        <f aca="false">0.5*(B114-B113)*(V114*AL114+V113*AL113)</f>
        <v>2.62036103967358E-011</v>
      </c>
      <c r="AQ114" s="37" t="n">
        <f aca="false">0.5*(B114-B113)*(W114*AL114+W113*AL113)</f>
        <v>1.20572068929089E-011</v>
      </c>
      <c r="AR114" s="37" t="n">
        <f aca="false">0.5*(B114-B113)*(X114*AL114+X113*AL113)</f>
        <v>2.63619307215393E-013</v>
      </c>
      <c r="AS114" s="37" t="n">
        <f aca="false">0.5*(B114-B113)*(Y114*AL114+Y113*AL113)</f>
        <v>1.83066397013107E-012</v>
      </c>
      <c r="AT114" s="37" t="n">
        <f aca="false">0.5*(B114-B113)*(Z114*AL114+Z113*AL113)</f>
        <v>1.3749887133262E-013</v>
      </c>
      <c r="AU114" s="37" t="n">
        <f aca="false">0.5*(B114-B113)*(AA114*AL114+AA113*AL113)</f>
        <v>4.09722919053848E-011</v>
      </c>
      <c r="AV114" s="37" t="n">
        <f aca="false">0.5*(B114-B113)*(S114+S113)</f>
        <v>3.26632757622584E-012</v>
      </c>
      <c r="AW114" s="37" t="n">
        <f aca="false">0.5*(B114-B113)*(T114+T113)</f>
        <v>1.4197540602132E-011</v>
      </c>
      <c r="AX114" s="37" t="n">
        <f aca="false">0.5*(B114-B113)*(U114+U113)</f>
        <v>1.08020971174494E-011</v>
      </c>
      <c r="AY114" s="37" t="n">
        <f aca="false">0.5*(B114-B113)*(V114+V113)</f>
        <v>1.54522912525768E-009</v>
      </c>
      <c r="AZ114" s="37" t="n">
        <f aca="false">0.5*(B114-B113)*(W114+W113)</f>
        <v>7.11048361994357E-010</v>
      </c>
      <c r="BA114" s="37" t="n">
        <f aca="false">0.5*(B114-B113)*(X114+X113)</f>
        <v>1.55367838118333E-011</v>
      </c>
      <c r="BB114" s="37" t="n">
        <f aca="false">0.5*(B114-B113)*(Y114+Y113)</f>
        <v>1.07959548914213E-010</v>
      </c>
      <c r="BC114" s="37" t="n">
        <f aca="false">0.5*(B114-B113)*(Z114+Z113)</f>
        <v>8.10214025791401E-012</v>
      </c>
      <c r="BD114" s="37" t="n">
        <f aca="false">0.5*(B114-B113)*(AA114+AA113)</f>
        <v>2.4161419255318E-009</v>
      </c>
      <c r="BE114" s="37" t="n">
        <f aca="false">IF(B114&gt;2000,AK114,-999)</f>
        <v>-999</v>
      </c>
      <c r="BF114" s="37" t="n">
        <f aca="false">IF(AND(B114&lt;1000,AK114&gt;=-3),B114,1000000000)</f>
        <v>112.46826503807</v>
      </c>
    </row>
    <row r="115" customFormat="false" ht="15" hidden="false" customHeight="false" outlineLevel="0" collapsed="false">
      <c r="A115" s="5" t="n">
        <v>76</v>
      </c>
      <c r="B115" s="47" t="n">
        <f aca="false">20*10^(A115/100)</f>
        <v>115.087987467431</v>
      </c>
      <c r="C115" s="37" t="n">
        <f aca="false">2*PI()*B115</f>
        <v>723.119151888233</v>
      </c>
      <c r="D115" s="37" t="n">
        <f aca="false">SQRT(L_Rp0^2+L_Rp1^2*C115)</f>
        <v>77515782.8607563</v>
      </c>
      <c r="E115" s="5" t="str">
        <f aca="false">COMPLEX(D115,C115*L_Mp)</f>
        <v>77515782.8607563+10682436.1549626i</v>
      </c>
      <c r="F115" s="5" t="str">
        <f aca="false">IMDIV(1,E115)</f>
        <v>1.26601625333831e-08-1.74469473161681e-09i</v>
      </c>
      <c r="G115" s="5" t="str">
        <f aca="false">COMPLEX(0,C115*L_Cf)</f>
        <v>7.6463905243548e-13i</v>
      </c>
      <c r="H115" s="5" t="str">
        <f aca="false">COMPLEX(0,C115*L_Cbv)</f>
        <v>7.6463905243548e-12i</v>
      </c>
      <c r="I115" s="5" t="str">
        <f aca="false">COMPLEX(L_Rsq+L_Rh,C115*(L_Md+L_Mh)-1/(C115*L_Cd))</f>
        <v>552400610.124532-1593065694299.29i</v>
      </c>
      <c r="J115" s="5" t="str">
        <f aca="false">IMDIV(1,I115)</f>
        <v>2.17664060409614e-16+6.27720428191187e-13i</v>
      </c>
      <c r="K115" s="5" t="str">
        <f aca="false">IMSUM(F115,G115,H115)</f>
        <v>1.26601625333831e-08-1.73628370204002e-09i</v>
      </c>
      <c r="L115" s="5" t="str">
        <f aca="false">IMSUM(IMPRODUCT(IMSUM(F115,G115),H115),IMPRODUCT(IMSUM(J115,L_Yv),K115))</f>
        <v>3.9747752012976e-20+1.01278644147837e-19i</v>
      </c>
      <c r="M115" s="37" t="n">
        <f aca="false">IMABS(IMDIV(IMPRODUCT(J115,F115,H115),L115))^2</f>
        <v>3.17865900274545E-025</v>
      </c>
      <c r="N115" s="5" t="str">
        <f aca="false">IMDIV(IMPRODUCT(L_Yv,K115,E115),H115)</f>
        <v>0.000170534722293754-0.261537818799262i</v>
      </c>
      <c r="O115" s="37" t="n">
        <f aca="false">IMABS(IMSUM(1,IMPRODUCT(E115,G115),N115))^2</f>
        <v>1.06869579003992</v>
      </c>
      <c r="P115" s="37" t="n">
        <f aca="false">IMABS(N115)^2</f>
        <v>0.0684020597443671</v>
      </c>
      <c r="Q115" s="37" t="n">
        <f aca="false">p_Rb^2/(1+(C115*p_Rb*L_Ctot)^2)</f>
        <v>3.15248195896475E+017</v>
      </c>
      <c r="R115" s="37" t="n">
        <f aca="false">M115*L_Kt^2*Q115</f>
        <v>2.0111014332898E-005</v>
      </c>
      <c r="S115" s="37" t="n">
        <f aca="false">L_kT4*D115</f>
        <v>1.27634542257232E-012</v>
      </c>
      <c r="T115" s="37" t="n">
        <f aca="false">L_kT4*L_Rsq*O115</f>
        <v>5.52033889520734E-012</v>
      </c>
      <c r="U115" s="37" t="n">
        <f aca="false">L_kT4*L_Rh*O115</f>
        <v>4.20011032462261E-012</v>
      </c>
      <c r="V115" s="37" t="n">
        <f aca="false">L_kT4*p_Rv*P115</f>
        <v>5.63141160594796E-010</v>
      </c>
      <c r="W115" s="37" t="n">
        <f aca="false">L_kT4/p_Rb*Q115/R115</f>
        <v>2.58105180832641E-010</v>
      </c>
      <c r="X115" s="37" t="n">
        <f aca="false">p_en^2*(1+p_fc/B115)/R115</f>
        <v>5.94746861297395E-012</v>
      </c>
      <c r="Y115" s="37" t="n">
        <f aca="false">p_in^2*Q115/R115</f>
        <v>3.91885002265632E-011</v>
      </c>
      <c r="Z115" s="37" t="n">
        <f aca="false">p_eo^2/L_G^2/R115</f>
        <v>3.15228892233151E-012</v>
      </c>
      <c r="AA115" s="37" t="n">
        <f aca="false">SUM(S115:Z115)</f>
        <v>8.80531393831708E-010</v>
      </c>
      <c r="AB115" s="47" t="n">
        <f aca="false">10*LOG10(AA115/L_PREF^2)</f>
        <v>3.42684853273825</v>
      </c>
      <c r="AC115" s="47" t="n">
        <f aca="false">10*LOG10(S115/L_PREF^2)</f>
        <v>-24.9609176614686</v>
      </c>
      <c r="AD115" s="47" t="n">
        <f aca="false">10*LOG10(T115/L_PREF^2)</f>
        <v>-18.6009425131603</v>
      </c>
      <c r="AE115" s="47" t="n">
        <f aca="false">10*LOG10(U115/L_PREF^2)</f>
        <v>-19.787992931335</v>
      </c>
      <c r="AF115" s="47" t="n">
        <f aca="false">10*LOG10(V115/L_PREF^2)</f>
        <v>1.48557280225255</v>
      </c>
      <c r="AG115" s="47" t="n">
        <f aca="false">10*LOG10(W115/L_PREF^2)</f>
        <v>-1.90263269293022</v>
      </c>
      <c r="AH115" s="47" t="n">
        <f aca="false">10*LOG10(X115/L_PREF^2)</f>
        <v>-18.2772783254774</v>
      </c>
      <c r="AI115" s="47" t="n">
        <f aca="false">10*LOG10(Y115/L_PREF^2)</f>
        <v>-10.0890134830894</v>
      </c>
      <c r="AJ115" s="47" t="n">
        <f aca="false">10*LOG10(Z115/L_PREF^2)</f>
        <v>-21.034339755232</v>
      </c>
      <c r="AK115" s="47" t="n">
        <f aca="false">10*LOG10(R115/$R$6)</f>
        <v>-0.253369291194012</v>
      </c>
      <c r="AL115" s="37" t="n">
        <f aca="false">(12194^2*B115^4/((B115^2+20.6^2)*SQRT((B115^2+107.7^2)*(B115^2+737.9^2))*(B115^2+12194^2))*1.2589254)^2</f>
        <v>0.018835914748063</v>
      </c>
      <c r="AM115" s="37" t="n">
        <f aca="false">0.5*(B115-B114)*(S115*AL115+S114*AL114)</f>
        <v>6.08546047515322E-014</v>
      </c>
      <c r="AN115" s="37" t="n">
        <f aca="false">0.5*(B115-B114)*(T115*AL115+T114*AL114)</f>
        <v>2.63618591348381E-013</v>
      </c>
      <c r="AO115" s="37" t="n">
        <f aca="false">0.5*(B115-B114)*(U115*AL115+U114*AL114)</f>
        <v>2.0057231780572E-013</v>
      </c>
      <c r="AP115" s="37" t="n">
        <f aca="false">0.5*(B115-B114)*(V115*AL115+V114*AL114)</f>
        <v>2.74640240937186E-011</v>
      </c>
      <c r="AQ115" s="37" t="n">
        <f aca="false">0.5*(B115-B114)*(W115*AL115+W114*AL114)</f>
        <v>1.26037547768128E-011</v>
      </c>
      <c r="AR115" s="37" t="n">
        <f aca="false">0.5*(B115-B114)*(X115*AL115+X114*AL114)</f>
        <v>2.85444959859162E-013</v>
      </c>
      <c r="AS115" s="37" t="n">
        <f aca="false">0.5*(B115-B114)*(Y115*AL115+Y114*AL114)</f>
        <v>1.913647162499E-012</v>
      </c>
      <c r="AT115" s="37" t="n">
        <f aca="false">0.5*(B115-B114)*(Z115*AL115+Z114*AL114)</f>
        <v>1.50504465800751E-013</v>
      </c>
      <c r="AU115" s="37" t="n">
        <f aca="false">0.5*(B115-B114)*(AA115*AL115+AA114*AL114)</f>
        <v>4.2942420972596E-011</v>
      </c>
      <c r="AV115" s="37" t="n">
        <f aca="false">0.5*(B115-B114)*(S115+S114)</f>
        <v>3.34324734926211E-012</v>
      </c>
      <c r="AW115" s="37" t="n">
        <f aca="false">0.5*(B115-B114)*(T115+T114)</f>
        <v>1.44835757069889E-011</v>
      </c>
      <c r="AX115" s="37" t="n">
        <f aca="false">0.5*(B115-B114)*(U115+U114)</f>
        <v>1.10197248790633E-011</v>
      </c>
      <c r="AY115" s="37" t="n">
        <f aca="false">0.5*(B115-B114)*(V115+V114)</f>
        <v>1.51004351171192E-009</v>
      </c>
      <c r="AZ115" s="37" t="n">
        <f aca="false">0.5*(B115-B114)*(W115+W114)</f>
        <v>6.93018500216678E-010</v>
      </c>
      <c r="BA115" s="37" t="n">
        <f aca="false">0.5*(B115-B114)*(X115+X114)</f>
        <v>1.56855753234856E-011</v>
      </c>
      <c r="BB115" s="37" t="n">
        <f aca="false">0.5*(B115-B114)*(Y115+Y114)</f>
        <v>1.0522204771381E-010</v>
      </c>
      <c r="BC115" s="37" t="n">
        <f aca="false">0.5*(B115-B114)*(Z115+Z114)</f>
        <v>8.26886714247086E-012</v>
      </c>
      <c r="BD115" s="37" t="n">
        <f aca="false">0.5*(B115-B114)*(AA115+AA114)</f>
        <v>2.36108505004368E-009</v>
      </c>
      <c r="BE115" s="37" t="n">
        <f aca="false">IF(B115&gt;2000,AK115,-999)</f>
        <v>-999</v>
      </c>
      <c r="BF115" s="37" t="n">
        <f aca="false">IF(AND(B115&lt;1000,AK115&gt;=-3),B115,1000000000)</f>
        <v>115.087987467431</v>
      </c>
    </row>
    <row r="116" customFormat="false" ht="15" hidden="false" customHeight="false" outlineLevel="0" collapsed="false">
      <c r="A116" s="5" t="n">
        <v>77</v>
      </c>
      <c r="B116" s="47" t="n">
        <f aca="false">20*10^(A116/100)</f>
        <v>117.768731071118</v>
      </c>
      <c r="C116" s="37" t="n">
        <f aca="false">2*PI()*B116</f>
        <v>739.962760711231</v>
      </c>
      <c r="D116" s="37" t="n">
        <f aca="false">SQRT(L_Rp0^2+L_Rp1^2*C116)</f>
        <v>77535865.3540686</v>
      </c>
      <c r="E116" s="5" t="str">
        <f aca="false">COMPLEX(D116,C116*L_Mp)</f>
        <v>77535865.3540686+10931262.0578597i</v>
      </c>
      <c r="F116" s="5" t="str">
        <f aca="false">IMDIV(1,E116)</f>
        <v>1.2645903576769e-08-1.78286120010181e-09i</v>
      </c>
      <c r="G116" s="5" t="str">
        <f aca="false">COMPLEX(0,C116*L_Cf)</f>
        <v>7.82449783981423e-13i</v>
      </c>
      <c r="H116" s="5" t="str">
        <f aca="false">COMPLEX(0,C116*L_Cbv)</f>
        <v>7.82449783981423e-12i</v>
      </c>
      <c r="I116" s="5" t="str">
        <f aca="false">COMPLEX(L_Rsq+L_Rh,C116*(L_Md+L_Mh)-1/(C116*L_Cd))</f>
        <v>552400610.124532-1556802966408.64i</v>
      </c>
      <c r="J116" s="5" t="str">
        <f aca="false">IMDIV(1,I116)</f>
        <v>2.27922286992057e-16+6.42341963416521e-13i</v>
      </c>
      <c r="K116" s="5" t="str">
        <f aca="false">IMSUM(F116,G116,H116)</f>
        <v>1.2645903576769e-08-1.77425425247801e-09i</v>
      </c>
      <c r="L116" s="5" t="str">
        <f aca="false">IMSUM(IMPRODUCT(IMSUM(F116,G116),H116),IMPRODUCT(IMSUM(J116,L_Yv),K116))</f>
        <v>4.03782387291798e-20+1.03521926854563e-19i</v>
      </c>
      <c r="M116" s="37" t="n">
        <f aca="false">IMABS(IMDIV(IMPRODUCT(J116,F116,H116),L116))^2</f>
        <v>3.336757445035E-025</v>
      </c>
      <c r="N116" s="5" t="str">
        <f aca="false">IMDIV(IMPRODUCT(L_Yv,K116,E116),H116)</f>
        <v>0.000170578903779065-0.255583408844994i</v>
      </c>
      <c r="O116" s="37" t="n">
        <f aca="false">IMABS(IMSUM(1,IMPRODUCT(E116,G116),N116))^2</f>
        <v>1.06561594886188</v>
      </c>
      <c r="P116" s="37" t="n">
        <f aca="false">IMABS(N116)^2</f>
        <v>0.0653229079739898</v>
      </c>
      <c r="Q116" s="37" t="n">
        <f aca="false">p_Rb^2/(1+(C116*p_Rb*L_Ctot)^2)</f>
        <v>3.01059694109354E+017</v>
      </c>
      <c r="R116" s="37" t="n">
        <f aca="false">M116*L_Kt^2*Q116</f>
        <v>2.01611211460575E-005</v>
      </c>
      <c r="S116" s="37" t="n">
        <f aca="false">L_kT4*D116</f>
        <v>1.27667609327533E-012</v>
      </c>
      <c r="T116" s="37" t="n">
        <f aca="false">L_kT4*L_Rsq*O116</f>
        <v>5.50443000213912E-012</v>
      </c>
      <c r="U116" s="37" t="n">
        <f aca="false">L_kT4*L_Rh*O116</f>
        <v>4.18800615723405E-012</v>
      </c>
      <c r="V116" s="37" t="n">
        <f aca="false">L_kT4*p_Rv*P116</f>
        <v>5.37791089148145E-010</v>
      </c>
      <c r="W116" s="37" t="n">
        <f aca="false">L_kT4/p_Rb*Q116/R116</f>
        <v>2.45875935012804E-010</v>
      </c>
      <c r="X116" s="37" t="n">
        <f aca="false">p_en^2*(1+p_fc/B116)/R116</f>
        <v>5.86990158044448E-012</v>
      </c>
      <c r="Y116" s="37" t="n">
        <f aca="false">p_in^2*Q116/R116</f>
        <v>3.733171532579E-011</v>
      </c>
      <c r="Z116" s="37" t="n">
        <f aca="false">p_eo^2/L_G^2/R116</f>
        <v>3.14445447944949E-012</v>
      </c>
      <c r="AA116" s="37" t="n">
        <f aca="false">SUM(S116:Z116)</f>
        <v>8.40982207799281E-010</v>
      </c>
      <c r="AB116" s="47" t="n">
        <f aca="false">10*LOG10(AA116/L_PREF^2)</f>
        <v>3.22726816436262</v>
      </c>
      <c r="AC116" s="47" t="n">
        <f aca="false">10*LOG10(S116/L_PREF^2)</f>
        <v>-24.9597926536176</v>
      </c>
      <c r="AD116" s="47" t="n">
        <f aca="false">10*LOG10(T116/L_PREF^2)</f>
        <v>-18.6134763800063</v>
      </c>
      <c r="AE116" s="47" t="n">
        <f aca="false">10*LOG10(U116/L_PREF^2)</f>
        <v>-19.800526798181</v>
      </c>
      <c r="AF116" s="47" t="n">
        <f aca="false">10*LOG10(V116/L_PREF^2)</f>
        <v>1.28553610639181</v>
      </c>
      <c r="AG116" s="47" t="n">
        <f aca="false">10*LOG10(W116/L_PREF^2)</f>
        <v>-2.11343966869795</v>
      </c>
      <c r="AH116" s="47" t="n">
        <f aca="false">10*LOG10(X116/L_PREF^2)</f>
        <v>-18.3342917175466</v>
      </c>
      <c r="AI116" s="47" t="n">
        <f aca="false">10*LOG10(Y116/L_PREF^2)</f>
        <v>-10.2998204588571</v>
      </c>
      <c r="AJ116" s="47" t="n">
        <f aca="false">10*LOG10(Z116/L_PREF^2)</f>
        <v>-21.0451467926196</v>
      </c>
      <c r="AK116" s="47" t="n">
        <f aca="false">10*LOG10(R116/$R$6)</f>
        <v>-0.242562253806379</v>
      </c>
      <c r="AL116" s="37" t="n">
        <f aca="false">(12194^2*B116^4/((B116^2+20.6^2)*SQRT((B116^2+107.7^2)*(B116^2+737.9^2))*(B116^2+12194^2))*1.2589254)^2</f>
        <v>0.0201806304132559</v>
      </c>
      <c r="AM116" s="37" t="n">
        <f aca="false">0.5*(B116-B115)*(S116*AL116+S115*AL115)</f>
        <v>6.67575687206046E-014</v>
      </c>
      <c r="AN116" s="37" t="n">
        <f aca="false">0.5*(B116-B115)*(T116*AL116+T115*AL115)</f>
        <v>2.88265051433752E-013</v>
      </c>
      <c r="AO116" s="37" t="n">
        <f aca="false">0.5*(B116-B115)*(U116*AL116+U115*AL115)</f>
        <v>2.19324400501193E-013</v>
      </c>
      <c r="AP116" s="37" t="n">
        <f aca="false">0.5*(B116-B115)*(V116*AL116+V115*AL115)</f>
        <v>2.87647033738871E-011</v>
      </c>
      <c r="AQ116" s="37" t="n">
        <f aca="false">0.5*(B116-B115)*(W116*AL116+W115*AL115)</f>
        <v>1.31672476872468E-011</v>
      </c>
      <c r="AR116" s="37" t="n">
        <f aca="false">0.5*(B116-B115)*(X116*AL116+X115*AL115)</f>
        <v>3.08934691495259E-013</v>
      </c>
      <c r="AS116" s="37" t="n">
        <f aca="false">0.5*(B116-B115)*(Y116*AL116+Y115*AL115)</f>
        <v>1.9992031438899E-012</v>
      </c>
      <c r="AT116" s="37" t="n">
        <f aca="false">0.5*(B116-B115)*(Z116*AL116+Z115*AL115)</f>
        <v>1.64642317252974E-013</v>
      </c>
      <c r="AU116" s="37" t="n">
        <f aca="false">0.5*(B116-B115)*(AA116*AL116+AA115*AL115)</f>
        <v>4.49790782344276E-011</v>
      </c>
      <c r="AV116" s="37" t="n">
        <f aca="false">0.5*(B116-B115)*(S116+S115)</f>
        <v>3.42199804934117E-012</v>
      </c>
      <c r="AW116" s="37" t="n">
        <f aca="false">0.5*(B116-B115)*(T116+T115)</f>
        <v>1.47772893518412E-011</v>
      </c>
      <c r="AX116" s="37" t="n">
        <f aca="false">0.5*(B116-B115)*(U116+U115)</f>
        <v>1.12431948028569E-011</v>
      </c>
      <c r="AY116" s="37" t="n">
        <f aca="false">0.5*(B116-B115)*(V116+V115)</f>
        <v>1.47565854329524E-009</v>
      </c>
      <c r="AZ116" s="37" t="n">
        <f aca="false">0.5*(B116-B115)*(W116+W115)</f>
        <v>6.75522076340707E-010</v>
      </c>
      <c r="BA116" s="37" t="n">
        <f aca="false">0.5*(B116-B115)*(X116+X115)</f>
        <v>1.58396697792004E-011</v>
      </c>
      <c r="BB116" s="37" t="n">
        <f aca="false">0.5*(B116-B115)*(Y116+Y115)</f>
        <v>1.02565539197338E-010</v>
      </c>
      <c r="BC116" s="37" t="n">
        <f aca="false">0.5*(B116-B115)*(Z116+Z115)</f>
        <v>8.43997729918951E-012</v>
      </c>
      <c r="BD116" s="37" t="n">
        <f aca="false">0.5*(B116-B115)*(AA116+AA115)</f>
        <v>2.30746828811571E-009</v>
      </c>
      <c r="BE116" s="37" t="n">
        <f aca="false">IF(B116&gt;2000,AK116,-999)</f>
        <v>-999</v>
      </c>
      <c r="BF116" s="37" t="n">
        <f aca="false">IF(AND(B116&lt;1000,AK116&gt;=-3),B116,1000000000)</f>
        <v>117.768731071118</v>
      </c>
    </row>
    <row r="117" customFormat="false" ht="15" hidden="false" customHeight="false" outlineLevel="0" collapsed="false">
      <c r="A117" s="5" t="n">
        <v>78</v>
      </c>
      <c r="B117" s="47" t="n">
        <f aca="false">20*10^(A117/100)</f>
        <v>120.511917214872</v>
      </c>
      <c r="C117" s="37" t="n">
        <f aca="false">2*PI()*B117</f>
        <v>757.198707584524</v>
      </c>
      <c r="D117" s="37" t="n">
        <f aca="false">SQRT(L_Rp0^2+L_Rp1^2*C117)</f>
        <v>77556410.2454705</v>
      </c>
      <c r="E117" s="5" t="str">
        <f aca="false">COMPLEX(D117,C117*L_Mp)</f>
        <v>77556410.2454704+11185883.8605924i</v>
      </c>
      <c r="F117" s="5" t="str">
        <f aca="false">IMDIV(1,E117)</f>
        <v>1.26310887321383e-08-1.82176935656699e-09i</v>
      </c>
      <c r="G117" s="5" t="str">
        <f aca="false">COMPLEX(0,C117*L_Cf)</f>
        <v>8.0067538075978e-13i</v>
      </c>
      <c r="H117" s="5" t="str">
        <f aca="false">COMPLEX(0,C117*L_Cbv)</f>
        <v>8.0067538075978e-12i</v>
      </c>
      <c r="I117" s="5" t="str">
        <f aca="false">COMPLEX(L_Rsq+L_Rh,C117*(L_Md+L_Mh)-1/(C117*L_Cd))</f>
        <v>552400610.124532-1521365676057.5i</v>
      </c>
      <c r="J117" s="5" t="str">
        <f aca="false">IMDIV(1,I117)</f>
        <v>2.38663972319309e-16+6.57304081391725e-13i</v>
      </c>
      <c r="K117" s="5" t="str">
        <f aca="false">IMSUM(F117,G117,H117)</f>
        <v>1.26310887321383e-08-1.81296192737863e-09i</v>
      </c>
      <c r="L117" s="5" t="str">
        <f aca="false">IMSUM(IMPRODUCT(IMSUM(F117,G117),H117),IMPRODUCT(IMSUM(J117,L_Yv),K117))</f>
        <v>4.10369072459661e-20+1.05810127432757e-19i</v>
      </c>
      <c r="M117" s="37" t="n">
        <f aca="false">IMABS(IMDIV(IMPRODUCT(J117,F117,H117),L117))^2</f>
        <v>3.50234776984254E-025</v>
      </c>
      <c r="N117" s="5" t="str">
        <f aca="false">IMDIV(IMPRODUCT(L_Yv,K117,E117),H117)</f>
        <v>0.000170624102540135-0.249764512597143i</v>
      </c>
      <c r="O117" s="37" t="n">
        <f aca="false">IMABS(IMSUM(1,IMPRODUCT(E117,G117),N117))^2</f>
        <v>1.06267465791913</v>
      </c>
      <c r="P117" s="37" t="n">
        <f aca="false">IMABS(N117)^2</f>
        <v>0.0623823408654728</v>
      </c>
      <c r="Q117" s="37" t="n">
        <f aca="false">p_Rb^2/(1+(C117*p_Rb*L_Ctot)^2)</f>
        <v>2.87509779720049E+017</v>
      </c>
      <c r="R117" s="37" t="n">
        <f aca="false">M117*L_Kt^2*Q117</f>
        <v>2.02092089706336E-005</v>
      </c>
      <c r="S117" s="37" t="n">
        <f aca="false">L_kT4*D117</f>
        <v>1.27701437764956E-012</v>
      </c>
      <c r="T117" s="37" t="n">
        <f aca="false">L_kT4*L_Rsq*O117</f>
        <v>5.48923678911749E-012</v>
      </c>
      <c r="U117" s="37" t="n">
        <f aca="false">L_kT4*L_Rh*O117</f>
        <v>4.17644650988491E-012</v>
      </c>
      <c r="V117" s="37" t="n">
        <f aca="false">L_kT4*p_Rv*P117</f>
        <v>5.13581958889703E-010</v>
      </c>
      <c r="W117" s="37" t="n">
        <f aca="false">L_kT4/p_Rb*Q117/R117</f>
        <v>2.34250968385644E-010</v>
      </c>
      <c r="X117" s="37" t="n">
        <f aca="false">p_en^2*(1+p_fc/B117)/R117</f>
        <v>5.79472364347224E-012</v>
      </c>
      <c r="Y117" s="37" t="n">
        <f aca="false">p_in^2*Q117/R117</f>
        <v>3.55666790493673E-011</v>
      </c>
      <c r="Z117" s="37" t="n">
        <f aca="false">p_eo^2/L_G^2/R117</f>
        <v>3.13697224817488E-012</v>
      </c>
      <c r="AA117" s="37" t="n">
        <f aca="false">SUM(S117:Z117)</f>
        <v>8.03273999893013E-010</v>
      </c>
      <c r="AB117" s="47" t="n">
        <f aca="false">10*LOG10(AA117/L_PREF^2)</f>
        <v>3.02803718762874</v>
      </c>
      <c r="AC117" s="47" t="n">
        <f aca="false">10*LOG10(S117/L_PREF^2)</f>
        <v>-24.9586420440228</v>
      </c>
      <c r="AD117" s="47" t="n">
        <f aca="false">10*LOG10(T117/L_PREF^2)</f>
        <v>-18.6254802598831</v>
      </c>
      <c r="AE117" s="47" t="n">
        <f aca="false">10*LOG10(U117/L_PREF^2)</f>
        <v>-19.8125306780579</v>
      </c>
      <c r="AF117" s="47" t="n">
        <f aca="false">10*LOG10(V117/L_PREF^2)</f>
        <v>1.08549768101478</v>
      </c>
      <c r="AG117" s="47" t="n">
        <f aca="false">10*LOG10(W117/L_PREF^2)</f>
        <v>-2.32378596405618</v>
      </c>
      <c r="AH117" s="47" t="n">
        <f aca="false">10*LOG10(X117/L_PREF^2)</f>
        <v>-18.3902726249978</v>
      </c>
      <c r="AI117" s="47" t="n">
        <f aca="false">10*LOG10(Y117/L_PREF^2)</f>
        <v>-10.5101667542153</v>
      </c>
      <c r="AJ117" s="47" t="n">
        <f aca="false">10*LOG10(Z117/L_PREF^2)</f>
        <v>-21.0554931468244</v>
      </c>
      <c r="AK117" s="47" t="n">
        <f aca="false">10*LOG10(R117/$R$6)</f>
        <v>-0.232215899601598</v>
      </c>
      <c r="AL117" s="37" t="n">
        <f aca="false">(12194^2*B117^4/((B117^2+20.6^2)*SQRT((B117^2+107.7^2)*(B117^2+737.9^2))*(B117^2+12194^2))*1.2589254)^2</f>
        <v>0.0216062190731565</v>
      </c>
      <c r="AM117" s="37" t="n">
        <f aca="false">0.5*(B117-B116)*(S117*AL117+S116*AL116)</f>
        <v>7.31821449697323E-014</v>
      </c>
      <c r="AN117" s="37" t="n">
        <f aca="false">0.5*(B117-B116)*(T117*AL117+T116*AL116)</f>
        <v>3.15033696512461E-013</v>
      </c>
      <c r="AO117" s="37" t="n">
        <f aca="false">0.5*(B117-B116)*(U117*AL117+U116*AL116)</f>
        <v>2.39691132454707E-013</v>
      </c>
      <c r="AP117" s="37" t="n">
        <f aca="false">0.5*(B117-B116)*(V117*AL117+V116*AL116)</f>
        <v>3.01058198848545E-011</v>
      </c>
      <c r="AQ117" s="37" t="n">
        <f aca="false">0.5*(B117-B116)*(W117*AL117+W116*AL116)</f>
        <v>1.37477641774276E-011</v>
      </c>
      <c r="AR117" s="37" t="n">
        <f aca="false">0.5*(B117-B116)*(X117*AL117+X116*AL116)</f>
        <v>3.34202893030418E-013</v>
      </c>
      <c r="AS117" s="37" t="n">
        <f aca="false">0.5*(B117-B116)*(Y117*AL117+Y116*AL116)</f>
        <v>2.08734384115752E-012</v>
      </c>
      <c r="AT117" s="37" t="n">
        <f aca="false">0.5*(B117-B116)*(Z117*AL117+Z116*AL116)</f>
        <v>1.80001268230338E-013</v>
      </c>
      <c r="AU117" s="37" t="n">
        <f aca="false">0.5*(B117-B116)*(AA117*AL117+AA116*AL116)</f>
        <v>4.70830390386373E-011</v>
      </c>
      <c r="AV117" s="37" t="n">
        <f aca="false">0.5*(B117-B116)*(S117+S116)</f>
        <v>3.50262415763858E-012</v>
      </c>
      <c r="AW117" s="37" t="n">
        <f aca="false">0.5*(B117-B116)*(T117+T116)</f>
        <v>1.50788372054105E-011</v>
      </c>
      <c r="AX117" s="37" t="n">
        <f aca="false">0.5*(B117-B116)*(U117+U116)</f>
        <v>1.14726253282625E-011</v>
      </c>
      <c r="AY117" s="37" t="n">
        <f aca="false">0.5*(B117-B116)*(V117+V116)</f>
        <v>1.44205598864679E-009</v>
      </c>
      <c r="AZ117" s="37" t="n">
        <f aca="false">0.5*(B117-B116)*(W117+W116)</f>
        <v>6.58538734323011E-010</v>
      </c>
      <c r="BA117" s="37" t="n">
        <f aca="false">0.5*(B117-B116)*(X117+X116)</f>
        <v>1.59991191431645E-011</v>
      </c>
      <c r="BB117" s="37" t="n">
        <f aca="false">0.5*(B117-B116)*(Y117+Y116)</f>
        <v>9.99869326759144E-011</v>
      </c>
      <c r="BC117" s="37" t="n">
        <f aca="false">0.5*(B117-B116)*(Z117+Z116)</f>
        <v>8.61556138111185E-012</v>
      </c>
      <c r="BD117" s="37" t="n">
        <f aca="false">0.5*(B117-B116)*(AA117+AA116)</f>
        <v>2.2552504228613E-009</v>
      </c>
      <c r="BE117" s="37" t="n">
        <f aca="false">IF(B117&gt;2000,AK117,-999)</f>
        <v>-999</v>
      </c>
      <c r="BF117" s="37" t="n">
        <f aca="false">IF(AND(B117&lt;1000,AK117&gt;=-3),B117,1000000000)</f>
        <v>120.511917214872</v>
      </c>
    </row>
    <row r="118" customFormat="false" ht="15" hidden="false" customHeight="false" outlineLevel="0" collapsed="false">
      <c r="A118" s="5" t="n">
        <v>79</v>
      </c>
      <c r="B118" s="47" t="n">
        <f aca="false">20*10^(A118/100)</f>
        <v>123.319000372296</v>
      </c>
      <c r="C118" s="37" t="n">
        <f aca="false">2*PI()*B118</f>
        <v>774.836131235287</v>
      </c>
      <c r="D118" s="37" t="n">
        <f aca="false">SQRT(L_Rp0^2+L_Rp1^2*C118)</f>
        <v>77577428.0563706</v>
      </c>
      <c r="E118" s="5" t="str">
        <f aca="false">COMPLEX(D118,C118*L_Mp)</f>
        <v>77577428.0563706+11446436.5670106i</v>
      </c>
      <c r="F118" s="5" t="str">
        <f aca="false">IMDIV(1,E118)</f>
        <v>1.26156964854968e-08-1.8614276496118e-09i</v>
      </c>
      <c r="G118" s="5" t="str">
        <f aca="false">COMPLEX(0,C118*L_Cf)</f>
        <v>8.19325506223207e-13i</v>
      </c>
      <c r="H118" s="5" t="str">
        <f aca="false">COMPLEX(0,C118*L_Cbv)</f>
        <v>8.19325506223207e-12i</v>
      </c>
      <c r="I118" s="5" t="str">
        <f aca="false">COMPLEX(L_Rsq+L_Rh,C118*(L_Md+L_Mh)-1/(C118*L_Cd))</f>
        <v>552400610.124532-1486735033925.45i</v>
      </c>
      <c r="J118" s="5" t="str">
        <f aca="false">IMDIV(1,I118)</f>
        <v>2.49911901430053e-16+6.7261471555439e-13i</v>
      </c>
      <c r="K118" s="5" t="str">
        <f aca="false">IMSUM(F118,G118,H118)</f>
        <v>1.26156964854968e-08-1.85241506904335e-09i</v>
      </c>
      <c r="L118" s="5" t="str">
        <f aca="false">IMSUM(IMPRODUCT(IMSUM(F118,G118),H118),IMPRODUCT(IMSUM(J118,L_Yv),K118))</f>
        <v>4.17249459887526e-20+1.08143829117834e-19i</v>
      </c>
      <c r="M118" s="37" t="n">
        <f aca="false">IMABS(IMDIV(IMPRODUCT(J118,F118,H118),L118))^2</f>
        <v>3.67578156335308E-025</v>
      </c>
      <c r="N118" s="5" t="str">
        <f aca="false">IMDIV(IMPRODUCT(L_Yv,K118,E118),H118)</f>
        <v>0.000170670341723725-0.244078044799893i</v>
      </c>
      <c r="O118" s="37" t="n">
        <f aca="false">IMABS(IMSUM(1,IMPRODUCT(E118,G118),N118))^2</f>
        <v>1.05986567820704</v>
      </c>
      <c r="P118" s="37" t="n">
        <f aca="false">IMABS(N118)^2</f>
        <v>0.0595741210817041</v>
      </c>
      <c r="Q118" s="37" t="n">
        <f aca="false">p_Rb^2/(1+(C118*p_Rb*L_Ctot)^2)</f>
        <v>2.74569711594254E+017</v>
      </c>
      <c r="R118" s="37" t="n">
        <f aca="false">M118*L_Kt^2*Q118</f>
        <v>2.02553498055901E-005</v>
      </c>
      <c r="S118" s="37" t="n">
        <f aca="false">L_kT4*D118</f>
        <v>1.27736044893652E-012</v>
      </c>
      <c r="T118" s="37" t="n">
        <f aca="false">L_kT4*L_Rsq*O118</f>
        <v>5.47472702861779E-012</v>
      </c>
      <c r="U118" s="37" t="n">
        <f aca="false">L_kT4*L_Rh*O118</f>
        <v>4.16540686249379E-012</v>
      </c>
      <c r="V118" s="37" t="n">
        <f aca="false">L_kT4*p_Rv*P118</f>
        <v>4.90462419008201E-010</v>
      </c>
      <c r="W118" s="37" t="n">
        <f aca="false">L_kT4/p_Rb*Q118/R118</f>
        <v>2.23198343690617E-010</v>
      </c>
      <c r="X118" s="37" t="n">
        <f aca="false">p_en^2*(1+p_fc/B118)/R118</f>
        <v>5.72184258617445E-012</v>
      </c>
      <c r="Y118" s="37" t="n">
        <f aca="false">p_in^2*Q118/R118</f>
        <v>3.38885423146924E-011</v>
      </c>
      <c r="Z118" s="37" t="n">
        <f aca="false">p_eo^2/L_G^2/R118</f>
        <v>3.1298263573285E-012</v>
      </c>
      <c r="AA118" s="37" t="n">
        <f aca="false">SUM(S118:Z118)</f>
        <v>7.67318468297062E-010</v>
      </c>
      <c r="AB118" s="47" t="n">
        <f aca="false">10*LOG10(AA118/L_PREF^2)</f>
        <v>2.82915659867661</v>
      </c>
      <c r="AC118" s="47" t="n">
        <f aca="false">10*LOG10(S118/L_PREF^2)</f>
        <v>-24.9574652640951</v>
      </c>
      <c r="AD118" s="47" t="n">
        <f aca="false">10*LOG10(T118/L_PREF^2)</f>
        <v>-18.6369752131725</v>
      </c>
      <c r="AE118" s="47" t="n">
        <f aca="false">10*LOG10(U118/L_PREF^2)</f>
        <v>-19.8240256313473</v>
      </c>
      <c r="AF118" s="47" t="n">
        <f aca="false">10*LOG10(V118/L_PREF^2)</f>
        <v>0.885457444600907</v>
      </c>
      <c r="AG118" s="47" t="n">
        <f aca="false">10*LOG10(W118/L_PREF^2)</f>
        <v>-2.53369023861231</v>
      </c>
      <c r="AH118" s="47" t="n">
        <f aca="false">10*LOG10(X118/L_PREF^2)</f>
        <v>-18.4452408558612</v>
      </c>
      <c r="AI118" s="47" t="n">
        <f aca="false">10*LOG10(Y118/L_PREF^2)</f>
        <v>-10.7200710287715</v>
      </c>
      <c r="AJ118" s="47" t="n">
        <f aca="false">10*LOG10(Z118/L_PREF^2)</f>
        <v>-21.0653974775786</v>
      </c>
      <c r="AK118" s="47" t="n">
        <f aca="false">10*LOG10(R118/$R$6)</f>
        <v>-0.222311568847457</v>
      </c>
      <c r="AL118" s="37" t="n">
        <f aca="false">(12194^2*B118^4/((B118^2+20.6^2)*SQRT((B118^2+107.7^2)*(B118^2+737.9^2))*(B118^2+12194^2))*1.2589254)^2</f>
        <v>0.0231164509515711</v>
      </c>
      <c r="AM118" s="37" t="n">
        <f aca="false">0.5*(B118-B117)*(S118*AL118+S117*AL117)</f>
        <v>8.01695827746845E-014</v>
      </c>
      <c r="AN118" s="37" t="n">
        <f aca="false">0.5*(B118-B117)*(T118*AL118+T117*AL117)</f>
        <v>3.44089322056885E-013</v>
      </c>
      <c r="AO118" s="37" t="n">
        <f aca="false">0.5*(B118-B117)*(U118*AL118+U117*AL117)</f>
        <v>2.61797897121538E-013</v>
      </c>
      <c r="AP118" s="37" t="n">
        <f aca="false">0.5*(B118-B117)*(V118*AL118+V117*AL117)</f>
        <v>3.14874935673492E-011</v>
      </c>
      <c r="AQ118" s="37" t="n">
        <f aca="false">0.5*(B118-B117)*(W118*AL118+W117*AL117)</f>
        <v>1.43453617061843E-011</v>
      </c>
      <c r="AR118" s="37" t="n">
        <f aca="false">0.5*(B118-B117)*(X118*AL118+X117*AL117)</f>
        <v>3.61370919777036E-013</v>
      </c>
      <c r="AS118" s="37" t="n">
        <f aca="false">0.5*(B118-B117)*(Y118*AL118+Y117*AL117)</f>
        <v>2.17807797836284E-012</v>
      </c>
      <c r="AT118" s="37" t="n">
        <f aca="false">0.5*(B118-B117)*(Z118*AL118+Z117*AL117)</f>
        <v>1.96676298356302E-013</v>
      </c>
      <c r="AU118" s="37" t="n">
        <f aca="false">0.5*(B118-B117)*(AA118*AL118+AA117*AL117)</f>
        <v>4.92550372719827E-011</v>
      </c>
      <c r="AV118" s="37" t="n">
        <f aca="false">0.5*(B118-B117)*(S118+S117)</f>
        <v>3.58517127672995E-012</v>
      </c>
      <c r="AW118" s="37" t="n">
        <f aca="false">0.5*(B118-B117)*(T118+T117)</f>
        <v>1.53883790856903E-011</v>
      </c>
      <c r="AX118" s="37" t="n">
        <f aca="false">0.5*(B118-B117)*(U118+U117)</f>
        <v>1.17081380516561E-011</v>
      </c>
      <c r="AY118" s="37" t="n">
        <f aca="false">0.5*(B118-B117)*(V118+V117)</f>
        <v>1.40921803125218E-009</v>
      </c>
      <c r="AZ118" s="37" t="n">
        <f aca="false">0.5*(B118-B117)*(W118+W117)</f>
        <v>6.42049129652436E-010</v>
      </c>
      <c r="BA118" s="37" t="n">
        <f aca="false">0.5*(B118-B117)*(X118+X117)</f>
        <v>1.61639795473047E-011</v>
      </c>
      <c r="BB118" s="37" t="n">
        <f aca="false">0.5*(B118-B117)*(Y118+Y117)</f>
        <v>9.74832910431345E-011</v>
      </c>
      <c r="BC118" s="37" t="n">
        <f aca="false">0.5*(B118-B117)*(Z118+Z117)</f>
        <v>8.79571240824114E-012</v>
      </c>
      <c r="BD118" s="37" t="n">
        <f aca="false">0.5*(B118-B117)*(AA118+AA117)</f>
        <v>2.20439183231737E-009</v>
      </c>
      <c r="BE118" s="37" t="n">
        <f aca="false">IF(B118&gt;2000,AK118,-999)</f>
        <v>-999</v>
      </c>
      <c r="BF118" s="37" t="n">
        <f aca="false">IF(AND(B118&lt;1000,AK118&gt;=-3),B118,1000000000)</f>
        <v>123.319000372296</v>
      </c>
    </row>
    <row r="119" customFormat="false" ht="15" hidden="false" customHeight="false" outlineLevel="0" collapsed="false">
      <c r="A119" s="5" t="n">
        <v>80</v>
      </c>
      <c r="B119" s="47" t="n">
        <f aca="false">20*10^(A119/100)</f>
        <v>126.191468896039</v>
      </c>
      <c r="C119" s="37" t="n">
        <f aca="false">2*PI()*B119</f>
        <v>792.884383259</v>
      </c>
      <c r="D119" s="37" t="n">
        <f aca="false">SQRT(L_Rp0^2+L_Rp1^2*C119)</f>
        <v>77598929.5418211</v>
      </c>
      <c r="E119" s="5" t="str">
        <f aca="false">COMPLEX(D119,C119*L_Mp)</f>
        <v>77598929.5418211+11713058.3256081i</v>
      </c>
      <c r="F119" s="5" t="str">
        <f aca="false">IMDIV(1,E119)</f>
        <v>1.2599704579044e-08-1.90184420701625e-09i</v>
      </c>
      <c r="G119" s="5" t="str">
        <f aca="false">COMPLEX(0,C119*L_Cf)</f>
        <v>8.38410048915089e-13i</v>
      </c>
      <c r="H119" s="5" t="str">
        <f aca="false">COMPLEX(0,C119*L_Cbv)</f>
        <v>8.38410048915089e-12i</v>
      </c>
      <c r="I119" s="5" t="str">
        <f aca="false">COMPLEX(L_Rsq+L_Rh,C119*(L_Md+L_Mh)-1/(C119*L_Cd))</f>
        <v>552400610.124532-1452892678387.66i</v>
      </c>
      <c r="J119" s="5" t="str">
        <f aca="false">IMDIV(1,I119)</f>
        <v>2.61689933220592e-16+6.88281984153204e-13i</v>
      </c>
      <c r="K119" s="5" t="str">
        <f aca="false">IMSUM(F119,G119,H119)</f>
        <v>1.2599704579044e-08-1.89262169647818e-09i</v>
      </c>
      <c r="L119" s="5" t="str">
        <f aca="false">IMSUM(IMPRODUCT(IMSUM(F119,G119),H119),IMPRODUCT(IMSUM(J119,L_Yv),K119))</f>
        <v>4.24435874226738e-20+1.10523600318727e-19i</v>
      </c>
      <c r="M119" s="37" t="n">
        <f aca="false">IMABS(IMDIV(IMPRODUCT(J119,F119,H119),L119))^2</f>
        <v>3.8574270335921E-025</v>
      </c>
      <c r="N119" s="5" t="str">
        <f aca="false">IMDIV(IMPRODUCT(L_Yv,K119,E119),H119)</f>
        <v>0.000170717644991887-0.238520990412752i</v>
      </c>
      <c r="O119" s="37" t="n">
        <f aca="false">IMABS(IMSUM(1,IMPRODUCT(E119,G119),N119))^2</f>
        <v>1.05718305136776</v>
      </c>
      <c r="P119" s="37" t="n">
        <f aca="false">IMABS(N119)^2</f>
        <v>0.0568922920119945</v>
      </c>
      <c r="Q119" s="37" t="n">
        <f aca="false">p_Rb^2/(1+(C119*p_Rb*L_Ctot)^2)</f>
        <v>2.62212042158887E+017</v>
      </c>
      <c r="R119" s="37" t="n">
        <f aca="false">M119*L_Kt^2*Q119</f>
        <v>2.02996139037312E-005</v>
      </c>
      <c r="S119" s="37" t="n">
        <f aca="false">L_kT4*D119</f>
        <v>1.27771448422483E-012</v>
      </c>
      <c r="T119" s="37" t="n">
        <f aca="false">L_kT4*L_Rsq*O119</f>
        <v>5.46086994279395E-012</v>
      </c>
      <c r="U119" s="37" t="n">
        <f aca="false">L_kT4*L_Rh*O119</f>
        <v>4.15486379795686E-012</v>
      </c>
      <c r="V119" s="37" t="n">
        <f aca="false">L_kT4*p_Rv*P119</f>
        <v>4.68383429859668E-010</v>
      </c>
      <c r="W119" s="37" t="n">
        <f aca="false">L_kT4/p_Rb*Q119/R119</f>
        <v>2.1268797816894E-010</v>
      </c>
      <c r="X119" s="37" t="n">
        <f aca="false">p_en^2*(1+p_fc/B119)/R119</f>
        <v>5.65117064308646E-012</v>
      </c>
      <c r="Y119" s="37" t="n">
        <f aca="false">p_in^2*Q119/R119</f>
        <v>3.22927376109713E-011</v>
      </c>
      <c r="Z119" s="37" t="n">
        <f aca="false">p_eo^2/L_G^2/R119</f>
        <v>3.12300164914919E-012</v>
      </c>
      <c r="AA119" s="37" t="n">
        <f aca="false">SUM(S119:Z119)</f>
        <v>7.33031766156791E-010</v>
      </c>
      <c r="AB119" s="47" t="n">
        <f aca="false">10*LOG10(AA119/L_PREF^2)</f>
        <v>2.63062804005767</v>
      </c>
      <c r="AC119" s="47" t="n">
        <f aca="false">10*LOG10(S119/L_PREF^2)</f>
        <v>-24.9562617332624</v>
      </c>
      <c r="AD119" s="47" t="n">
        <f aca="false">10*LOG10(T119/L_PREF^2)</f>
        <v>-18.647981579163</v>
      </c>
      <c r="AE119" s="47" t="n">
        <f aca="false">10*LOG10(U119/L_PREF^2)</f>
        <v>-19.8350319973377</v>
      </c>
      <c r="AF119" s="47" t="n">
        <f aca="false">10*LOG10(V119/L_PREF^2)</f>
        <v>0.685415311786779</v>
      </c>
      <c r="AG119" s="47" t="n">
        <f aca="false">10*LOG10(W119/L_PREF^2)</f>
        <v>-2.7431704849831</v>
      </c>
      <c r="AH119" s="47" t="n">
        <f aca="false">10*LOG10(X119/L_PREF^2)</f>
        <v>-18.4992156984994</v>
      </c>
      <c r="AI119" s="47" t="n">
        <f aca="false">10*LOG10(Y119/L_PREF^2)</f>
        <v>-10.9295512751423</v>
      </c>
      <c r="AJ119" s="47" t="n">
        <f aca="false">10*LOG10(Z119/L_PREF^2)</f>
        <v>-21.074877777618</v>
      </c>
      <c r="AK119" s="47" t="n">
        <f aca="false">10*LOG10(R119/$R$6)</f>
        <v>-0.212831268807971</v>
      </c>
      <c r="AL119" s="37" t="n">
        <f aca="false">(12194^2*B119^4/((B119^2+20.6^2)*SQRT((B119^2+107.7^2)*(B119^2+737.9^2))*(B119^2+12194^2))*1.2589254)^2</f>
        <v>0.0247152085495606</v>
      </c>
      <c r="AM119" s="37" t="n">
        <f aca="false">0.5*(B119-B118)*(S119*AL119+S118*AL118)</f>
        <v>8.77639959224399E-014</v>
      </c>
      <c r="AN119" s="37" t="n">
        <f aca="false">0.5*(B119-B118)*(T119*AL119+T118*AL118)</f>
        <v>3.75608003219749E-013</v>
      </c>
      <c r="AO119" s="37" t="n">
        <f aca="false">0.5*(B119-B118)*(U119*AL119+U118*AL118)</f>
        <v>2.85778660020998E-013</v>
      </c>
      <c r="AP119" s="37" t="n">
        <f aca="false">0.5*(B119-B118)*(V119*AL119+V118*AL118)</f>
        <v>3.29097923130607E-011</v>
      </c>
      <c r="AQ119" s="37" t="n">
        <f aca="false">0.5*(B119-B118)*(W119*AL119+W118*AL118)</f>
        <v>1.49600764621073E-011</v>
      </c>
      <c r="AR119" s="37" t="n">
        <f aca="false">0.5*(B119-B118)*(X119*AL119+X118*AL118)</f>
        <v>3.90567469080733E-013</v>
      </c>
      <c r="AS119" s="37" t="n">
        <f aca="false">0.5*(B119-B118)*(Y119*AL119+Y118*AL118)</f>
        <v>2.27141105007433E-012</v>
      </c>
      <c r="AT119" s="37" t="n">
        <f aca="false">0.5*(B119-B118)*(Z119*AL119+Z118*AL118)</f>
        <v>2.14768891082915E-013</v>
      </c>
      <c r="AU119" s="37" t="n">
        <f aca="false">0.5*(B119-B118)*(AA119*AL119+AA118*AL118)</f>
        <v>5.14957668445691E-011</v>
      </c>
      <c r="AV119" s="37" t="n">
        <f aca="false">0.5*(B119-B118)*(S119+S118)</f>
        <v>3.66968616065438E-012</v>
      </c>
      <c r="AW119" s="37" t="n">
        <f aca="false">0.5*(B119-B118)*(T119+T118)</f>
        <v>1.57060790443555E-011</v>
      </c>
      <c r="AX119" s="37" t="n">
        <f aca="false">0.5*(B119-B118)*(U119+U118)</f>
        <v>1.19498577905802E-011</v>
      </c>
      <c r="AY119" s="37" t="n">
        <f aca="false">0.5*(B119-B118)*(V119+V118)</f>
        <v>1.37712725999693E-009</v>
      </c>
      <c r="AZ119" s="37" t="n">
        <f aca="false">0.5*(B119-B118)*(W119+W118)</f>
        <v>6.26034869735676E-010</v>
      </c>
      <c r="BA119" s="37" t="n">
        <f aca="false">0.5*(B119-B118)*(X119+X118)</f>
        <v>1.6334311260578E-011</v>
      </c>
      <c r="BB119" s="37" t="n">
        <f aca="false">0.5*(B119-B118)*(Y119+Y118)</f>
        <v>9.50518217237212E-011</v>
      </c>
      <c r="BC119" s="37" t="n">
        <f aca="false">0.5*(B119-B118)*(Z119+Z118)</f>
        <v>8.98052581649052E-012</v>
      </c>
      <c r="BD119" s="37" t="n">
        <f aca="false">0.5*(B119-B118)*(AA119+AA118)</f>
        <v>2.15485441152898E-009</v>
      </c>
      <c r="BE119" s="37" t="n">
        <f aca="false">IF(B119&gt;2000,AK119,-999)</f>
        <v>-999</v>
      </c>
      <c r="BF119" s="37" t="n">
        <f aca="false">IF(AND(B119&lt;1000,AK119&gt;=-3),B119,1000000000)</f>
        <v>126.191468896039</v>
      </c>
    </row>
    <row r="120" customFormat="false" ht="15" hidden="false" customHeight="false" outlineLevel="0" collapsed="false">
      <c r="A120" s="5" t="n">
        <v>81</v>
      </c>
      <c r="B120" s="47" t="n">
        <f aca="false">20*10^(A120/100)</f>
        <v>129.130845806931</v>
      </c>
      <c r="C120" s="37" t="n">
        <f aca="false">2*PI()*B120</f>
        <v>811.353033077782</v>
      </c>
      <c r="D120" s="37" t="n">
        <f aca="false">SQRT(L_Rp0^2+L_Rp1^2*C120)</f>
        <v>77620925.6954424</v>
      </c>
      <c r="E120" s="5" t="str">
        <f aca="false">COMPLEX(D120,C120*L_Mp)</f>
        <v>77620925.6954424+11985890.5027705i</v>
      </c>
      <c r="F120" s="5" t="str">
        <f aca="false">IMDIV(1,E120)</f>
        <v>1.25830899951304e-08-1.94302680001401e-09i</v>
      </c>
      <c r="G120" s="5" t="str">
        <f aca="false">COMPLEX(0,C120*L_Cf)</f>
        <v>8.57939127712575e-13i</v>
      </c>
      <c r="H120" s="5" t="str">
        <f aca="false">COMPLEX(0,C120*L_Cbv)</f>
        <v>8.57939127712575e-12i</v>
      </c>
      <c r="I120" s="5" t="str">
        <f aca="false">COMPLEX(L_Rsq+L_Rh,C120*(L_Md+L_Mh)-1/(C120*L_Cd))</f>
        <v>552400610.124532-1419820665779.26i</v>
      </c>
      <c r="J120" s="5" t="str">
        <f aca="false">IMDIV(1,I120)</f>
        <v>2.74023051057286e-16+7.04314194554039e-13i</v>
      </c>
      <c r="K120" s="5" t="str">
        <f aca="false">IMSUM(F120,G120,H120)</f>
        <v>1.25830899951304e-08-1.93358946960917e-09i</v>
      </c>
      <c r="L120" s="5" t="str">
        <f aca="false">IMSUM(IMPRODUCT(IMSUM(F120,G120),H120),IMPRODUCT(IMSUM(J120,L_Yv),K120))</f>
        <v>4.31941091406522e-20+1.12949992651127e-19i</v>
      </c>
      <c r="M120" s="37" t="n">
        <f aca="false">IMABS(IMDIV(IMPRODUCT(J120,F120,H120),L120))^2</f>
        <v>4.04766979375868E-025</v>
      </c>
      <c r="N120" s="5" t="str">
        <f aca="false">IMDIV(IMPRODUCT(L_Yv,K120,E120),H120)</f>
        <v>0.000170766036529833-0.233090403011928i</v>
      </c>
      <c r="O120" s="37" t="n">
        <f aca="false">IMABS(IMSUM(1,IMPRODUCT(E120,G120),N120))^2</f>
        <v>1.05462108705171</v>
      </c>
      <c r="P120" s="37" t="n">
        <f aca="false">IMABS(N120)^2</f>
        <v>0.0543311651373023</v>
      </c>
      <c r="Q120" s="37" t="n">
        <f aca="false">p_Rb^2/(1+(C120*p_Rb*L_Ctot)^2)</f>
        <v>2.50410559182494E+017</v>
      </c>
      <c r="R120" s="37" t="n">
        <f aca="false">M120*L_Kt^2*Q120</f>
        <v>2.03420697415163E-005</v>
      </c>
      <c r="S120" s="37" t="n">
        <f aca="false">L_kT4*D120</f>
        <v>1.27807666453125E-012</v>
      </c>
      <c r="T120" s="37" t="n">
        <f aca="false">L_kT4*L_Rsq*O120</f>
        <v>5.44763613819413E-012</v>
      </c>
      <c r="U120" s="37" t="n">
        <f aca="false">L_kT4*L_Rh*O120</f>
        <v>4.14479495247674E-012</v>
      </c>
      <c r="V120" s="37" t="n">
        <f aca="false">L_kT4*p_Rv*P120</f>
        <v>4.47298158947728E-010</v>
      </c>
      <c r="W120" s="37" t="n">
        <f aca="false">L_kT4/p_Rb*Q120/R120</f>
        <v>2.02691523397975E-010</v>
      </c>
      <c r="X120" s="37" t="n">
        <f aca="false">p_en^2*(1+p_fc/B120)/R120</f>
        <v>5.58262424857534E-012</v>
      </c>
      <c r="Y120" s="37" t="n">
        <f aca="false">p_in^2*Q120/R120</f>
        <v>3.07749607542921E-011</v>
      </c>
      <c r="Z120" s="37" t="n">
        <f aca="false">p_eo^2/L_G^2/R120</f>
        <v>3.11648364714136E-012</v>
      </c>
      <c r="AA120" s="37" t="n">
        <f aca="false">SUM(S120:Z120)</f>
        <v>7.00334258750915E-010</v>
      </c>
      <c r="AB120" s="47" t="n">
        <f aca="false">10*LOG10(AA120/L_PREF^2)</f>
        <v>2.43245380232888</v>
      </c>
      <c r="AC120" s="47" t="n">
        <f aca="false">10*LOG10(S120/L_PREF^2)</f>
        <v>-24.955030858747</v>
      </c>
      <c r="AD120" s="47" t="n">
        <f aca="false">10*LOG10(T120/L_PREF^2)</f>
        <v>-18.6585189911408</v>
      </c>
      <c r="AE120" s="47" t="n">
        <f aca="false">10*LOG10(U120/L_PREF^2)</f>
        <v>-19.8455694093155</v>
      </c>
      <c r="AF120" s="47" t="n">
        <f aca="false">10*LOG10(V120/L_PREF^2)</f>
        <v>0.485371193184527</v>
      </c>
      <c r="AG120" s="47" t="n">
        <f aca="false">10*LOG10(W120/L_PREF^2)</f>
        <v>-2.95224404541519</v>
      </c>
      <c r="AH120" s="47" t="n">
        <f aca="false">10*LOG10(X120/L_PREF^2)</f>
        <v>-18.5522159368746</v>
      </c>
      <c r="AI120" s="47" t="n">
        <f aca="false">10*LOG10(Y120/L_PREF^2)</f>
        <v>-11.1386248355744</v>
      </c>
      <c r="AJ120" s="47" t="n">
        <f aca="false">10*LOG10(Z120/L_PREF^2)</f>
        <v>-21.0839513893033</v>
      </c>
      <c r="AK120" s="47" t="n">
        <f aca="false">10*LOG10(R120/$R$6)</f>
        <v>-0.20375765712268</v>
      </c>
      <c r="AL120" s="37" t="n">
        <f aca="false">(12194^2*B120^4/((B120^2+20.6^2)*SQRT((B120^2+107.7^2)*(B120^2+737.9^2))*(B120^2+12194^2))*1.2589254)^2</f>
        <v>0.0264064875592075</v>
      </c>
      <c r="AM120" s="37" t="n">
        <f aca="false">0.5*(B120-B119)*(S120*AL120+S119*AL119)</f>
        <v>9.60125356275459E-014</v>
      </c>
      <c r="AN120" s="37" t="n">
        <f aca="false">0.5*(B120-B119)*(T120*AL120+T119*AL119)</f>
        <v>4.09777764161433E-013</v>
      </c>
      <c r="AO120" s="37" t="n">
        <f aca="false">0.5*(B120-B119)*(U120*AL120+U119*AL119)</f>
        <v>3.11776477989321E-013</v>
      </c>
      <c r="AP120" s="37" t="n">
        <f aca="false">0.5*(B120-B119)*(V120*AL120+V119*AL119)</f>
        <v>3.43727317753206E-011</v>
      </c>
      <c r="AQ120" s="37" t="n">
        <f aca="false">0.5*(B120-B119)*(W120*AL120+W119*AL119)</f>
        <v>1.55919232474341E-011</v>
      </c>
      <c r="AR120" s="37" t="n">
        <f aca="false">0.5*(B120-B119)*(X120*AL120+X119*AL119)</f>
        <v>4.21928976875254E-013</v>
      </c>
      <c r="AS120" s="37" t="n">
        <f aca="false">0.5*(B120-B119)*(Y120*AL120+Y119*AL119)</f>
        <v>2.36734530373811E-012</v>
      </c>
      <c r="AT120" s="37" t="n">
        <f aca="false">0.5*(B120-B119)*(Z120*AL120+Z119*AL119)</f>
        <v>2.34387419418233E-013</v>
      </c>
      <c r="AU120" s="37" t="n">
        <f aca="false">0.5*(B120-B119)*(AA120*AL120+AA119*AL119)</f>
        <v>5.38058835005646E-011</v>
      </c>
      <c r="AV120" s="37" t="n">
        <f aca="false">0.5*(B120-B119)*(S120+S119)</f>
        <v>3.75621674585845E-012</v>
      </c>
      <c r="AW120" s="37" t="n">
        <f aca="false">0.5*(B120-B119)*(T120+T119)</f>
        <v>1.60321054533931E-011</v>
      </c>
      <c r="AX120" s="37" t="n">
        <f aca="false">0.5*(B120-B119)*(U120+U119)</f>
        <v>1.21979126496555E-011</v>
      </c>
      <c r="AY120" s="37" t="n">
        <f aca="false">0.5*(B120-B119)*(V120+V119)</f>
        <v>1.34576665993489E-009</v>
      </c>
      <c r="AZ120" s="37" t="n">
        <f aca="false">0.5*(B120-B119)*(W120+W119)</f>
        <v>6.10478458081903E-010</v>
      </c>
      <c r="BA120" s="37" t="n">
        <f aca="false">0.5*(B120-B119)*(X120+X119)</f>
        <v>1.65101786631261E-011</v>
      </c>
      <c r="BB120" s="37" t="n">
        <f aca="false">0.5*(B120-B119)*(Y120+Y119)</f>
        <v>9.26898681989924E-011</v>
      </c>
      <c r="BC120" s="37" t="n">
        <f aca="false">0.5*(B120-B119)*(Z120+Z119)</f>
        <v>9.17009950788469E-012</v>
      </c>
      <c r="BD120" s="37" t="n">
        <f aca="false">0.5*(B120-B119)*(AA120+AA119)</f>
        <v>2.1066014992357E-009</v>
      </c>
      <c r="BE120" s="37" t="n">
        <f aca="false">IF(B120&gt;2000,AK120,-999)</f>
        <v>-999</v>
      </c>
      <c r="BF120" s="37" t="n">
        <f aca="false">IF(AND(B120&lt;1000,AK120&gt;=-3),B120,1000000000)</f>
        <v>129.130845806931</v>
      </c>
    </row>
    <row r="121" customFormat="false" ht="15" hidden="false" customHeight="false" outlineLevel="0" collapsed="false">
      <c r="A121" s="5" t="n">
        <v>82</v>
      </c>
      <c r="B121" s="47" t="n">
        <f aca="false">20*10^(A121/100)</f>
        <v>132.138689601519</v>
      </c>
      <c r="C121" s="37" t="n">
        <f aca="false">2*PI()*B121</f>
        <v>830.251873014229</v>
      </c>
      <c r="D121" s="37" t="n">
        <f aca="false">SQRT(L_Rp0^2+L_Rp1^2*C121)</f>
        <v>77643427.7544413</v>
      </c>
      <c r="E121" s="5" t="str">
        <f aca="false">COMPLEX(D121,C121*L_Mp)</f>
        <v>77643427.7544413+12265077.7577295i</v>
      </c>
      <c r="F121" s="5" t="str">
        <f aca="false">IMDIV(1,E121)</f>
        <v>1.25658289408459e-08-1.98498280546336e-09i</v>
      </c>
      <c r="G121" s="5" t="str">
        <f aca="false">COMPLEX(0,C121*L_Cf)</f>
        <v>8.77923097191741e-13i</v>
      </c>
      <c r="H121" s="5" t="str">
        <f aca="false">COMPLEX(0,C121*L_Cbv)</f>
        <v>8.77923097191741e-12i</v>
      </c>
      <c r="I121" s="5" t="str">
        <f aca="false">COMPLEX(L_Rsq+L_Rh,C121*(L_Md+L_Mh)-1/(C121*L_Cd))</f>
        <v>552400610.124532-1387501460881.41i</v>
      </c>
      <c r="J121" s="5" t="str">
        <f aca="false">IMDIV(1,I121)</f>
        <v>2.86937415774552e-16+7.20719847646392e-13i</v>
      </c>
      <c r="K121" s="5" t="str">
        <f aca="false">IMSUM(F121,G121,H121)</f>
        <v>1.25658289408459e-08-1.97532565139425e-09i</v>
      </c>
      <c r="L121" s="5" t="str">
        <f aca="false">IMSUM(IMPRODUCT(IMSUM(F121,G121),H121),IMPRODUCT(IMSUM(J121,L_Yv),K121))</f>
        <v>4.39778349255016e-20+1.15423538847461e-19i</v>
      </c>
      <c r="M121" s="37" t="n">
        <f aca="false">IMABS(IMDIV(IMPRODUCT(J121,F121,H121),L121))^2</f>
        <v>4.24691368242735E-025</v>
      </c>
      <c r="N121" s="5" t="str">
        <f aca="false">IMDIV(IMPRODUCT(L_Yv,K121,E121),H121)</f>
        <v>0.000170815541059803-0.227783403228096i</v>
      </c>
      <c r="O121" s="37" t="n">
        <f aca="false">IMABS(IMSUM(1,IMPRODUCT(E121,G121),N121))^2</f>
        <v>1.05217435084745</v>
      </c>
      <c r="P121" s="37" t="n">
        <f aca="false">IMABS(N121)^2</f>
        <v>0.0518853079641225</v>
      </c>
      <c r="Q121" s="37" t="n">
        <f aca="false">p_Rb^2/(1+(C121*p_Rb*L_Ctot)^2)</f>
        <v>2.39140230175954E+017</v>
      </c>
      <c r="R121" s="37" t="n">
        <f aca="false">M121*L_Kt^2*Q121</f>
        <v>2.03827839973314E-005</v>
      </c>
      <c r="S121" s="37" t="n">
        <f aca="false">L_kT4*D121</f>
        <v>1.27844717488335E-012</v>
      </c>
      <c r="T121" s="37" t="n">
        <f aca="false">L_kT4*L_Rsq*O121</f>
        <v>5.43499754341291E-012</v>
      </c>
      <c r="U121" s="37" t="n">
        <f aca="false">L_kT4*L_Rh*O121</f>
        <v>4.1351789681256E-012</v>
      </c>
      <c r="V121" s="37" t="n">
        <f aca="false">L_kT4*p_Rv*P121</f>
        <v>4.27161881585598E-010</v>
      </c>
      <c r="W121" s="37" t="n">
        <f aca="false">L_kT4/p_Rb*Q121/R121</f>
        <v>1.9318225376316E-010</v>
      </c>
      <c r="X121" s="37" t="n">
        <f aca="false">p_en^2*(1+p_fc/B121)/R121</f>
        <v>5.51612380157093E-012</v>
      </c>
      <c r="Y121" s="37" t="n">
        <f aca="false">p_in^2*Q121/R121</f>
        <v>2.93311539541487E-011</v>
      </c>
      <c r="Z121" s="37" t="n">
        <f aca="false">p_eo^2/L_G^2/R121</f>
        <v>3.1102585253685E-012</v>
      </c>
      <c r="AA121" s="37" t="n">
        <f aca="false">SUM(S121:Z121)</f>
        <v>6.69150295316268E-010</v>
      </c>
      <c r="AB121" s="47" t="n">
        <f aca="false">10*LOG10(AA121/L_PREF^2)</f>
        <v>2.23463682636671</v>
      </c>
      <c r="AC121" s="47" t="n">
        <f aca="false">10*LOG10(S121/L_PREF^2)</f>
        <v>-24.9537720353395</v>
      </c>
      <c r="AD121" s="47" t="n">
        <f aca="false">10*LOG10(T121/L_PREF^2)</f>
        <v>-18.6686063920417</v>
      </c>
      <c r="AE121" s="47" t="n">
        <f aca="false">10*LOG10(U121/L_PREF^2)</f>
        <v>-19.8556568102164</v>
      </c>
      <c r="AF121" s="47" t="n">
        <f aca="false">10*LOG10(V121/L_PREF^2)</f>
        <v>0.285324995192009</v>
      </c>
      <c r="AG121" s="47" t="n">
        <f aca="false">10*LOG10(W121/L_PREF^2)</f>
        <v>-3.16092762865053</v>
      </c>
      <c r="AH121" s="47" t="n">
        <f aca="false">10*LOG10(X121/L_PREF^2)</f>
        <v>-18.6042598659142</v>
      </c>
      <c r="AI121" s="47" t="n">
        <f aca="false">10*LOG10(Y121/L_PREF^2)</f>
        <v>-11.3473084188097</v>
      </c>
      <c r="AJ121" s="47" t="n">
        <f aca="false">10*LOG10(Z121/L_PREF^2)</f>
        <v>-21.0926350214851</v>
      </c>
      <c r="AK121" s="47" t="n">
        <f aca="false">10*LOG10(R121/$R$6)</f>
        <v>-0.195074024940907</v>
      </c>
      <c r="AL121" s="37" t="n">
        <f aca="false">(12194^2*B121^4/((B121^2+20.6^2)*SQRT((B121^2+107.7^2)*(B121^2+737.9^2))*(B121^2+12194^2))*1.2589254)^2</f>
        <v>0.028194397736491</v>
      </c>
      <c r="AM121" s="37" t="n">
        <f aca="false">0.5*(B121-B120)*(S121*AL121+S120*AL120)</f>
        <v>1.04965572623535E-013</v>
      </c>
      <c r="AN121" s="37" t="n">
        <f aca="false">0.5*(B121-B120)*(T121*AL121+T120*AL120)</f>
        <v>4.46799281705119E-013</v>
      </c>
      <c r="AO121" s="37" t="n">
        <f aca="false">0.5*(B121-B120)*(U121*AL121+U120*AL120)</f>
        <v>3.39944034550645E-013</v>
      </c>
      <c r="AP121" s="37" t="n">
        <f aca="false">0.5*(B121-B120)*(V121*AL121+V120*AL120)</f>
        <v>3.58762753148341E-011</v>
      </c>
      <c r="AQ121" s="37" t="n">
        <f aca="false">0.5*(B121-B120)*(W121*AL121+W120*AL120)</f>
        <v>1.62408954144035E-011</v>
      </c>
      <c r="AR121" s="37" t="n">
        <f aca="false">0.5*(B121-B120)*(X121*AL121+X120*AL120)</f>
        <v>4.55600033899996E-013</v>
      </c>
      <c r="AS121" s="37" t="n">
        <f aca="false">0.5*(B121-B120)*(Y121*AL121+Y120*AL120)</f>
        <v>2.46587973001452E-012</v>
      </c>
      <c r="AT121" s="37" t="n">
        <f aca="false">0.5*(B121-B120)*(Z121*AL121+Z120*AL120)</f>
        <v>2.55647551422325E-013</v>
      </c>
      <c r="AU121" s="37" t="n">
        <f aca="false">0.5*(B121-B120)*(AA121*AL121+AA120*AL120)</f>
        <v>5.61860069334538E-011</v>
      </c>
      <c r="AV121" s="37" t="n">
        <f aca="false">0.5*(B121-B120)*(S121+S120)</f>
        <v>3.84481218304984E-012</v>
      </c>
      <c r="AW121" s="37" t="n">
        <f aca="false">0.5*(B121-B120)*(T121+T120)</f>
        <v>1.63666310939984E-011</v>
      </c>
      <c r="AX121" s="37" t="n">
        <f aca="false">0.5*(B121-B120)*(U121+U120)</f>
        <v>1.24524340882174E-011</v>
      </c>
      <c r="AY121" s="37" t="n">
        <f aca="false">0.5*(B121-B120)*(V121+V120)</f>
        <v>1.3151196032667E-009</v>
      </c>
      <c r="AZ121" s="37" t="n">
        <f aca="false">0.5*(B121-B120)*(W121+W120)</f>
        <v>5.9536324203713E-010</v>
      </c>
      <c r="BA121" s="37" t="n">
        <f aca="false">0.5*(B121-B120)*(X121+X120)</f>
        <v>1.66916502251645E-011</v>
      </c>
      <c r="BB121" s="37" t="n">
        <f aca="false">0.5*(B121-B120)*(Y121+Y120)</f>
        <v>9.03949020712912E-011</v>
      </c>
      <c r="BC121" s="37" t="n">
        <f aca="false">0.5*(B121-B120)*(Z121+Z120)</f>
        <v>9.36453390204181E-012</v>
      </c>
      <c r="BD121" s="37" t="n">
        <f aca="false">0.5*(B121-B120)*(AA121+AA120)</f>
        <v>2.05959780886759E-009</v>
      </c>
      <c r="BE121" s="37" t="n">
        <f aca="false">IF(B121&gt;2000,AK121,-999)</f>
        <v>-999</v>
      </c>
      <c r="BF121" s="37" t="n">
        <f aca="false">IF(AND(B121&lt;1000,AK121&gt;=-3),B121,1000000000)</f>
        <v>132.138689601519</v>
      </c>
    </row>
    <row r="122" customFormat="false" ht="15" hidden="false" customHeight="false" outlineLevel="0" collapsed="false">
      <c r="A122" s="5" t="n">
        <v>83</v>
      </c>
      <c r="B122" s="47" t="n">
        <f aca="false">20*10^(A122/100)</f>
        <v>135.216595078396</v>
      </c>
      <c r="C122" s="37" t="n">
        <f aca="false">2*PI()*B122</f>
        <v>849.590923483432</v>
      </c>
      <c r="D122" s="37" t="n">
        <f aca="false">SQRT(L_Rp0^2+L_Rp1^2*C122)</f>
        <v>77666447.2047203</v>
      </c>
      <c r="E122" s="5" t="str">
        <f aca="false">COMPLEX(D122,C122*L_Mp)</f>
        <v>77666447.2047203+12550768.1192631i</v>
      </c>
      <c r="F122" s="5" t="str">
        <f aca="false">IMDIV(1,E122)</f>
        <v>1.25478968333611e-08-2.02771916584308e-09i</v>
      </c>
      <c r="G122" s="5" t="str">
        <f aca="false">COMPLEX(0,C122*L_Cf)</f>
        <v>8.98372553117724e-13i</v>
      </c>
      <c r="H122" s="5" t="str">
        <f aca="false">COMPLEX(0,C122*L_Cbv)</f>
        <v>8.98372553117724e-12i</v>
      </c>
      <c r="I122" s="5" t="str">
        <f aca="false">COMPLEX(L_Rsq+L_Rh,C122*(L_Md+L_Mh)-1/(C122*L_Cd))</f>
        <v>552400610.124532-1355917927623.86i</v>
      </c>
      <c r="J122" s="5" t="str">
        <f aca="false">IMDIV(1,I122)</f>
        <v>3.00460421170926e-16+7.37507642352588e-13i</v>
      </c>
      <c r="K122" s="5" t="str">
        <f aca="false">IMSUM(F122,G122,H122)</f>
        <v>1.25478968333611e-08-2.01783706775879e-09i</v>
      </c>
      <c r="L122" s="5" t="str">
        <f aca="false">IMSUM(IMPRODUCT(IMSUM(F122,G122),H122),IMPRODUCT(IMSUM(J122,L_Yv),K122))</f>
        <v>4.47961357793839e-20+1.17944750538807e-19i</v>
      </c>
      <c r="M122" s="37" t="n">
        <f aca="false">IMABS(IMDIV(IMPRODUCT(J122,F122,H122),L122))^2</f>
        <v>4.45558162237281E-025</v>
      </c>
      <c r="N122" s="5" t="str">
        <f aca="false">IMDIV(IMPRODUCT(L_Yv,K122,E122),H122)</f>
        <v>0.000170866183850271-0.222597177219724i</v>
      </c>
      <c r="O122" s="37" t="n">
        <f aca="false">IMABS(IMSUM(1,IMPRODUCT(E122,G122),N122))^2</f>
        <v>1.04983765275452</v>
      </c>
      <c r="P122" s="37" t="n">
        <f aca="false">IMABS(N122)^2</f>
        <v>0.049549532501442</v>
      </c>
      <c r="Q122" s="37" t="n">
        <f aca="false">p_Rb^2/(1+(C122*p_Rb*L_Ctot)^2)</f>
        <v>2.28377149295538E+017</v>
      </c>
      <c r="R122" s="37" t="n">
        <f aca="false">M122*L_Kt^2*Q122</f>
        <v>2.04218215375036E-005</v>
      </c>
      <c r="S122" s="37" t="n">
        <f aca="false">L_kT4*D122</f>
        <v>1.27882620440366E-012</v>
      </c>
      <c r="T122" s="37" t="n">
        <f aca="false">L_kT4*L_Rsq*O122</f>
        <v>5.42292734954767E-012</v>
      </c>
      <c r="U122" s="37" t="n">
        <f aca="false">L_kT4*L_Rh*O122</f>
        <v>4.12599544754181E-012</v>
      </c>
      <c r="V122" s="37" t="n">
        <f aca="false">L_kT4*p_Rv*P122</f>
        <v>4.07931886029053E-010</v>
      </c>
      <c r="W122" s="37" t="n">
        <f aca="false">L_kT4/p_Rb*Q122/R122</f>
        <v>1.84134962894473E-010</v>
      </c>
      <c r="X122" s="37" t="n">
        <f aca="false">p_en^2*(1+p_fc/B122)/R122</f>
        <v>5.45159344463608E-012</v>
      </c>
      <c r="Y122" s="37" t="n">
        <f aca="false">p_in^2*Q122/R122</f>
        <v>2.79574900892331E-011</v>
      </c>
      <c r="Z122" s="37" t="n">
        <f aca="false">p_eo^2/L_G^2/R122</f>
        <v>3.10431307912575E-012</v>
      </c>
      <c r="AA122" s="37" t="n">
        <f aca="false">SUM(S122:Z122)</f>
        <v>6.39407994538014E-010</v>
      </c>
      <c r="AB122" s="47" t="n">
        <f aca="false">10*LOG10(AA122/L_PREF^2)</f>
        <v>2.03718070639048</v>
      </c>
      <c r="AC122" s="47" t="n">
        <f aca="false">10*LOG10(S122/L_PREF^2)</f>
        <v>-24.9524846451709</v>
      </c>
      <c r="AD122" s="47" t="n">
        <f aca="false">10*LOG10(T122/L_PREF^2)</f>
        <v>-18.6782620505624</v>
      </c>
      <c r="AE122" s="47" t="n">
        <f aca="false">10*LOG10(U122/L_PREF^2)</f>
        <v>-19.8653124687371</v>
      </c>
      <c r="AF122" s="47" t="n">
        <f aca="false">10*LOG10(V122/L_PREF^2)</f>
        <v>0.0852766197942688</v>
      </c>
      <c r="AG122" s="47" t="n">
        <f aca="false">10*LOG10(W122/L_PREF^2)</f>
        <v>-3.36923732696356</v>
      </c>
      <c r="AH122" s="47" t="n">
        <f aca="false">10*LOG10(X122/L_PREF^2)</f>
        <v>-18.655365306904</v>
      </c>
      <c r="AI122" s="47" t="n">
        <f aca="false">10*LOG10(Y122/L_PREF^2)</f>
        <v>-11.5556181171227</v>
      </c>
      <c r="AJ122" s="47" t="n">
        <f aca="false">10*LOG10(Z122/L_PREF^2)</f>
        <v>-21.1009447665416</v>
      </c>
      <c r="AK122" s="47" t="n">
        <f aca="false">10*LOG10(R122/$R$6)</f>
        <v>-0.186764279884402</v>
      </c>
      <c r="AL122" s="37" t="n">
        <f aca="false">(12194^2*B122^4/((B122^2+20.6^2)*SQRT((B122^2+107.7^2)*(B122^2+737.9^2))*(B122^2+12194^2))*1.2589254)^2</f>
        <v>0.0300831637205903</v>
      </c>
      <c r="AM122" s="37" t="n">
        <f aca="false">0.5*(B122-B121)*(S122*AL122+S121*AL121)</f>
        <v>1.14676888827434E-013</v>
      </c>
      <c r="AN122" s="37" t="n">
        <f aca="false">0.5*(B122-B121)*(T122*AL122+T121*AL121)</f>
        <v>4.86886624671088E-013</v>
      </c>
      <c r="AO122" s="37" t="n">
        <f aca="false">0.5*(B122-B121)*(U122*AL122+U121*AL121)</f>
        <v>3.70444202434221E-013</v>
      </c>
      <c r="AP122" s="37" t="n">
        <f aca="false">0.5*(B122-B121)*(V122*AL122+V121*AL121)</f>
        <v>3.74203340603821E-011</v>
      </c>
      <c r="AQ122" s="37" t="n">
        <f aca="false">0.5*(B122-B121)*(W122*AL122+W121*AL121)</f>
        <v>1.69069648458805E-011</v>
      </c>
      <c r="AR122" s="37" t="n">
        <f aca="false">0.5*(B122-B121)*(X122*AL122+X121*AL121)</f>
        <v>4.91733822284391E-013</v>
      </c>
      <c r="AS122" s="37" t="n">
        <f aca="false">0.5*(B122-B121)*(Y122*AL122+Y121*AL121)</f>
        <v>2.5670100598364E-012</v>
      </c>
      <c r="AT122" s="37" t="n">
        <f aca="false">0.5*(B122-B121)*(Z122*AL122+Z121*AL121)</f>
        <v>2.78672676250495E-013</v>
      </c>
      <c r="AU122" s="37" t="n">
        <f aca="false">0.5*(B122-B121)*(AA122*AL122+AA121*AL121)</f>
        <v>5.86367231805666E-011</v>
      </c>
      <c r="AV122" s="37" t="n">
        <f aca="false">0.5*(B122-B121)*(S122+S121)</f>
        <v>3.93552286998983E-012</v>
      </c>
      <c r="AW122" s="37" t="n">
        <f aca="false">0.5*(B122-B121)*(T122+T121)</f>
        <v>1.67098332477821E-011</v>
      </c>
      <c r="AX122" s="37" t="n">
        <f aca="false">0.5*(B122-B121)*(U122+U121)</f>
        <v>1.27135569897101E-011</v>
      </c>
      <c r="AY122" s="37" t="n">
        <f aca="false">0.5*(B122-B121)*(V122+V121)</f>
        <v>1.28516984052356E-009</v>
      </c>
      <c r="AZ122" s="37" t="n">
        <f aca="false">0.5*(B122-B121)*(W122+W121)</f>
        <v>5.80673363835288E-010</v>
      </c>
      <c r="BA122" s="37" t="n">
        <f aca="false">0.5*(B122-B121)*(X122+X121)</f>
        <v>1.68787984904703E-011</v>
      </c>
      <c r="BB122" s="37" t="n">
        <f aca="false">0.5*(B122-B121)*(Y122+Y121)</f>
        <v>8.81645156319955E-011</v>
      </c>
      <c r="BC122" s="37" t="n">
        <f aca="false">0.5*(B122-B121)*(Z122+Z121)</f>
        <v>9.56393198895908E-012</v>
      </c>
      <c r="BD122" s="37" t="n">
        <f aca="false">0.5*(B122-B121)*(AA122+AA121)</f>
        <v>2.01380936357776E-009</v>
      </c>
      <c r="BE122" s="37" t="n">
        <f aca="false">IF(B122&gt;2000,AK122,-999)</f>
        <v>-999</v>
      </c>
      <c r="BF122" s="37" t="n">
        <f aca="false">IF(AND(B122&lt;1000,AK122&gt;=-3),B122,1000000000)</f>
        <v>135.216595078396</v>
      </c>
    </row>
    <row r="123" customFormat="false" ht="15" hidden="false" customHeight="false" outlineLevel="0" collapsed="false">
      <c r="A123" s="5" t="n">
        <v>84</v>
      </c>
      <c r="B123" s="47" t="n">
        <f aca="false">20*10^(A123/100)</f>
        <v>138.366194183787</v>
      </c>
      <c r="C123" s="37" t="n">
        <f aca="false">2*PI()*B123</f>
        <v>869.38043830593</v>
      </c>
      <c r="D123" s="37" t="n">
        <f aca="false">SQRT(L_Rp0^2+L_Rp1^2*C123)</f>
        <v>77689995.7860826</v>
      </c>
      <c r="E123" s="5" t="str">
        <f aca="false">COMPLEX(D123,C123*L_Mp)</f>
        <v>77689995.7860826+12843113.0641827i</v>
      </c>
      <c r="F123" s="5" t="str">
        <f aca="false">IMDIV(1,E123)</f>
        <v>1.25292682861556e-08-2.07124234700243e-09i</v>
      </c>
      <c r="G123" s="5" t="str">
        <f aca="false">COMPLEX(0,C123*L_Cf)</f>
        <v>9.19298338062736e-13i</v>
      </c>
      <c r="H123" s="5" t="str">
        <f aca="false">COMPLEX(0,C123*L_Cbv)</f>
        <v>9.19298338062737e-12i</v>
      </c>
      <c r="I123" s="5" t="str">
        <f aca="false">COMPLEX(L_Rsq+L_Rh,C123*(L_Md+L_Mh)-1/(C123*L_Cd))</f>
        <v>552400610.124532-1325053319999.24i</v>
      </c>
      <c r="J123" s="5" t="str">
        <f aca="false">IMDIV(1,I123)</f>
        <v>3.14620752120902e-16+7.54686480242077e-13i</v>
      </c>
      <c r="K123" s="5" t="str">
        <f aca="false">IMSUM(F123,G123,H123)</f>
        <v>1.25292682861556e-08-2.06113006528374e-09i</v>
      </c>
      <c r="L123" s="5" t="str">
        <f aca="false">IMSUM(IMPRODUCT(IMSUM(F123,G123),H123),IMPRODUCT(IMSUM(J123,L_Yv),K123))</f>
        <v>4.56504309133143e-20+1.20514115904079e-19i</v>
      </c>
      <c r="M123" s="37" t="n">
        <f aca="false">IMABS(IMDIV(IMPRODUCT(J123,F123,H123),L123))^2</f>
        <v>4.67411651985037E-025</v>
      </c>
      <c r="N123" s="5" t="str">
        <f aca="false">IMDIV(IMPRODUCT(L_Yv,K123,E123),H123)</f>
        <v>0.000170917990729469-0.217528975181139i</v>
      </c>
      <c r="O123" s="37" t="n">
        <f aca="false">IMABS(IMSUM(1,IMPRODUCT(E123,G123),N123))^2</f>
        <v>1.04760603617472</v>
      </c>
      <c r="P123" s="37" t="n">
        <f aca="false">IMABS(N123)^2</f>
        <v>0.0473188842563162</v>
      </c>
      <c r="Q123" s="37" t="n">
        <f aca="false">p_Rb^2/(1+(C123*p_Rb*L_Ctot)^2)</f>
        <v>2.18098486635711E+017</v>
      </c>
      <c r="R123" s="37" t="n">
        <f aca="false">M123*L_Kt^2*Q123</f>
        <v>2.04592454093523E-005</v>
      </c>
      <c r="S123" s="37" t="n">
        <f aca="false">L_kT4*D123</f>
        <v>1.2792139463953E-012</v>
      </c>
      <c r="T123" s="37" t="n">
        <f aca="false">L_kT4*L_Rsq*O123</f>
        <v>5.41139995333305E-012</v>
      </c>
      <c r="U123" s="37" t="n">
        <f aca="false">L_kT4*L_Rh*O123</f>
        <v>4.11722491066426E-012</v>
      </c>
      <c r="V123" s="37" t="n">
        <f aca="false">L_kT4*p_Rv*P123</f>
        <v>3.89567382879097E-010</v>
      </c>
      <c r="W123" s="37" t="n">
        <f aca="false">L_kT4/p_Rb*Q123/R123</f>
        <v>1.75525867449958E-010</v>
      </c>
      <c r="X123" s="37" t="n">
        <f aca="false">p_en^2*(1+p_fc/B123)/R123</f>
        <v>5.38896085646789E-012</v>
      </c>
      <c r="Y123" s="37" t="n">
        <f aca="false">p_in^2*Q123/R123</f>
        <v>2.66503580987418E-011</v>
      </c>
      <c r="Z123" s="37" t="n">
        <f aca="false">p_eo^2/L_G^2/R123</f>
        <v>3.09863469693097E-012</v>
      </c>
      <c r="AA123" s="37" t="n">
        <f aca="false">SUM(S123:Z123)</f>
        <v>6.11039042791588E-010</v>
      </c>
      <c r="AB123" s="47" t="n">
        <f aca="false">10*LOG10(AA123/L_PREF^2)</f>
        <v>1.84008969368312</v>
      </c>
      <c r="AC123" s="47" t="n">
        <f aca="false">10*LOG10(S123/L_PREF^2)</f>
        <v>-24.9511680574808</v>
      </c>
      <c r="AD123" s="47" t="n">
        <f aca="false">10*LOG10(T123/L_PREF^2)</f>
        <v>-18.687503577638</v>
      </c>
      <c r="AE123" s="47" t="n">
        <f aca="false">10*LOG10(U123/L_PREF^2)</f>
        <v>-19.8745539958128</v>
      </c>
      <c r="AF123" s="47" t="n">
        <f aca="false">10*LOG10(V123/L_PREF^2)</f>
        <v>-0.114774035644508</v>
      </c>
      <c r="AG123" s="47" t="n">
        <f aca="false">10*LOG10(W123/L_PREF^2)</f>
        <v>-3.57718863329843</v>
      </c>
      <c r="AH123" s="47" t="n">
        <f aca="false">10*LOG10(X123/L_PREF^2)</f>
        <v>-18.7055496228412</v>
      </c>
      <c r="AI123" s="47" t="n">
        <f aca="false">10*LOG10(Y123/L_PREF^2)</f>
        <v>-11.7635694234576</v>
      </c>
      <c r="AJ123" s="47" t="n">
        <f aca="false">10*LOG10(Z123/L_PREF^2)</f>
        <v>-21.1088961175161</v>
      </c>
      <c r="AK123" s="47" t="n">
        <f aca="false">10*LOG10(R123/$R$6)</f>
        <v>-0.178812928909858</v>
      </c>
      <c r="AL123" s="37" t="n">
        <f aca="false">(12194^2*B123^4/((B123^2+20.6^2)*SQRT((B123^2+107.7^2)*(B123^2+737.9^2))*(B123^2+12194^2))*1.2589254)^2</f>
        <v>0.0320771257832253</v>
      </c>
      <c r="AM123" s="37" t="n">
        <f aca="false">0.5*(B123-B122)*(S123*AL123+S122*AL122)</f>
        <v>1.25203878972873E-013</v>
      </c>
      <c r="AN123" s="37" t="n">
        <f aca="false">0.5*(B123-B122)*(T123*AL123+T122*AL122)</f>
        <v>5.30268030211179E-013</v>
      </c>
      <c r="AO123" s="37" t="n">
        <f aca="false">0.5*(B123-B122)*(U123*AL123+U122*AL122)</f>
        <v>4.03450634242921E-013</v>
      </c>
      <c r="AP123" s="37" t="n">
        <f aca="false">0.5*(B123-B122)*(V123*AL123+V122*AL122)</f>
        <v>3.90047670624602E-011</v>
      </c>
      <c r="AQ123" s="37" t="n">
        <f aca="false">0.5*(B123-B122)*(W123*AL123+W122*AL122)</f>
        <v>1.75900819712675E-011</v>
      </c>
      <c r="AR123" s="37" t="n">
        <f aca="false">0.5*(B123-B122)*(X123*AL123+X122*AL122)</f>
        <v>5.30492573161571E-013</v>
      </c>
      <c r="AS123" s="37" t="n">
        <f aca="false">0.5*(B123-B122)*(Y123*AL123+Y122*AL122)</f>
        <v>2.67072876682492E-012</v>
      </c>
      <c r="AT123" s="37" t="n">
        <f aca="false">0.5*(B123-B122)*(Z123*AL123+Z122*AL122)</f>
        <v>3.03594351504873E-013</v>
      </c>
      <c r="AU123" s="37" t="n">
        <f aca="false">0.5*(B123-B122)*(AA123*AL123+AA122*AL122)</f>
        <v>6.1158587268646E-011</v>
      </c>
      <c r="AV123" s="37" t="n">
        <f aca="false">0.5*(B123-B122)*(S123+S122)</f>
        <v>4.02840048525524E-012</v>
      </c>
      <c r="AW123" s="37" t="n">
        <f aca="false">0.5*(B123-B122)*(T123+T122)</f>
        <v>1.70618937903328E-011</v>
      </c>
      <c r="AX123" s="37" t="n">
        <f aca="false">0.5*(B123-B122)*(U123+U122)</f>
        <v>1.29814197328731E-011</v>
      </c>
      <c r="AY123" s="37" t="n">
        <f aca="false">0.5*(B123-B122)*(V123+V122)</f>
        <v>1.25590149195152E-009</v>
      </c>
      <c r="AZ123" s="37" t="n">
        <f aca="false">0.5*(B123-B122)*(W123+W122)</f>
        <v>5.66393714748491E-010</v>
      </c>
      <c r="BA123" s="37" t="n">
        <f aca="false">0.5*(B123-B122)*(X123+X122)</f>
        <v>1.70717000643494E-011</v>
      </c>
      <c r="BB123" s="37" t="n">
        <f aca="false">0.5*(B123-B122)*(Y123+Y122)</f>
        <v>8.59964149000848E-011</v>
      </c>
      <c r="BC123" s="37" t="n">
        <f aca="false">0.5*(B123-B122)*(Z123+Z122)</f>
        <v>9.76839938312747E-012</v>
      </c>
      <c r="BD123" s="37" t="n">
        <f aca="false">0.5*(B123-B122)*(AA123+AA122)</f>
        <v>1.96920343505603E-009</v>
      </c>
      <c r="BE123" s="37" t="n">
        <f aca="false">IF(B123&gt;2000,AK123,-999)</f>
        <v>-999</v>
      </c>
      <c r="BF123" s="37" t="n">
        <f aca="false">IF(AND(B123&lt;1000,AK123&gt;=-3),B123,1000000000)</f>
        <v>138.366194183787</v>
      </c>
    </row>
    <row r="124" customFormat="false" ht="15" hidden="false" customHeight="false" outlineLevel="0" collapsed="false">
      <c r="A124" s="5" t="n">
        <v>85</v>
      </c>
      <c r="B124" s="47" t="n">
        <f aca="false">20*10^(A124/100)</f>
        <v>141.589156876828</v>
      </c>
      <c r="C124" s="37" t="n">
        <f aca="false">2*PI()*B124</f>
        <v>889.630910144429</v>
      </c>
      <c r="D124" s="37" t="n">
        <f aca="false">SQRT(L_Rp0^2+L_Rp1^2*C124)</f>
        <v>77714085.4975318</v>
      </c>
      <c r="E124" s="5" t="str">
        <f aca="false">COMPLEX(D124,C124*L_Mp)</f>
        <v>77714085.4975318+13142267.5976475i</v>
      </c>
      <c r="F124" s="5" t="str">
        <f aca="false">IMDIV(1,E124)</f>
        <v>1.25099170962772e-08-2.11555829359764e-09i</v>
      </c>
      <c r="G124" s="5" t="str">
        <f aca="false">COMPLEX(0,C124*L_Cf)</f>
        <v>9.40711547154942e-13i</v>
      </c>
      <c r="H124" s="5" t="str">
        <f aca="false">COMPLEX(0,C124*L_Cbv)</f>
        <v>9.40711547154942e-12i</v>
      </c>
      <c r="I124" s="5" t="str">
        <f aca="false">COMPLEX(L_Rsq+L_Rh,C124*(L_Md+L_Mh)-1/(C124*L_Cd))</f>
        <v>552400610.124532-1294891273184.04i</v>
      </c>
      <c r="J124" s="5" t="str">
        <f aca="false">IMDIV(1,I124)</f>
        <v>3.29448445425925e-16+7.72265470253386e-13i</v>
      </c>
      <c r="K124" s="5" t="str">
        <f aca="false">IMSUM(F124,G124,H124)</f>
        <v>1.25099170962772e-08-2.10521046657894e-09i</v>
      </c>
      <c r="L124" s="5" t="str">
        <f aca="false">IMSUM(IMPRODUCT(IMSUM(F124,G124),H124),IMPRODUCT(IMSUM(J124,L_Yv),K124))</f>
        <v>4.65421886887668e-20+1.23132097181904e-19i</v>
      </c>
      <c r="M124" s="37" t="n">
        <f aca="false">IMABS(IMDIV(IMPRODUCT(J124,F124,H124),L124))^2</f>
        <v>4.90298220625456E-025</v>
      </c>
      <c r="N124" s="5" t="str">
        <f aca="false">IMDIV(IMPRODUCT(L_Yv,K124,E124),H124)</f>
        <v>0.000170970988094689-0.212576109884529i</v>
      </c>
      <c r="O124" s="37" t="n">
        <f aca="false">IMABS(IMSUM(1,IMPRODUCT(E124,G124),N124))^2</f>
        <v>1.04547476739835</v>
      </c>
      <c r="P124" s="37" t="n">
        <f aca="false">IMABS(N124)^2</f>
        <v>0.0451886317247181</v>
      </c>
      <c r="Q124" s="37" t="n">
        <f aca="false">p_Rb^2/(1+(C124*p_Rb*L_Ctot)^2)</f>
        <v>2.08282439804109E+017</v>
      </c>
      <c r="R124" s="37" t="n">
        <f aca="false">M124*L_Kt^2*Q124</f>
        <v>2.04951168406295E-005</v>
      </c>
      <c r="S124" s="37" t="n">
        <f aca="false">L_kT4*D124</f>
        <v>1.2796105984293E-012</v>
      </c>
      <c r="T124" s="37" t="n">
        <f aca="false">L_kT4*L_Rsq*O124</f>
        <v>5.40039090283247E-012</v>
      </c>
      <c r="U124" s="37" t="n">
        <f aca="false">L_kT4*L_Rh*O124</f>
        <v>4.10884875341204E-012</v>
      </c>
      <c r="V124" s="37" t="n">
        <f aca="false">L_kT4*p_Rv*P124</f>
        <v>3.72029418562124E-010</v>
      </c>
      <c r="W124" s="37" t="n">
        <f aca="false">L_kT4/p_Rb*Q124/R124</f>
        <v>1.67332517679204E-010</v>
      </c>
      <c r="X124" s="37" t="n">
        <f aca="false">p_en^2*(1+p_fc/B124)/R124</f>
        <v>5.32815705697504E-012</v>
      </c>
      <c r="Y124" s="37" t="n">
        <f aca="false">p_in^2*Q124/R124</f>
        <v>2.54063494030942E-011</v>
      </c>
      <c r="Z124" s="37" t="n">
        <f aca="false">p_eo^2/L_G^2/R124</f>
        <v>3.09321133377336E-012</v>
      </c>
      <c r="AA124" s="37" t="n">
        <f aca="false">SUM(S124:Z124)</f>
        <v>5.83978504289845E-010</v>
      </c>
      <c r="AB124" s="47" t="n">
        <f aca="false">10*LOG10(AA124/L_PREF^2)</f>
        <v>1.64336870099304</v>
      </c>
      <c r="AC124" s="47" t="n">
        <f aca="false">10*LOG10(S124/L_PREF^2)</f>
        <v>-24.9498216283845</v>
      </c>
      <c r="AD124" s="47" t="n">
        <f aca="false">10*LOG10(T124/L_PREF^2)</f>
        <v>-18.6963479432004</v>
      </c>
      <c r="AE124" s="47" t="n">
        <f aca="false">10*LOG10(U124/L_PREF^2)</f>
        <v>-19.8833983613752</v>
      </c>
      <c r="AF124" s="47" t="n">
        <f aca="false">10*LOG10(V124/L_PREF^2)</f>
        <v>-0.314827078599537</v>
      </c>
      <c r="AG124" s="47" t="n">
        <f aca="false">10*LOG10(W124/L_PREF^2)</f>
        <v>-3.78479645844542</v>
      </c>
      <c r="AH124" s="47" t="n">
        <f aca="false">10*LOG10(X124/L_PREF^2)</f>
        <v>-18.7548297336911</v>
      </c>
      <c r="AI124" s="47" t="n">
        <f aca="false">10*LOG10(Y124/L_PREF^2)</f>
        <v>-11.9711772486046</v>
      </c>
      <c r="AJ124" s="47" t="n">
        <f aca="false">10*LOG10(Z124/L_PREF^2)</f>
        <v>-21.1165039852937</v>
      </c>
      <c r="AK124" s="47" t="n">
        <f aca="false">10*LOG10(R124/$R$6)</f>
        <v>-0.171205061132308</v>
      </c>
      <c r="AL124" s="37" t="n">
        <f aca="false">(12194^2*B124^4/((B124^2+20.6^2)*SQRT((B124^2+107.7^2)*(B124^2+737.9^2))*(B124^2+12194^2))*1.2589254)^2</f>
        <v>0.0341807404877121</v>
      </c>
      <c r="AM124" s="37" t="n">
        <f aca="false">0.5*(B124-B123)*(S124*AL124+S123*AL123)</f>
        <v>1.36607762600772E-013</v>
      </c>
      <c r="AN124" s="37" t="n">
        <f aca="false">0.5*(B124-B123)*(T124*AL124+T123*AL123)</f>
        <v>5.77186718417046E-013</v>
      </c>
      <c r="AO124" s="37" t="n">
        <f aca="false">0.5*(B124-B123)*(U124*AL124+U123*AL123)</f>
        <v>4.39148382242106E-013</v>
      </c>
      <c r="AP124" s="37" t="n">
        <f aca="false">0.5*(B124-B123)*(V124*AL124+V123*AL123)</f>
        <v>4.06293815162574E-011</v>
      </c>
      <c r="AQ124" s="37" t="n">
        <f aca="false">0.5*(B124-B123)*(W124*AL124+W123*AL123)</f>
        <v>1.82901758080947E-011</v>
      </c>
      <c r="AR124" s="37" t="n">
        <f aca="false">0.5*(B124-B123)*(X124*AL124+X123*AL123)</f>
        <v>5.72048045920548E-013</v>
      </c>
      <c r="AS124" s="37" t="n">
        <f aca="false">0.5*(B124-B123)*(Y124*AL124+Y123*AL123)</f>
        <v>2.77702507360424E-012</v>
      </c>
      <c r="AT124" s="37" t="n">
        <f aca="false">0.5*(B124-B123)*(Z124*AL124+Z123*AL123)</f>
        <v>3.30552772628176E-013</v>
      </c>
      <c r="AU124" s="37" t="n">
        <f aca="false">0.5*(B124-B123)*(AA124*AL124+AA123*AL123)</f>
        <v>6.3752126079765E-011</v>
      </c>
      <c r="AV124" s="37" t="n">
        <f aca="false">0.5*(B124-B123)*(S124+S123)</f>
        <v>4.12349802300276E-012</v>
      </c>
      <c r="AW124" s="37" t="n">
        <f aca="false">0.5*(B124-B123)*(T124+T123)</f>
        <v>1.74229992871879E-011</v>
      </c>
      <c r="AX124" s="37" t="n">
        <f aca="false">0.5*(B124-B123)*(U124+U123)</f>
        <v>1.32561642647596E-011</v>
      </c>
      <c r="AY124" s="37" t="n">
        <f aca="false">0.5*(B124-B123)*(V124+V123)</f>
        <v>1.22729903909194E-009</v>
      </c>
      <c r="AZ124" s="37" t="n">
        <f aca="false">0.5*(B124-B123)*(W124+W123)</f>
        <v>5.52509892133667E-010</v>
      </c>
      <c r="BA124" s="37" t="n">
        <f aca="false">0.5*(B124-B123)*(X124+X123)</f>
        <v>1.72704356059702E-011</v>
      </c>
      <c r="BB124" s="37" t="n">
        <f aca="false">0.5*(B124-B123)*(Y124+Y123)</f>
        <v>8.38884131004643E-011</v>
      </c>
      <c r="BC124" s="37" t="n">
        <f aca="false">0.5*(B124-B123)*(Z124+Z123)</f>
        <v>9.97804437900486E-012</v>
      </c>
      <c r="BD124" s="37" t="n">
        <f aca="false">0.5*(B124-B123)*(AA124+AA123)</f>
        <v>1.925748485886E-009</v>
      </c>
      <c r="BE124" s="37" t="n">
        <f aca="false">IF(B124&gt;2000,AK124,-999)</f>
        <v>-999</v>
      </c>
      <c r="BF124" s="37" t="n">
        <f aca="false">IF(AND(B124&lt;1000,AK124&gt;=-3),B124,1000000000)</f>
        <v>141.589156876828</v>
      </c>
    </row>
    <row r="125" customFormat="false" ht="15" hidden="false" customHeight="false" outlineLevel="0" collapsed="false">
      <c r="A125" s="5" t="n">
        <v>86</v>
      </c>
      <c r="B125" s="47" t="n">
        <f aca="false">20*10^(A125/100)</f>
        <v>144.887192014998</v>
      </c>
      <c r="C125" s="37" t="n">
        <f aca="false">2*PI()*B125</f>
        <v>910.353076067143</v>
      </c>
      <c r="D125" s="37" t="n">
        <f aca="false">SQRT(L_Rp0^2+L_Rp1^2*C125)</f>
        <v>77738728.6026678</v>
      </c>
      <c r="E125" s="5" t="str">
        <f aca="false">COMPLEX(D125,C125*L_Mp)</f>
        <v>77738728.6026678+13448390.3353511i</v>
      </c>
      <c r="F125" s="5" t="str">
        <f aca="false">IMDIV(1,E125)</f>
        <v>1.24898162327894e-08-2.16067238215152e-09i</v>
      </c>
      <c r="G125" s="5" t="str">
        <f aca="false">COMPLEX(0,C125*L_Cf)</f>
        <v>9.62623533961238e-13i</v>
      </c>
      <c r="H125" s="5" t="str">
        <f aca="false">COMPLEX(0,C125*L_Cbv)</f>
        <v>9.62623533961238e-12i</v>
      </c>
      <c r="I125" s="5" t="str">
        <f aca="false">COMPLEX(L_Rsq+L_Rh,C125*(L_Md+L_Mh)-1/(C125*L_Cd))</f>
        <v>552400610.124532-1265415794861.79i</v>
      </c>
      <c r="J125" s="5" t="str">
        <f aca="false">IMDIV(1,I125)</f>
        <v>3.44974953533613e-16+7.90253933526131e-13i</v>
      </c>
      <c r="K125" s="5" t="str">
        <f aca="false">IMSUM(F125,G125,H125)</f>
        <v>1.24898162327894e-08-2.15008352327795e-09i</v>
      </c>
      <c r="L125" s="5" t="str">
        <f aca="false">IMSUM(IMPRODUCT(IMSUM(F125,G125),H125),IMPRODUCT(IMSUM(J125,L_Yv),K125))</f>
        <v>4.74729275027435e-20+1.25799128040803e-19i</v>
      </c>
      <c r="M125" s="37" t="n">
        <f aca="false">IMABS(IMDIV(IMPRODUCT(J125,F125,H125),L125))^2</f>
        <v>5.14266442416564E-025</v>
      </c>
      <c r="N125" s="5" t="str">
        <f aca="false">IMDIV(IMPRODUCT(L_Yv,K125,E125),H125)</f>
        <v>0.000171025202925702-0.207735955255156i</v>
      </c>
      <c r="O125" s="37" t="n">
        <f aca="false">IMABS(IMSUM(1,IMPRODUCT(E125,G125),N125))^2</f>
        <v>1.04343932556334</v>
      </c>
      <c r="P125" s="37" t="n">
        <f aca="false">IMABS(N125)^2</f>
        <v>0.0431542563553922</v>
      </c>
      <c r="Q125" s="37" t="n">
        <f aca="false">p_Rb^2/(1+(C125*p_Rb*L_Ctot)^2)</f>
        <v>1.98908187675996E+017</v>
      </c>
      <c r="R125" s="37" t="n">
        <f aca="false">M125*L_Kt^2*Q125</f>
        <v>2.05294952447215E-005</v>
      </c>
      <c r="S125" s="37" t="n">
        <f aca="false">L_kT4*D125</f>
        <v>1.28001636243345E-012</v>
      </c>
      <c r="T125" s="37" t="n">
        <f aca="false">L_kT4*L_Rsq*O125</f>
        <v>5.38987684557178E-012</v>
      </c>
      <c r="U125" s="37" t="n">
        <f aca="false">L_kT4*L_Rh*O125</f>
        <v>4.10084920822241E-012</v>
      </c>
      <c r="V125" s="37" t="n">
        <f aca="false">L_kT4*p_Rv*P125</f>
        <v>3.55280792704231E-010</v>
      </c>
      <c r="W125" s="37" t="n">
        <f aca="false">L_kT4/p_Rb*Q125/R125</f>
        <v>1.59533714246195E-010</v>
      </c>
      <c r="X125" s="37" t="n">
        <f aca="false">p_en^2*(1+p_fc/B125)/R125</f>
        <v>5.26911622413636E-012</v>
      </c>
      <c r="Y125" s="37" t="n">
        <f aca="false">p_in^2*Q125/R125</f>
        <v>2.42222452750195E-011</v>
      </c>
      <c r="Z125" s="37" t="n">
        <f aca="false">p_eo^2/L_G^2/R125</f>
        <v>3.0880314855644E-012</v>
      </c>
      <c r="AA125" s="37" t="n">
        <f aca="false">SUM(S125:Z125)</f>
        <v>5.58164642351375E-010</v>
      </c>
      <c r="AB125" s="47" t="n">
        <f aca="false">10*LOG10(AA125/L_PREF^2)</f>
        <v>1.44702330760082</v>
      </c>
      <c r="AC125" s="47" t="n">
        <f aca="false">10*LOG10(S125/L_PREF^2)</f>
        <v>-24.9484447006358</v>
      </c>
      <c r="AD125" s="47" t="n">
        <f aca="false">10*LOG10(T125/L_PREF^2)</f>
        <v>-18.704811493137</v>
      </c>
      <c r="AE125" s="47" t="n">
        <f aca="false">10*LOG10(U125/L_PREF^2)</f>
        <v>-19.8918619113117</v>
      </c>
      <c r="AF125" s="47" t="n">
        <f aca="false">10*LOG10(V125/L_PREF^2)</f>
        <v>-0.514882621613033</v>
      </c>
      <c r="AG125" s="47" t="n">
        <f aca="false">10*LOG10(W125/L_PREF^2)</f>
        <v>-3.99207514819789</v>
      </c>
      <c r="AH125" s="47" t="n">
        <f aca="false">10*LOG10(X125/L_PREF^2)</f>
        <v>-18.803222131491</v>
      </c>
      <c r="AI125" s="47" t="n">
        <f aca="false">10*LOG10(Y125/L_PREF^2)</f>
        <v>-12.1784559383571</v>
      </c>
      <c r="AJ125" s="47" t="n">
        <f aca="false">10*LOG10(Z125/L_PREF^2)</f>
        <v>-21.123782715758</v>
      </c>
      <c r="AK125" s="47" t="n">
        <f aca="false">10*LOG10(R125/$R$6)</f>
        <v>-0.163926330667971</v>
      </c>
      <c r="AL125" s="37" t="n">
        <f aca="false">(12194^2*B125^4/((B125^2+20.6^2)*SQRT((B125^2+107.7^2)*(B125^2+737.9^2))*(B125^2+12194^2))*1.2589254)^2</f>
        <v>0.036398581233284</v>
      </c>
      <c r="AM125" s="37" t="n">
        <f aca="false">0.5*(B125-B124)*(S125*AL125+S124*AL124)</f>
        <v>1.48953806785389E-013</v>
      </c>
      <c r="AN125" s="37" t="n">
        <f aca="false">0.5*(B125-B124)*(T125*AL125+T124*AL124)</f>
        <v>6.27901746408863E-013</v>
      </c>
      <c r="AO125" s="37" t="n">
        <f aca="false">0.5*(B125-B124)*(U125*AL125+U124*AL124)</f>
        <v>4.77734548186897E-013</v>
      </c>
      <c r="AP125" s="37" t="n">
        <f aca="false">0.5*(B125-B124)*(V125*AL125+V124*AL124)</f>
        <v>4.22939330291886E-011</v>
      </c>
      <c r="AQ125" s="37" t="n">
        <f aca="false">0.5*(B125-B124)*(W125*AL125+W124*AL124)</f>
        <v>1.90071540191968E-011</v>
      </c>
      <c r="AR125" s="37" t="n">
        <f aca="false">0.5*(B125-B124)*(X125*AL125+X124*AL124)</f>
        <v>6.16582029639637E-013</v>
      </c>
      <c r="AS125" s="37" t="n">
        <f aca="false">0.5*(B125-B124)*(Y125*AL125+Y124*AL124)</f>
        <v>2.88588496048281E-012</v>
      </c>
      <c r="AT125" s="37" t="n">
        <f aca="false">0.5*(B125-B124)*(Z125*AL125+Z124*AL124)</f>
        <v>3.5969726503467E-013</v>
      </c>
      <c r="AU125" s="37" t="n">
        <f aca="false">0.5*(B125-B124)*(AA125*AL125+AA124*AL124)</f>
        <v>6.64178414049237E-011</v>
      </c>
      <c r="AV125" s="37" t="n">
        <f aca="false">0.5*(B125-B124)*(S125+S124)</f>
        <v>4.22086982876688E-012</v>
      </c>
      <c r="AW125" s="37" t="n">
        <f aca="false">0.5*(B125-B124)*(T125+T124)</f>
        <v>1.77933410922522E-011</v>
      </c>
      <c r="AX125" s="37" t="n">
        <f aca="false">0.5*(B125-B124)*(U125+U124)</f>
        <v>1.35379361756183E-011</v>
      </c>
      <c r="AY125" s="37" t="n">
        <f aca="false">0.5*(B125-B124)*(V125+V124)</f>
        <v>1.1993473165533E-009</v>
      </c>
      <c r="AZ125" s="37" t="n">
        <f aca="false">0.5*(B125-B124)*(W125+W124)</f>
        <v>5.39008159185667E-010</v>
      </c>
      <c r="BA125" s="37" t="n">
        <f aca="false">0.5*(B125-B124)*(X125+X124)</f>
        <v>1.747508982495E-011</v>
      </c>
      <c r="BB125" s="37" t="n">
        <f aca="false">0.5*(B125-B124)*(Y125+Y124)</f>
        <v>8.18384245532186E-011</v>
      </c>
      <c r="BC125" s="37" t="n">
        <f aca="false">0.5*(B125-B124)*(Z125+Z124)</f>
        <v>1.01929780078698E-011</v>
      </c>
      <c r="BD125" s="37" t="n">
        <f aca="false">0.5*(B125-B124)*(AA125+AA124)</f>
        <v>1.88341411522164E-009</v>
      </c>
      <c r="BE125" s="37" t="n">
        <f aca="false">IF(B125&gt;2000,AK125,-999)</f>
        <v>-999</v>
      </c>
      <c r="BF125" s="37" t="n">
        <f aca="false">IF(AND(B125&lt;1000,AK125&gt;=-3),B125,1000000000)</f>
        <v>144.887192014998</v>
      </c>
    </row>
    <row r="126" customFormat="false" ht="15" hidden="false" customHeight="false" outlineLevel="0" collapsed="false">
      <c r="A126" s="5" t="n">
        <v>87</v>
      </c>
      <c r="B126" s="47" t="n">
        <f aca="false">20*10^(A126/100)</f>
        <v>148.262048260184</v>
      </c>
      <c r="C126" s="37" t="n">
        <f aca="false">2*PI()*B126</f>
        <v>931.557923240736</v>
      </c>
      <c r="D126" s="37" t="n">
        <f aca="false">SQRT(L_Rp0^2+L_Rp1^2*C126)</f>
        <v>77763937.635181</v>
      </c>
      <c r="E126" s="5" t="str">
        <f aca="false">COMPLEX(D126,C126*L_Mp)</f>
        <v>77763937.635181+13761643.587621i</v>
      </c>
      <c r="F126" s="5" t="str">
        <f aca="false">IMDIV(1,E126)</f>
        <v>1.24689378265753e-08-2.20658937167689e-09i</v>
      </c>
      <c r="G126" s="5" t="str">
        <f aca="false">COMPLEX(0,C126*L_Cf)</f>
        <v>9.85045916507069e-13i</v>
      </c>
      <c r="H126" s="5" t="str">
        <f aca="false">COMPLEX(0,C126*L_Cbv)</f>
        <v>9.8504591650707e-12i</v>
      </c>
      <c r="I126" s="5" t="str">
        <f aca="false">COMPLEX(L_Rsq+L_Rh,C126*(L_Md+L_Mh)-1/(C126*L_Cd))</f>
        <v>552400610.124532-1236611256743.73i</v>
      </c>
      <c r="J126" s="5" t="str">
        <f aca="false">IMDIV(1,I126)</f>
        <v>3.61233211260434e-16+8.08661408345719e-13i</v>
      </c>
      <c r="K126" s="5" t="str">
        <f aca="false">IMSUM(F126,G126,H126)</f>
        <v>1.24689378265753e-08-2.19575386659531e-09i</v>
      </c>
      <c r="L126" s="5" t="str">
        <f aca="false">IMSUM(IMPRODUCT(IMSUM(F126,G126),H126),IMPRODUCT(IMSUM(J126,L_Yv),K126))</f>
        <v>4.84442166069501e-20+1.28515610803488e-19i</v>
      </c>
      <c r="M126" s="37" t="n">
        <f aca="false">IMABS(IMDIV(IMPRODUCT(J126,F126,H126),L126))^2</f>
        <v>5.39367185989135E-025</v>
      </c>
      <c r="N126" s="5" t="str">
        <f aca="false">IMDIV(IMPRODUCT(L_Yv,K126,E126),H126)</f>
        <v>0.000171080662797433-0.203005944978972i</v>
      </c>
      <c r="O126" s="37" t="n">
        <f aca="false">IMABS(IMSUM(1,IMPRODUCT(E126,G126),N126))^2</f>
        <v>1.04149539306579</v>
      </c>
      <c r="P126" s="37" t="n">
        <f aca="false">IMABS(N126)^2</f>
        <v>0.0412114429653986</v>
      </c>
      <c r="Q126" s="37" t="n">
        <f aca="false">p_Rb^2/(1+(C126*p_Rb*L_Ctot)^2)</f>
        <v>1.89955846230087E+017</v>
      </c>
      <c r="R126" s="37" t="n">
        <f aca="false">M126*L_Kt^2*Q126</f>
        <v>2.05624382310311E-005</v>
      </c>
      <c r="S126" s="37" t="n">
        <f aca="false">L_kT4*D126</f>
        <v>1.28043144478273E-012</v>
      </c>
      <c r="T126" s="37" t="n">
        <f aca="false">L_kT4*L_Rsq*O126</f>
        <v>5.37983547900524E-012</v>
      </c>
      <c r="U126" s="37" t="n">
        <f aca="false">L_kT4*L_Rh*O126</f>
        <v>4.09320930636311E-012</v>
      </c>
      <c r="V126" s="37" t="n">
        <f aca="false">L_kT4*p_Rv*P126</f>
        <v>3.39285979224214E-010</v>
      </c>
      <c r="W126" s="37" t="n">
        <f aca="false">L_kT4/p_Rb*Q126/R126</f>
        <v>1.52109430833162E-010</v>
      </c>
      <c r="X126" s="37" t="n">
        <f aca="false">p_en^2*(1+p_fc/B126)/R126</f>
        <v>5.2117755218934E-012</v>
      </c>
      <c r="Y126" s="37" t="n">
        <f aca="false">p_in^2*Q126/R126</f>
        <v>2.30950050883827E-011</v>
      </c>
      <c r="Z126" s="37" t="n">
        <f aca="false">p_eo^2/L_G^2/R126</f>
        <v>3.08308416473554E-012</v>
      </c>
      <c r="AA126" s="37" t="n">
        <f aca="false">SUM(S126:Z126)</f>
        <v>5.33538751062539E-010</v>
      </c>
      <c r="AB126" s="47" t="n">
        <f aca="false">10*LOG10(AA126/L_PREF^2)</f>
        <v>1.25105976502729</v>
      </c>
      <c r="AC126" s="47" t="n">
        <f aca="false">10*LOG10(S126/L_PREF^2)</f>
        <v>-24.9470366033889</v>
      </c>
      <c r="AD126" s="47" t="n">
        <f aca="false">10*LOG10(T126/L_PREF^2)</f>
        <v>-18.7129099663791</v>
      </c>
      <c r="AE126" s="47" t="n">
        <f aca="false">10*LOG10(U126/L_PREF^2)</f>
        <v>-19.8999603845538</v>
      </c>
      <c r="AF126" s="47" t="n">
        <f aca="false">10*LOG10(V126/L_PREF^2)</f>
        <v>-0.714940782533397</v>
      </c>
      <c r="AG126" s="47" t="n">
        <f aca="false">10*LOG10(W126/L_PREF^2)</f>
        <v>-4.19903850043996</v>
      </c>
      <c r="AH126" s="47" t="n">
        <f aca="false">10*LOG10(X126/L_PREF^2)</f>
        <v>-18.850742895258</v>
      </c>
      <c r="AI126" s="47" t="n">
        <f aca="false">10*LOG10(Y126/L_PREF^2)</f>
        <v>-12.3854192905991</v>
      </c>
      <c r="AJ126" s="47" t="n">
        <f aca="false">10*LOG10(Z126/L_PREF^2)</f>
        <v>-21.1307461068796</v>
      </c>
      <c r="AK126" s="47" t="n">
        <f aca="false">10*LOG10(R126/$R$6)</f>
        <v>-0.156962939546368</v>
      </c>
      <c r="AL126" s="37" t="n">
        <f aca="false">(12194^2*B126^4/((B126^2+20.6^2)*SQRT((B126^2+107.7^2)*(B126^2+737.9^2))*(B126^2+12194^2))*1.2589254)^2</f>
        <v>0.0387353386559632</v>
      </c>
      <c r="AM126" s="37" t="n">
        <f aca="false">0.5*(B126-B125)*(S126*AL126+S125*AL125)</f>
        <v>1.62311559957512E-013</v>
      </c>
      <c r="AN126" s="37" t="n">
        <f aca="false">0.5*(B126-B125)*(T126*AL126+T125*AL125)</f>
        <v>6.82688903023847E-013</v>
      </c>
      <c r="AO126" s="37" t="n">
        <f aca="false">0.5*(B126-B125)*(U126*AL126+U125*AL125)</f>
        <v>5.19418964039535E-013</v>
      </c>
      <c r="AP126" s="37" t="n">
        <f aca="false">0.5*(B126-B125)*(V126*AL126+V125*AL125)</f>
        <v>4.39981259074815E-011</v>
      </c>
      <c r="AQ126" s="37" t="n">
        <f aca="false">0.5*(B126-B125)*(W126*AL126+W125*AL125)</f>
        <v>1.97409029751099E-011</v>
      </c>
      <c r="AR126" s="37" t="n">
        <f aca="false">0.5*(B126-B125)*(X126*AL126+X125*AL125)</f>
        <v>6.64286867164966E-013</v>
      </c>
      <c r="AS126" s="37" t="n">
        <f aca="false">0.5*(B126-B125)*(Y126*AL126+Y125*AL125)</f>
        <v>2.99729117492717E-012</v>
      </c>
      <c r="AT126" s="37" t="n">
        <f aca="false">0.5*(B126-B125)*(Z126*AL126+Z125*AL125)</f>
        <v>3.91186799622943E-013</v>
      </c>
      <c r="AU126" s="37" t="n">
        <f aca="false">0.5*(B126-B125)*(AA126*AL126+AA125*AL125)</f>
        <v>6.91562131513273E-011</v>
      </c>
      <c r="AV126" s="37" t="n">
        <f aca="false">0.5*(B126-B125)*(S126+S125)</f>
        <v>4.32057163632748E-012</v>
      </c>
      <c r="AW126" s="37" t="n">
        <f aca="false">0.5*(B126-B125)*(T126+T125)</f>
        <v>1.81731154487248E-011</v>
      </c>
      <c r="AX126" s="37" t="n">
        <f aca="false">0.5*(B126-B125)*(U126+U125)</f>
        <v>1.38268847756821E-011</v>
      </c>
      <c r="AY126" s="37" t="n">
        <f aca="false">0.5*(B126-B125)*(V126+V125)</f>
        <v>1.17203150397051E-009</v>
      </c>
      <c r="AZ126" s="37" t="n">
        <f aca="false">0.5*(B126-B125)*(W126+W125)</f>
        <v>5.25875407220155E-010</v>
      </c>
      <c r="BA126" s="37" t="n">
        <f aca="false">0.5*(B126-B125)*(X126+X125)</f>
        <v>1.76857514821007E-011</v>
      </c>
      <c r="BB126" s="37" t="n">
        <f aca="false">0.5*(B126-B125)*(Y126+Y125)</f>
        <v>7.98444589469661E-011</v>
      </c>
      <c r="BC126" s="37" t="n">
        <f aca="false">0.5*(B126-B125)*(Z126+Z125)</f>
        <v>1.04133140960883E-011</v>
      </c>
      <c r="BD126" s="37" t="n">
        <f aca="false">0.5*(B126-B125)*(AA126+AA125)</f>
        <v>1.84217100757656E-009</v>
      </c>
      <c r="BE126" s="37" t="n">
        <f aca="false">IF(B126&gt;2000,AK126,-999)</f>
        <v>-999</v>
      </c>
      <c r="BF126" s="37" t="n">
        <f aca="false">IF(AND(B126&lt;1000,AK126&gt;=-3),B126,1000000000)</f>
        <v>148.262048260184</v>
      </c>
    </row>
    <row r="127" customFormat="false" ht="15" hidden="false" customHeight="false" outlineLevel="0" collapsed="false">
      <c r="A127" s="5" t="n">
        <v>88</v>
      </c>
      <c r="B127" s="47" t="n">
        <f aca="false">20*10^(A127/100)</f>
        <v>151.715515005837</v>
      </c>
      <c r="C127" s="37" t="n">
        <f aca="false">2*PI()*B127</f>
        <v>953.256694755858</v>
      </c>
      <c r="D127" s="37" t="n">
        <f aca="false">SQRT(L_Rp0^2+L_Rp1^2*C127)</f>
        <v>77789725.4044444</v>
      </c>
      <c r="E127" s="5" t="str">
        <f aca="false">COMPLEX(D127,C127*L_Mp)</f>
        <v>77789725.4044444+14082193.445478i</v>
      </c>
      <c r="F127" s="5" t="str">
        <f aca="false">IMDIV(1,E127)</f>
        <v>1.24472531616777e-08-2.25331335181148e-09i</v>
      </c>
      <c r="G127" s="5" t="str">
        <f aca="false">COMPLEX(0,C127*L_Cf)</f>
        <v>1.00799058343646e-12i</v>
      </c>
      <c r="H127" s="5" t="str">
        <f aca="false">COMPLEX(0,C127*L_Cbv)</f>
        <v>1.00799058343646e-11i</v>
      </c>
      <c r="I127" s="5" t="str">
        <f aca="false">COMPLEX(L_Rsq+L_Rh,C127*(L_Md+L_Mh)-1/(C127*L_Cd))</f>
        <v>552400610.124532-1208462386282.49i</v>
      </c>
      <c r="J127" s="5" t="str">
        <f aca="false">IMDIV(1,I127)</f>
        <v>3.78257705659446e-16+8.27497655203356e-13i</v>
      </c>
      <c r="K127" s="5" t="str">
        <f aca="false">IMSUM(F127,G127,H127)</f>
        <v>1.24472531616777e-08-2.24222545539368e-09i</v>
      </c>
      <c r="L127" s="5" t="str">
        <f aca="false">IMSUM(IMPRODUCT(IMSUM(F127,G127),H127),IMPRODUCT(IMSUM(J127,L_Yv),K127))</f>
        <v>4.94576768509669e-20+1.31281913521375e-19i</v>
      </c>
      <c r="M127" s="37" t="n">
        <f aca="false">IMABS(IMDIV(IMPRODUCT(J127,F127,H127),L127))^2</f>
        <v>5.65653722470795E-025</v>
      </c>
      <c r="N127" s="5" t="str">
        <f aca="false">IMDIV(IMPRODUCT(L_Yv,K127,E127),H127)</f>
        <v>0.000171137395889718-0.198383571141916i</v>
      </c>
      <c r="O127" s="37" t="n">
        <f aca="false">IMABS(IMSUM(1,IMPRODUCT(E127,G127),N127))^2</f>
        <v>1.03963884640169</v>
      </c>
      <c r="P127" s="37" t="n">
        <f aca="false">IMABS(N127)^2</f>
        <v>0.0393560705870279</v>
      </c>
      <c r="Q127" s="37" t="n">
        <f aca="false">p_Rb^2/(1+(C127*p_Rb*L_Ctot)^2)</f>
        <v>1.81406426372081E+017</v>
      </c>
      <c r="R127" s="37" t="n">
        <f aca="false">M127*L_Kt^2*Q127</f>
        <v>2.05940016199884E-005</v>
      </c>
      <c r="S127" s="37" t="n">
        <f aca="false">L_kT4*D127</f>
        <v>1.2808560563914E-012</v>
      </c>
      <c r="T127" s="37" t="n">
        <f aca="false">L_kT4*L_Rsq*O127</f>
        <v>5.37024550320848E-012</v>
      </c>
      <c r="U127" s="37" t="n">
        <f aca="false">L_kT4*L_Rh*O127</f>
        <v>4.0859128419392E-012</v>
      </c>
      <c r="V127" s="37" t="n">
        <f aca="false">L_kT4*p_Rv*P127</f>
        <v>3.2401105097796E-010</v>
      </c>
      <c r="W127" s="37" t="n">
        <f aca="false">L_kT4/p_Rb*Q127/R127</f>
        <v>1.45040742086034E-010</v>
      </c>
      <c r="X127" s="37" t="n">
        <f aca="false">p_en^2*(1+p_fc/B127)/R127</f>
        <v>5.15607493838126E-012</v>
      </c>
      <c r="Y127" s="37" t="n">
        <f aca="false">p_in^2*Q127/R127</f>
        <v>2.20217553780332E-011</v>
      </c>
      <c r="Z127" s="37" t="n">
        <f aca="false">p_eo^2/L_G^2/R127</f>
        <v>3.07835887693207E-012</v>
      </c>
      <c r="AA127" s="37" t="n">
        <f aca="false">SUM(S127:Z127)</f>
        <v>5.1004499665888E-010</v>
      </c>
      <c r="AB127" s="47" t="n">
        <f aca="false">10*LOG10(AA127/L_PREF^2)</f>
        <v>1.05548500335919</v>
      </c>
      <c r="AC127" s="47" t="n">
        <f aca="false">10*LOG10(S127/L_PREF^2)</f>
        <v>-24.9455966519567</v>
      </c>
      <c r="AD127" s="47" t="n">
        <f aca="false">10*LOG10(T127/L_PREF^2)</f>
        <v>-18.7206585120539</v>
      </c>
      <c r="AE127" s="47" t="n">
        <f aca="false">10*LOG10(U127/L_PREF^2)</f>
        <v>-19.9077089302286</v>
      </c>
      <c r="AF127" s="47" t="n">
        <f aca="false">10*LOG10(V127/L_PREF^2)</f>
        <v>-0.915001684765935</v>
      </c>
      <c r="AG127" s="47" t="n">
        <f aca="false">10*LOG10(W127/L_PREF^2)</f>
        <v>-4.40569978211793</v>
      </c>
      <c r="AH127" s="47" t="n">
        <f aca="false">10*LOG10(X127/L_PREF^2)</f>
        <v>-18.8974077056573</v>
      </c>
      <c r="AI127" s="47" t="n">
        <f aca="false">10*LOG10(Y127/L_PREF^2)</f>
        <v>-12.5920805722771</v>
      </c>
      <c r="AJ127" s="47" t="n">
        <f aca="false">10*LOG10(Z127/L_PREF^2)</f>
        <v>-21.1374074256873</v>
      </c>
      <c r="AK127" s="47" t="n">
        <f aca="false">10*LOG10(R127/$R$6)</f>
        <v>-0.150301620738734</v>
      </c>
      <c r="AL127" s="37" t="n">
        <f aca="false">(12194^2*B127^4/((B127^2+20.6^2)*SQRT((B127^2+107.7^2)*(B127^2+737.9^2))*(B127^2+12194^2))*1.2589254)^2</f>
        <v>0.0411958208528916</v>
      </c>
      <c r="AM127" s="37" t="n">
        <f aca="false">0.5*(B127-B126)*(S127*AL127+S126*AL126)</f>
        <v>1.76755097164856E-013</v>
      </c>
      <c r="AN127" s="37" t="n">
        <f aca="false">0.5*(B127-B126)*(T127*AL127+T126*AL126)</f>
        <v>7.41841645112718E-013</v>
      </c>
      <c r="AO127" s="37" t="n">
        <f aca="false">0.5*(B127-B126)*(U127*AL127+U126*AL126)</f>
        <v>5.64424904343834E-013</v>
      </c>
      <c r="AP127" s="37" t="n">
        <f aca="false">0.5*(B127-B126)*(V127*AL127+V126*AL126)</f>
        <v>4.57416134359624E-011</v>
      </c>
      <c r="AQ127" s="37" t="n">
        <f aca="false">0.5*(B127-B126)*(W127*AL127+W126*AL126)</f>
        <v>2.04912878111843E-011</v>
      </c>
      <c r="AR127" s="37" t="n">
        <f aca="false">0.5*(B127-B126)*(X127*AL127+X126*AL126)</f>
        <v>7.15366002203611E-013</v>
      </c>
      <c r="AS127" s="37" t="n">
        <f aca="false">0.5*(B127-B126)*(Y127*AL127+Y126*AL126)</f>
        <v>3.11122324023344E-012</v>
      </c>
      <c r="AT127" s="37" t="n">
        <f aca="false">0.5*(B127-B126)*(Z127*AL127+Z126*AL126)</f>
        <v>4.25190532250728E-013</v>
      </c>
      <c r="AU127" s="37" t="n">
        <f aca="false">0.5*(B127-B126)*(AA127*AL127+AA126*AL126)</f>
        <v>7.19677026684558E-011</v>
      </c>
      <c r="AV127" s="37" t="n">
        <f aca="false">0.5*(B127-B126)*(S127+S126)</f>
        <v>4.42266060568108E-012</v>
      </c>
      <c r="AW127" s="37" t="n">
        <f aca="false">0.5*(B127-B126)*(T127+T126)</f>
        <v>1.85625235925773E-011</v>
      </c>
      <c r="AX127" s="37" t="n">
        <f aca="false">0.5*(B127-B126)*(U127+U126)</f>
        <v>1.4123163173899E-011</v>
      </c>
      <c r="AY127" s="37" t="n">
        <f aca="false">0.5*(B127-B126)*(V127+V126)</f>
        <v>1.14533711814689E-009</v>
      </c>
      <c r="AZ127" s="37" t="n">
        <f aca="false">0.5*(B127-B126)*(W127+W126)</f>
        <v>5.13099120320779E-010</v>
      </c>
      <c r="BA127" s="37" t="n">
        <f aca="false">0.5*(B127-B126)*(X127+X126)</f>
        <v>1.79025133942322E-011</v>
      </c>
      <c r="BB127" s="37" t="n">
        <f aca="false">0.5*(B127-B126)*(Y127+Y126)</f>
        <v>7.79046159711853E-011</v>
      </c>
      <c r="BC127" s="37" t="n">
        <f aca="false">0.5*(B127-B126)*(Z127+Z126)</f>
        <v>1.06391693248179E-011</v>
      </c>
      <c r="BD127" s="37" t="n">
        <f aca="false">0.5*(B127-B126)*(AA127+AA126)</f>
        <v>1.80199088453006E-009</v>
      </c>
      <c r="BE127" s="37" t="n">
        <f aca="false">IF(B127&gt;2000,AK127,-999)</f>
        <v>-999</v>
      </c>
      <c r="BF127" s="37" t="n">
        <f aca="false">IF(AND(B127&lt;1000,AK127&gt;=-3),B127,1000000000)</f>
        <v>151.715515005837</v>
      </c>
    </row>
    <row r="128" customFormat="false" ht="15" hidden="false" customHeight="false" outlineLevel="0" collapsed="false">
      <c r="A128" s="5" t="n">
        <v>89</v>
      </c>
      <c r="B128" s="47" t="n">
        <f aca="false">20*10^(A128/100)</f>
        <v>155.249423325738</v>
      </c>
      <c r="C128" s="37" t="n">
        <f aca="false">2*PI()*B128</f>
        <v>975.460895588383</v>
      </c>
      <c r="D128" s="37" t="n">
        <f aca="false">SQRT(L_Rp0^2+L_Rp1^2*C128)</f>
        <v>77816105.0012058</v>
      </c>
      <c r="E128" s="5" t="str">
        <f aca="false">COMPLEX(D128,C128*L_Mp)</f>
        <v>77816105.0012058+14410209.8686996i</v>
      </c>
      <c r="F128" s="5" t="str">
        <f aca="false">IMDIV(1,E128)</f>
        <v>1.24247326683724e-08-2.30084768841823e-09i</v>
      </c>
      <c r="G128" s="5" t="str">
        <f aca="false">COMPLEX(0,C128*L_Cf)</f>
        <v>1.03146970031552e-12i</v>
      </c>
      <c r="H128" s="5" t="str">
        <f aca="false">COMPLEX(0,C128*L_Cbv)</f>
        <v>1.03146970031552e-11i</v>
      </c>
      <c r="I128" s="5" t="str">
        <f aca="false">COMPLEX(L_Rsq+L_Rh,C128*(L_Md+L_Mh)-1/(C128*L_Cd))</f>
        <v>552400610.124532-1180954258574.34i</v>
      </c>
      <c r="J128" s="5" t="str">
        <f aca="false">IMDIV(1,I128)</f>
        <v>3.960845491814e-16+8.46772661974108e-13i</v>
      </c>
      <c r="K128" s="5" t="str">
        <f aca="false">IMSUM(F128,G128,H128)</f>
        <v>1.24247326683724e-08-2.28950152171476e-09i</v>
      </c>
      <c r="L128" s="5" t="str">
        <f aca="false">IMSUM(IMPRODUCT(IMSUM(F128,G128),H128),IMPRODUCT(IMSUM(J128,L_Yv),K128))</f>
        <v>5.0514981338536e-20+1.34098366895772e-19i</v>
      </c>
      <c r="M128" s="37" t="n">
        <f aca="false">IMABS(IMDIV(IMPRODUCT(J128,F128,H128),L128))^2</f>
        <v>5.93181838711109E-025</v>
      </c>
      <c r="N128" s="5" t="str">
        <f aca="false">IMDIV(IMPRODUCT(L_Yv,K128,E128),H128)</f>
        <v>0.000171195431002569-0.193866382900196i</v>
      </c>
      <c r="O128" s="37" t="n">
        <f aca="false">IMABS(IMSUM(1,IMPRODUCT(E128,G128),N128))^2</f>
        <v>1.03786574742037</v>
      </c>
      <c r="P128" s="37" t="n">
        <f aca="false">IMABS(N128)^2</f>
        <v>0.037584203726681</v>
      </c>
      <c r="Q128" s="37" t="n">
        <f aca="false">p_Rb^2/(1+(C128*p_Rb*L_Ctot)^2)</f>
        <v>1.73241793656437E+017</v>
      </c>
      <c r="R128" s="37" t="n">
        <f aca="false">M128*L_Kt^2*Q128</f>
        <v>2.06242394621808E-005</v>
      </c>
      <c r="S128" s="37" t="n">
        <f aca="false">L_kT4*D128</f>
        <v>1.28129041280674E-012</v>
      </c>
      <c r="T128" s="37" t="n">
        <f aca="false">L_kT4*L_Rsq*O128</f>
        <v>5.36108657569811E-012</v>
      </c>
      <c r="U128" s="37" t="n">
        <f aca="false">L_kT4*L_Rh*O128</f>
        <v>4.07894433751781E-012</v>
      </c>
      <c r="V128" s="37" t="n">
        <f aca="false">L_kT4*p_Rv*P128</f>
        <v>3.09423607794462E-010</v>
      </c>
      <c r="W128" s="37" t="n">
        <f aca="false">L_kT4/p_Rb*Q128/R128</f>
        <v>1.38309756497532E-010</v>
      </c>
      <c r="X128" s="37" t="n">
        <f aca="false">p_en^2*(1+p_fc/B128)/R128</f>
        <v>5.101957133844E-012</v>
      </c>
      <c r="Y128" s="37" t="n">
        <f aca="false">p_in^2*Q128/R128</f>
        <v>2.09997796493435E-011</v>
      </c>
      <c r="Z128" s="37" t="n">
        <f aca="false">p_eo^2/L_G^2/R128</f>
        <v>3.07384559875262E-012</v>
      </c>
      <c r="AA128" s="37" t="n">
        <f aca="false">SUM(S128:Z128)</f>
        <v>4.87630267999957E-010</v>
      </c>
      <c r="AB128" s="47" t="n">
        <f aca="false">10*LOG10(AA128/L_PREF^2)</f>
        <v>0.860306638164506</v>
      </c>
      <c r="AC128" s="47" t="n">
        <f aca="false">10*LOG10(S128/L_PREF^2)</f>
        <v>-24.9441241475668</v>
      </c>
      <c r="AD128" s="47" t="n">
        <f aca="false">10*LOG10(T128/L_PREF^2)</f>
        <v>-18.7280717066405</v>
      </c>
      <c r="AE128" s="47" t="n">
        <f aca="false">10*LOG10(U128/L_PREF^2)</f>
        <v>-19.9151221248152</v>
      </c>
      <c r="AF128" s="47" t="n">
        <f aca="false">10*LOG10(V128/L_PREF^2)</f>
        <v>-1.11506545753452</v>
      </c>
      <c r="AG128" s="47" t="n">
        <f aca="false">10*LOG10(W128/L_PREF^2)</f>
        <v>-4.61207174605568</v>
      </c>
      <c r="AH128" s="47" t="n">
        <f aca="false">10*LOG10(X128/L_PREF^2)</f>
        <v>-18.9432318593957</v>
      </c>
      <c r="AI128" s="47" t="n">
        <f aca="false">10*LOG10(Y128/L_PREF^2)</f>
        <v>-12.7984525362148</v>
      </c>
      <c r="AJ128" s="47" t="n">
        <f aca="false">10*LOG10(Z128/L_PREF^2)</f>
        <v>-21.1437794250836</v>
      </c>
      <c r="AK128" s="47" t="n">
        <f aca="false">10*LOG10(R128/$R$6)</f>
        <v>-0.143929621342424</v>
      </c>
      <c r="AL128" s="37" t="n">
        <f aca="false">(12194^2*B128^4/((B128^2+20.6^2)*SQRT((B128^2+107.7^2)*(B128^2+737.9^2))*(B128^2+12194^2))*1.2589254)^2</f>
        <v>0.0437849533926034</v>
      </c>
      <c r="AM128" s="37" t="n">
        <f aca="false">0.5*(B128-B127)*(S128*AL128+S127*AL127)</f>
        <v>1.92363277082099E-013</v>
      </c>
      <c r="AN128" s="37" t="n">
        <f aca="false">0.5*(B128-B127)*(T128*AL128+T127*AL127)</f>
        <v>8.05672076316396E-013</v>
      </c>
      <c r="AO128" s="37" t="n">
        <f aca="false">0.5*(B128-B127)*(U128*AL128+U127*AL127)</f>
        <v>6.12989830920432E-013</v>
      </c>
      <c r="AP128" s="37" t="n">
        <f aca="false">0.5*(B128-B127)*(V128*AL128+V127*AL127)</f>
        <v>4.75239981253382E-011</v>
      </c>
      <c r="AQ128" s="37" t="n">
        <f aca="false">0.5*(B128-B127)*(W128*AL128+W127*AL127)</f>
        <v>2.12581524689749E-011</v>
      </c>
      <c r="AR128" s="37" t="n">
        <f aca="false">0.5*(B128-B127)*(X128*AL128+X127*AL127)</f>
        <v>7.70034549692127E-013</v>
      </c>
      <c r="AS128" s="37" t="n">
        <f aca="false">0.5*(B128-B127)*(Y128*AL128+Y127*AL127)</f>
        <v>3.22765746181172E-012</v>
      </c>
      <c r="AT128" s="37" t="n">
        <f aca="false">0.5*(B128-B127)*(Z128*AL128+Z127*AL127)</f>
        <v>4.61888367673555E-013</v>
      </c>
      <c r="AU128" s="37" t="n">
        <f aca="false">0.5*(B128-B127)*(AA128*AL128+AA127*AL127)</f>
        <v>7.48527561578095E-011</v>
      </c>
      <c r="AV128" s="37" t="n">
        <f aca="false">0.5*(B128-B127)*(S128+S127)</f>
        <v>4.52719536215289E-012</v>
      </c>
      <c r="AW128" s="37" t="n">
        <f aca="false">0.5*(B128-B127)*(T128+T127)</f>
        <v>1.89617718586375E-011</v>
      </c>
      <c r="AX128" s="37" t="n">
        <f aca="false">0.5*(B128-B127)*(U128+U127)</f>
        <v>1.44269283586457E-011</v>
      </c>
      <c r="AY128" s="37" t="n">
        <f aca="false">0.5*(B128-B127)*(V128+V127)</f>
        <v>1.11925000537495E-009</v>
      </c>
      <c r="AZ128" s="37" t="n">
        <f aca="false">0.5*(B128-B127)*(W128+W127)</f>
        <v>5.00667342196364E-010</v>
      </c>
      <c r="BA128" s="37" t="n">
        <f aca="false">0.5*(B128-B127)*(X128+X127)</f>
        <v>1.81254724429272E-011</v>
      </c>
      <c r="BB128" s="37" t="n">
        <f aca="false">0.5*(B128-B127)*(Y128+Y127)</f>
        <v>7.60170802840923E-011</v>
      </c>
      <c r="BC128" s="37" t="n">
        <f aca="false">0.5*(B128-B127)*(Z128+Z127)</f>
        <v>1.0870663291179E-011</v>
      </c>
      <c r="BD128" s="37" t="n">
        <f aca="false">0.5*(B128-B127)*(AA128+AA127)</f>
        <v>1.76284645916895E-009</v>
      </c>
      <c r="BE128" s="37" t="n">
        <f aca="false">IF(B128&gt;2000,AK128,-999)</f>
        <v>-999</v>
      </c>
      <c r="BF128" s="37" t="n">
        <f aca="false">IF(AND(B128&lt;1000,AK128&gt;=-3),B128,1000000000)</f>
        <v>155.249423325738</v>
      </c>
    </row>
    <row r="129" customFormat="false" ht="15" hidden="false" customHeight="false" outlineLevel="0" collapsed="false">
      <c r="A129" s="5" t="n">
        <v>90</v>
      </c>
      <c r="B129" s="47" t="n">
        <f aca="false">20*10^(A129/100)</f>
        <v>158.865646944856</v>
      </c>
      <c r="C129" s="37" t="n">
        <f aca="false">2*PI()*B129</f>
        <v>998.182298699501</v>
      </c>
      <c r="D129" s="37" t="n">
        <f aca="false">SQRT(L_Rp0^2+L_Rp1^2*C129)</f>
        <v>77843089.8033806</v>
      </c>
      <c r="E129" s="5" t="str">
        <f aca="false">COMPLEX(D129,C129*L_Mp)</f>
        <v>77843089.8033806+14745866.7759353i</v>
      </c>
      <c r="F129" s="5" t="str">
        <f aca="false">IMDIV(1,E129)</f>
        <v>1.24013459181793e-08-2.34919496661371e-09i</v>
      </c>
      <c r="G129" s="5" t="str">
        <f aca="false">COMPLEX(0,C129*L_Cf)</f>
        <v>1.0554957160828e-12i</v>
      </c>
      <c r="H129" s="5" t="str">
        <f aca="false">COMPLEX(0,C129*L_Cbv)</f>
        <v>1.0554957160828e-11i</v>
      </c>
      <c r="I129" s="5" t="str">
        <f aca="false">COMPLEX(L_Rsq+L_Rh,C129*(L_Md+L_Mh)-1/(C129*L_Cd))</f>
        <v>552400610.124532-1154072288445.87i</v>
      </c>
      <c r="J129" s="5" t="str">
        <f aca="false">IMDIV(1,I129)</f>
        <v>4.1475155628437e-16+8.66496649215653e-13i</v>
      </c>
      <c r="K129" s="5" t="str">
        <f aca="false">IMSUM(F129,G129,H129)</f>
        <v>1.24013459181793e-08-2.3375845137368e-09i</v>
      </c>
      <c r="L129" s="5" t="str">
        <f aca="false">IMSUM(IMPRODUCT(IMSUM(F129,G129),H129),IMPRODUCT(IMSUM(J129,L_Yv),K129))</f>
        <v>5.16178559852633e-20+1.3696526104257e-19i</v>
      </c>
      <c r="M129" s="37" t="n">
        <f aca="false">IMABS(IMDIV(IMPRODUCT(J129,F129,H129),L129))^2</f>
        <v>6.22009955849349E-025</v>
      </c>
      <c r="N129" s="5" t="str">
        <f aca="false">IMDIV(IMPRODUCT(L_Yv,K129,E129),H129)</f>
        <v>0.000171254797567472-0.189451985180817i</v>
      </c>
      <c r="O129" s="37" t="n">
        <f aca="false">IMABS(IMSUM(1,IMPRODUCT(E129,G129),N129))^2</f>
        <v>1.03617233497097</v>
      </c>
      <c r="P129" s="37" t="n">
        <f aca="false">IMABS(N129)^2</f>
        <v>0.0358920840171582</v>
      </c>
      <c r="Q129" s="37" t="n">
        <f aca="false">p_Rb^2/(1+(C129*p_Rb*L_Ctot)^2)</f>
        <v>1.65444629820951E+017</v>
      </c>
      <c r="R129" s="37" t="n">
        <f aca="false">M129*L_Kt^2*Q129</f>
        <v>2.06532040611191E-005</v>
      </c>
      <c r="S129" s="37" t="n">
        <f aca="false">L_kT4*D129</f>
        <v>1.28173473430442E-012</v>
      </c>
      <c r="T129" s="37" t="n">
        <f aca="false">L_kT4*L_Rsq*O129</f>
        <v>5.35233926828172E-012</v>
      </c>
      <c r="U129" s="37" t="n">
        <f aca="false">L_kT4*L_Rh*O129</f>
        <v>4.07228901129787E-012</v>
      </c>
      <c r="V129" s="37" t="n">
        <f aca="false">L_kT4*p_Rv*P129</f>
        <v>2.95492707750703E-010</v>
      </c>
      <c r="W129" s="37" t="n">
        <f aca="false">L_kT4/p_Rb*Q129/R129</f>
        <v>1.31899553856598E-010</v>
      </c>
      <c r="X129" s="37" t="n">
        <f aca="false">p_en^2*(1+p_fc/B129)/R129</f>
        <v>5.0493672976261E-012</v>
      </c>
      <c r="Y129" s="37" t="n">
        <f aca="false">p_in^2*Q129/R129</f>
        <v>2.00265088810616E-011</v>
      </c>
      <c r="Z129" s="37" t="n">
        <f aca="false">p_eo^2/L_G^2/R129</f>
        <v>3.06953475648802E-012</v>
      </c>
      <c r="AA129" s="37" t="n">
        <f aca="false">SUM(S129:Z129)</f>
        <v>4.66244035556361E-010</v>
      </c>
      <c r="AB129" s="47" t="n">
        <f aca="false">10*LOG10(AA129/L_PREF^2)</f>
        <v>0.665532977964956</v>
      </c>
      <c r="AC129" s="47" t="n">
        <f aca="false">10*LOG10(S129/L_PREF^2)</f>
        <v>-24.9426183771159</v>
      </c>
      <c r="AD129" s="47" t="n">
        <f aca="false">10*LOG10(T129/L_PREF^2)</f>
        <v>-18.7351635710767</v>
      </c>
      <c r="AE129" s="47" t="n">
        <f aca="false">10*LOG10(U129/L_PREF^2)</f>
        <v>-19.9222139892514</v>
      </c>
      <c r="AF129" s="47" t="n">
        <f aca="false">10*LOG10(V129/L_PREF^2)</f>
        <v>-1.31513223615622</v>
      </c>
      <c r="AG129" s="47" t="n">
        <f aca="false">10*LOG10(W129/L_PREF^2)</f>
        <v>-4.81816664757679</v>
      </c>
      <c r="AH129" s="47" t="n">
        <f aca="false">10*LOG10(X129/L_PREF^2)</f>
        <v>-18.9882302833095</v>
      </c>
      <c r="AI129" s="47" t="n">
        <f aca="false">10*LOG10(Y129/L_PREF^2)</f>
        <v>-13.004547437736</v>
      </c>
      <c r="AJ129" s="47" t="n">
        <f aca="false">10*LOG10(Z129/L_PREF^2)</f>
        <v>-21.1498743604673</v>
      </c>
      <c r="AK129" s="47" t="n">
        <f aca="false">10*LOG10(R129/$R$6)</f>
        <v>-0.137834685958661</v>
      </c>
      <c r="AL129" s="37" t="n">
        <f aca="false">(12194^2*B129^4/((B129^2+20.6^2)*SQRT((B129^2+107.7^2)*(B129^2+737.9^2))*(B129^2+12194^2))*1.2589254)^2</f>
        <v>0.046507779069277</v>
      </c>
      <c r="AM129" s="37" t="n">
        <f aca="false">0.5*(B129-B128)*(S129*AL129+S128*AL128)</f>
        <v>2.0922001104881E-013</v>
      </c>
      <c r="AN129" s="37" t="n">
        <f aca="false">0.5*(B129-B128)*(T129*AL129+T128*AL128)</f>
        <v>8.7451196903213E-013</v>
      </c>
      <c r="AO129" s="37" t="n">
        <f aca="false">0.5*(B129-B128)*(U129*AL129+U128*AL128)</f>
        <v>6.65366170422394E-013</v>
      </c>
      <c r="AP129" s="37" t="n">
        <f aca="false">0.5*(B129-B128)*(V129*AL129+V128*AL128)</f>
        <v>4.93448319018089E-011</v>
      </c>
      <c r="AQ129" s="37" t="n">
        <f aca="false">0.5*(B129-B128)*(W129*AL129+W128*AL128)</f>
        <v>2.20413197117026E-011</v>
      </c>
      <c r="AR129" s="37" t="n">
        <f aca="false">0.5*(B129-B128)*(X129*AL129+X128*AL128)</f>
        <v>8.28519889576118E-013</v>
      </c>
      <c r="AS129" s="37" t="n">
        <f aca="false">0.5*(B129-B128)*(Y129*AL129+Y128*AL128)</f>
        <v>3.34656692953361E-012</v>
      </c>
      <c r="AT129" s="37" t="n">
        <f aca="false">0.5*(B129-B128)*(Z129*AL129+Z128*AL128)</f>
        <v>5.01471548354677E-013</v>
      </c>
      <c r="AU129" s="37" t="n">
        <f aca="false">0.5*(B129-B128)*(AA129*AL129+AA128*AL128)</f>
        <v>7.78118081314793E-011</v>
      </c>
      <c r="AV129" s="37" t="n">
        <f aca="false">0.5*(B129-B128)*(S129+S128)</f>
        <v>4.63423603668832E-012</v>
      </c>
      <c r="AW129" s="37" t="n">
        <f aca="false">0.5*(B129-B128)*(T129+T128)</f>
        <v>1.93710717893343E-011</v>
      </c>
      <c r="AX129" s="37" t="n">
        <f aca="false">0.5*(B129-B128)*(U129+U128)</f>
        <v>1.47383412804646E-011</v>
      </c>
      <c r="AY129" s="37" t="n">
        <f aca="false">0.5*(B129-B128)*(V129+V128)</f>
        <v>1.09375633393212E-009</v>
      </c>
      <c r="AZ129" s="37" t="n">
        <f aca="false">0.5*(B129-B128)*(W129+W128)</f>
        <v>4.8856864510409E-010</v>
      </c>
      <c r="BA129" s="37" t="n">
        <f aca="false">0.5*(B129-B128)*(X129+X128)</f>
        <v>1.83547295872057E-011</v>
      </c>
      <c r="BB129" s="37" t="n">
        <f aca="false">0.5*(B129-B128)*(Y129+Y128)</f>
        <v>7.41801167941996E-011</v>
      </c>
      <c r="BC129" s="37" t="n">
        <f aca="false">0.5*(B129-B128)*(Z129+Z128)</f>
        <v>1.11079185709232E-011</v>
      </c>
      <c r="BD129" s="37" t="n">
        <f aca="false">0.5*(B129-B128)*(AA129+AA128)</f>
        <v>1.72471139309503E-009</v>
      </c>
      <c r="BE129" s="37" t="n">
        <f aca="false">IF(B129&gt;2000,AK129,-999)</f>
        <v>-999</v>
      </c>
      <c r="BF129" s="37" t="n">
        <f aca="false">IF(AND(B129&lt;1000,AK129&gt;=-3),B129,1000000000)</f>
        <v>158.865646944856</v>
      </c>
    </row>
    <row r="130" customFormat="false" ht="15" hidden="false" customHeight="false" outlineLevel="0" collapsed="false">
      <c r="A130" s="5" t="n">
        <v>91</v>
      </c>
      <c r="B130" s="47" t="n">
        <f aca="false">20*10^(A130/100)</f>
        <v>162.56610323282</v>
      </c>
      <c r="C130" s="37" t="n">
        <f aca="false">2*PI()*B130</f>
        <v>1021.43295127789</v>
      </c>
      <c r="D130" s="37" t="n">
        <f aca="false">SQRT(L_Rp0^2+L_Rp1^2*C130)</f>
        <v>77870693.4819467</v>
      </c>
      <c r="E130" s="5" t="str">
        <f aca="false">COMPLEX(D130,C130*L_Mp)</f>
        <v>77870693.4819466+15089342.1369201i</v>
      </c>
      <c r="F130" s="5" t="str">
        <f aca="false">IMDIV(1,E130)</f>
        <v>1.23770616210342e-08-2.39835693119679e-09i</v>
      </c>
      <c r="G130" s="5" t="str">
        <f aca="false">COMPLEX(0,C130*L_Cf)</f>
        <v>1.08008136964988e-12i</v>
      </c>
      <c r="H130" s="5" t="str">
        <f aca="false">COMPLEX(0,C130*L_Cbv)</f>
        <v>1.08008136964988e-11i</v>
      </c>
      <c r="I130" s="5" t="str">
        <f aca="false">COMPLEX(L_Rsq+L_Rh,C130*(L_Md+L_Mh)-1/(C130*L_Cd))</f>
        <v>552400610.124532-1127802222720.68i</v>
      </c>
      <c r="J130" s="5" t="str">
        <f aca="false">IMDIV(1,I130)</f>
        <v>4.34298323654645e-16+8.86680075590708e-13i</v>
      </c>
      <c r="K130" s="5" t="str">
        <f aca="false">IMSUM(F130,G130,H130)</f>
        <v>1.23770616210342e-08-2.38647603613064e-09i</v>
      </c>
      <c r="L130" s="5" t="str">
        <f aca="false">IMSUM(IMPRODUCT(IMSUM(F130,G130),H130),IMPRODUCT(IMSUM(J130,L_Yv),K130))</f>
        <v>5.27680799652064e-20+1.39882842097802e-19i</v>
      </c>
      <c r="M130" s="37" t="n">
        <f aca="false">IMABS(IMDIV(IMPRODUCT(J130,F130,H130),L130))^2</f>
        <v>6.52199253478328E-025</v>
      </c>
      <c r="N130" s="5" t="str">
        <f aca="false">IMDIV(IMPRODUCT(L_Yv,K130,E130),H130)</f>
        <v>0.000171315525660414-0.185138037411674i</v>
      </c>
      <c r="O130" s="37" t="n">
        <f aca="false">IMABS(IMSUM(1,IMPRODUCT(E130,G130),N130))^2</f>
        <v>1.03455501692449</v>
      </c>
      <c r="P130" s="37" t="n">
        <f aca="false">IMABS(N130)^2</f>
        <v>0.0342761222456557</v>
      </c>
      <c r="Q130" s="37" t="n">
        <f aca="false">p_Rb^2/(1+(C130*p_Rb*L_Ctot)^2)</f>
        <v>1.57998396052563E+017</v>
      </c>
      <c r="R130" s="37" t="n">
        <f aca="false">M130*L_Kt^2*Q130</f>
        <v>2.06809459991984E-005</v>
      </c>
      <c r="S130" s="37" t="n">
        <f aca="false">L_kT4*D130</f>
        <v>1.28218924598557E-012</v>
      </c>
      <c r="T130" s="37" t="n">
        <f aca="false">L_kT4*L_Rsq*O130</f>
        <v>5.34398502584802E-012</v>
      </c>
      <c r="U130" s="37" t="n">
        <f aca="false">L_kT4*L_Rh*O130</f>
        <v>4.06593274575579E-012</v>
      </c>
      <c r="V130" s="37" t="n">
        <f aca="false">L_kT4*p_Rv*P130</f>
        <v>2.82188801539668E-010</v>
      </c>
      <c r="W130" s="37" t="n">
        <f aca="false">L_kT4/p_Rb*Q130/R130</f>
        <v>1.25794126922621E-010</v>
      </c>
      <c r="X130" s="37" t="n">
        <f aca="false">p_en^2*(1+p_fc/B130)/R130</f>
        <v>4.99825301366788E-012</v>
      </c>
      <c r="Y130" s="37" t="n">
        <f aca="false">p_in^2*Q130/R130</f>
        <v>1.90995126696195E-011</v>
      </c>
      <c r="Z130" s="37" t="n">
        <f aca="false">p_eo^2/L_G^2/R130</f>
        <v>3.06541720581359E-012</v>
      </c>
      <c r="AA130" s="37" t="n">
        <f aca="false">SUM(S130:Z130)</f>
        <v>4.45838218368979E-010</v>
      </c>
      <c r="AB130" s="47" t="n">
        <f aca="false">10*LOG10(AA130/L_PREF^2)</f>
        <v>0.471173032229912</v>
      </c>
      <c r="AC130" s="47" t="n">
        <f aca="false">10*LOG10(S130/L_PREF^2)</f>
        <v>-24.9410786129211</v>
      </c>
      <c r="AD130" s="47" t="n">
        <f aca="false">10*LOG10(T130/L_PREF^2)</f>
        <v>-18.7419475877677</v>
      </c>
      <c r="AE130" s="47" t="n">
        <f aca="false">10*LOG10(U130/L_PREF^2)</f>
        <v>-19.9289980059424</v>
      </c>
      <c r="AF130" s="47" t="n">
        <f aca="false">10*LOG10(V130/L_PREF^2)</f>
        <v>-1.51520216232907</v>
      </c>
      <c r="AG130" s="47" t="n">
        <f aca="false">10*LOG10(W130/L_PREF^2)</f>
        <v>-5.02399626090245</v>
      </c>
      <c r="AH130" s="47" t="n">
        <f aca="false">10*LOG10(X130/L_PREF^2)</f>
        <v>-19.0324175481192</v>
      </c>
      <c r="AI130" s="47" t="n">
        <f aca="false">10*LOG10(Y130/L_PREF^2)</f>
        <v>-13.2103770510616</v>
      </c>
      <c r="AJ130" s="47" t="n">
        <f aca="false">10*LOG10(Z130/L_PREF^2)</f>
        <v>-21.1557040061316</v>
      </c>
      <c r="AK130" s="47" t="n">
        <f aca="false">10*LOG10(R130/$R$6)</f>
        <v>-0.132005040294415</v>
      </c>
      <c r="AL130" s="37" t="n">
        <f aca="false">(12194^2*B130^4/((B130^2+20.6^2)*SQRT((B130^2+107.7^2)*(B130^2+737.9^2))*(B130^2+12194^2))*1.2589254)^2</f>
        <v>0.0493694573545972</v>
      </c>
      <c r="AM130" s="37" t="n">
        <f aca="false">0.5*(B130-B129)*(S130*AL130+S129*AL129)</f>
        <v>2.27414544372126E-013</v>
      </c>
      <c r="AN130" s="37" t="n">
        <f aca="false">0.5*(B130-B129)*(T130*AL130+T129*AL129)</f>
        <v>9.48713830085479E-013</v>
      </c>
      <c r="AO130" s="37" t="n">
        <f aca="false">0.5*(B130-B129)*(U130*AL130+U129*AL129)</f>
        <v>7.21822125144115E-013</v>
      </c>
      <c r="AP130" s="37" t="n">
        <f aca="false">0.5*(B130-B129)*(V130*AL130+V129*AL129)</f>
        <v>5.12036162147774E-011</v>
      </c>
      <c r="AQ130" s="37" t="n">
        <f aca="false">0.5*(B130-B129)*(W130*AL130+W129*AL129)</f>
        <v>2.28405911039721E-011</v>
      </c>
      <c r="AR130" s="37" t="n">
        <f aca="false">0.5*(B130-B129)*(X130*AL130+X129*AL129)</f>
        <v>8.91062283993988E-013</v>
      </c>
      <c r="AS130" s="37" t="n">
        <f aca="false">0.5*(B130-B129)*(Y130*AL130+Y129*AL129)</f>
        <v>3.46792151465272E-012</v>
      </c>
      <c r="AT130" s="37" t="n">
        <f aca="false">0.5*(B130-B129)*(Z130*AL130+Z129*AL129)</f>
        <v>5.44143268442258E-013</v>
      </c>
      <c r="AU130" s="37" t="n">
        <f aca="false">0.5*(B130-B129)*(AA130*AL130+AA129*AL129)</f>
        <v>8.08452848854402E-011</v>
      </c>
      <c r="AV130" s="37" t="n">
        <f aca="false">0.5*(B130-B129)*(S130+S129)</f>
        <v>4.74384430736233E-012</v>
      </c>
      <c r="AW130" s="37" t="n">
        <f aca="false">0.5*(B130-B129)*(T130+T129)</f>
        <v>1.97906402461549E-011</v>
      </c>
      <c r="AX130" s="37" t="n">
        <f aca="false">0.5*(B130-B129)*(U130+U129)</f>
        <v>1.50575669368655E-011</v>
      </c>
      <c r="AY130" s="37" t="n">
        <f aca="false">0.5*(B130-B129)*(V130+V129)</f>
        <v>1.06884258674692E-009</v>
      </c>
      <c r="AZ130" s="37" t="n">
        <f aca="false">0.5*(B130-B129)*(W130+W129)</f>
        <v>4.76792100703969E-010</v>
      </c>
      <c r="BA130" s="37" t="n">
        <f aca="false">0.5*(B130-B129)*(X130+X129)</f>
        <v>1.85903898799991E-011</v>
      </c>
      <c r="BB130" s="37" t="n">
        <f aca="false">0.5*(B130-B129)*(Y130+Y129)</f>
        <v>7.23920662351078E-011</v>
      </c>
      <c r="BC130" s="37" t="n">
        <f aca="false">0.5*(B130-B129)*(Z130+Z129)</f>
        <v>1.13510607826267E-011</v>
      </c>
      <c r="BD130" s="37" t="n">
        <f aca="false">0.5*(B130-B129)*(AA130+AA129)</f>
        <v>1.687560255839E-009</v>
      </c>
      <c r="BE130" s="37" t="n">
        <f aca="false">IF(B130&gt;2000,AK130,-999)</f>
        <v>-999</v>
      </c>
      <c r="BF130" s="37" t="n">
        <f aca="false">IF(AND(B130&lt;1000,AK130&gt;=-3),B130,1000000000)</f>
        <v>162.56610323282</v>
      </c>
    </row>
    <row r="131" customFormat="false" ht="15" hidden="false" customHeight="false" outlineLevel="0" collapsed="false">
      <c r="A131" s="5" t="n">
        <v>92</v>
      </c>
      <c r="B131" s="47" t="n">
        <f aca="false">20*10^(A131/100)</f>
        <v>166.352754220534</v>
      </c>
      <c r="C131" s="37" t="n">
        <f aca="false">2*PI()*B131</f>
        <v>1045.22518112732</v>
      </c>
      <c r="D131" s="37" t="n">
        <f aca="false">SQRT(L_Rp0^2+L_Rp1^2*C131)</f>
        <v>77898930.0069416</v>
      </c>
      <c r="E131" s="5" t="str">
        <f aca="false">COMPLEX(D131,C131*L_Mp)</f>
        <v>77898930.0069416+15440818.0668371i</v>
      </c>
      <c r="F131" s="5" t="str">
        <f aca="false">IMDIV(1,E131)</f>
        <v>1.23518476248567e-08-2.44833442446142e-09i</v>
      </c>
      <c r="G131" s="5" t="str">
        <f aca="false">COMPLEX(0,C131*L_Cf)</f>
        <v>1.10523969665572e-12i</v>
      </c>
      <c r="H131" s="5" t="str">
        <f aca="false">COMPLEX(0,C131*L_Cbv)</f>
        <v>1.10523969665572e-11i</v>
      </c>
      <c r="I131" s="5" t="str">
        <f aca="false">COMPLEX(L_Rsq+L_Rh,C131*(L_Md+L_Mh)-1/(C131*L_Cd))</f>
        <v>552400610.124532-1102130132662.2i</v>
      </c>
      <c r="J131" s="5" t="str">
        <f aca="false">IMDIV(1,I131)</f>
        <v>4.54766314208979e-16+9.0733364341587e-13i</v>
      </c>
      <c r="K131" s="5" t="str">
        <f aca="false">IMSUM(F131,G131,H131)</f>
        <v>1.23518476248567e-08-2.43617678779821e-09i</v>
      </c>
      <c r="L131" s="5" t="str">
        <f aca="false">IMSUM(IMPRODUCT(IMSUM(F131,G131),H131),IMPRODUCT(IMSUM(J131,L_Yv),K131))</f>
        <v>5.39674860329739e-20+1.42851308661987e-19i</v>
      </c>
      <c r="M131" s="37" t="n">
        <f aca="false">IMABS(IMDIV(IMPRODUCT(J131,F131,H131),L131))^2</f>
        <v>6.83813799669266E-025</v>
      </c>
      <c r="N131" s="5" t="str">
        <f aca="false">IMDIV(IMPRODUCT(L_Yv,K131,E131),H131)</f>
        <v>0.000171377646015304-0.180922252280557i</v>
      </c>
      <c r="O131" s="37" t="n">
        <f aca="false">IMABS(IMSUM(1,IMPRODUCT(E131,G131),N131))^2</f>
        <v>1.03301036255438</v>
      </c>
      <c r="P131" s="37" t="n">
        <f aca="false">IMABS(N131)^2</f>
        <v>0.0327328907405671</v>
      </c>
      <c r="Q131" s="37" t="n">
        <f aca="false">p_Rb^2/(1+(C131*p_Rb*L_Ctot)^2)</f>
        <v>1.50887297906451E+017</v>
      </c>
      <c r="R131" s="37" t="n">
        <f aca="false">M131*L_Kt^2*Q131</f>
        <v>2.0707514166434E-005</v>
      </c>
      <c r="S131" s="37" t="n">
        <f aca="false">L_kT4*D131</f>
        <v>1.28265417787553E-012</v>
      </c>
      <c r="T131" s="37" t="n">
        <f aca="false">L_kT4*L_Rsq*O131</f>
        <v>5.33600612700845E-012</v>
      </c>
      <c r="U131" s="37" t="n">
        <f aca="false">L_kT4*L_Rh*O131</f>
        <v>4.05986205769998E-012</v>
      </c>
      <c r="V131" s="37" t="n">
        <f aca="false">L_kT4*p_Rv*P131</f>
        <v>2.6948366979232E-010</v>
      </c>
      <c r="W131" s="37" t="n">
        <f aca="false">L_kT4/p_Rb*Q131/R131</f>
        <v>1.19978327010324E-010</v>
      </c>
      <c r="X131" s="37" t="n">
        <f aca="false">p_en^2*(1+p_fc/B131)/R131</f>
        <v>4.9485641339732E-012</v>
      </c>
      <c r="Y131" s="37" t="n">
        <f aca="false">p_in^2*Q131/R131</f>
        <v>1.82164909672056E-011</v>
      </c>
      <c r="Z131" s="37" t="n">
        <f aca="false">p_eo^2/L_G^2/R131</f>
        <v>3.06148421239312E-012</v>
      </c>
      <c r="AA131" s="37" t="n">
        <f aca="false">SUM(S131:Z131)</f>
        <v>4.26367058478801E-010</v>
      </c>
      <c r="AB131" s="47" t="n">
        <f aca="false">10*LOG10(AA131/L_PREF^2)</f>
        <v>0.27723651985281</v>
      </c>
      <c r="AC131" s="47" t="n">
        <f aca="false">10*LOG10(S131/L_PREF^2)</f>
        <v>-24.9395041124694</v>
      </c>
      <c r="AD131" s="47" t="n">
        <f aca="false">10*LOG10(T131/L_PREF^2)</f>
        <v>-18.7484367174548</v>
      </c>
      <c r="AE131" s="47" t="n">
        <f aca="false">10*LOG10(U131/L_PREF^2)</f>
        <v>-19.9354871356295</v>
      </c>
      <c r="AF131" s="47" t="n">
        <f aca="false">10*LOG10(V131/L_PREF^2)</f>
        <v>-1.7152753844329</v>
      </c>
      <c r="AG131" s="47" t="n">
        <f aca="false">10*LOG10(W131/L_PREF^2)</f>
        <v>-5.22957189529578</v>
      </c>
      <c r="AH131" s="47" t="n">
        <f aca="false">10*LOG10(X131/L_PREF^2)</f>
        <v>-19.075807881829</v>
      </c>
      <c r="AI131" s="47" t="n">
        <f aca="false">10*LOG10(Y131/L_PREF^2)</f>
        <v>-13.4159526854549</v>
      </c>
      <c r="AJ131" s="47" t="n">
        <f aca="false">10*LOG10(Z131/L_PREF^2)</f>
        <v>-21.161279671408</v>
      </c>
      <c r="AK131" s="47" t="n">
        <f aca="false">10*LOG10(R131/$R$6)</f>
        <v>-0.126429375017974</v>
      </c>
      <c r="AL131" s="37" t="n">
        <f aca="false">(12194^2*B131^4/((B131^2+20.6^2)*SQRT((B131^2+107.7^2)*(B131^2+737.9^2))*(B131^2+12194^2))*1.2589254)^2</f>
        <v>0.0523752634965271</v>
      </c>
      <c r="AM131" s="37" t="n">
        <f aca="false">0.5*(B131-B130)*(S131*AL131+S130*AL130)</f>
        <v>2.47041750082144E-013</v>
      </c>
      <c r="AN131" s="37" t="n">
        <f aca="false">0.5*(B131-B130)*(T131*AL131+T130*AL130)</f>
        <v>1.02865201040086E-012</v>
      </c>
      <c r="AO131" s="37" t="n">
        <f aca="false">0.5*(B131-B130)*(U131*AL131+U130*AL130)</f>
        <v>7.82642517306209E-013</v>
      </c>
      <c r="AP131" s="37" t="n">
        <f aca="false">0.5*(B131-B130)*(V131*AL131+V130*AL130)</f>
        <v>5.30998020398033E-011</v>
      </c>
      <c r="AQ131" s="37" t="n">
        <f aca="false">0.5*(B131-B130)*(W131*AL131+W130*AL130)</f>
        <v>2.36557469464987E-011</v>
      </c>
      <c r="AR131" s="37" t="n">
        <f aca="false">0.5*(B131-B130)*(X131*AL131+X130*AL130)</f>
        <v>9.5791551769812E-013</v>
      </c>
      <c r="AS131" s="37" t="n">
        <f aca="false">0.5*(B131-B130)*(Y131*AL131+Y130*AL130)</f>
        <v>3.59168785989417E-012</v>
      </c>
      <c r="AT131" s="37" t="n">
        <f aca="false">0.5*(B131-B130)*(Z131*AL131+Z130*AL130)</f>
        <v>5.90119313080552E-013</v>
      </c>
      <c r="AU131" s="37" t="n">
        <f aca="false">0.5*(B131-B130)*(AA131*AL131+AA130*AL130)</f>
        <v>8.39536079547641E-011</v>
      </c>
      <c r="AV131" s="37" t="n">
        <f aca="false">0.5*(B131-B130)*(S131+S130)</f>
        <v>4.85608344214815E-012</v>
      </c>
      <c r="AW131" s="37" t="n">
        <f aca="false">0.5*(B131-B130)*(T131+T130)</f>
        <v>2.02206995238722E-011</v>
      </c>
      <c r="AX131" s="37" t="n">
        <f aca="false">0.5*(B131-B130)*(U131+U130)</f>
        <v>1.5384774459235E-011</v>
      </c>
      <c r="AY131" s="37" t="n">
        <f aca="false">0.5*(B131-B130)*(V131+V130)</f>
        <v>1.04449555423205E-009</v>
      </c>
      <c r="AZ131" s="37" t="n">
        <f aca="false">0.5*(B131-B130)*(W131+W130)</f>
        <v>4.65327252719084E-010</v>
      </c>
      <c r="BA131" s="37" t="n">
        <f aca="false">0.5*(B131-B130)*(X131+X130)</f>
        <v>1.88325624883646E-011</v>
      </c>
      <c r="BB131" s="37" t="n">
        <f aca="false">0.5*(B131-B130)*(Y131+Y130)</f>
        <v>7.0651341014468E-011</v>
      </c>
      <c r="BC131" s="37" t="n">
        <f aca="false">0.5*(B131-B130)*(Z131+Z130)</f>
        <v>1.16002186534405E-011</v>
      </c>
      <c r="BD131" s="37" t="n">
        <f aca="false">0.5*(B131-B130)*(AA131+AA130)</f>
        <v>1.65136848653266E-009</v>
      </c>
      <c r="BE131" s="37" t="n">
        <f aca="false">IF(B131&gt;2000,AK131,-999)</f>
        <v>-999</v>
      </c>
      <c r="BF131" s="37" t="n">
        <f aca="false">IF(AND(B131&lt;1000,AK131&gt;=-3),B131,1000000000)</f>
        <v>166.352754220534</v>
      </c>
    </row>
    <row r="132" customFormat="false" ht="15" hidden="false" customHeight="false" outlineLevel="0" collapsed="false">
      <c r="A132" s="5" t="n">
        <v>93</v>
      </c>
      <c r="B132" s="47" t="n">
        <f aca="false">20*10^(A132/100)</f>
        <v>170.227607640475</v>
      </c>
      <c r="C132" s="37" t="n">
        <f aca="false">2*PI()*B132</f>
        <v>1069.57160320297</v>
      </c>
      <c r="D132" s="37" t="n">
        <f aca="false">SQRT(L_Rp0^2+L_Rp1^2*C132)</f>
        <v>77927813.653564</v>
      </c>
      <c r="E132" s="5" t="str">
        <f aca="false">COMPLEX(D132,C132*L_Mp)</f>
        <v>77927813.6535639+15800480.9228765i</v>
      </c>
      <c r="F132" s="5" t="str">
        <f aca="false">IMDIV(1,E132)</f>
        <v>1.23256709177625e-08-2.49912732138936e-09i</v>
      </c>
      <c r="G132" s="5" t="str">
        <f aca="false">COMPLEX(0,C132*L_Cf)</f>
        <v>1.13098403637831e-12i</v>
      </c>
      <c r="H132" s="5" t="str">
        <f aca="false">COMPLEX(0,C132*L_Cbv)</f>
        <v>1.13098403637831e-11i</v>
      </c>
      <c r="I132" s="5" t="str">
        <f aca="false">COMPLEX(L_Rsq+L_Rh,C132*(L_Md+L_Mh)-1/(C132*L_Cd))</f>
        <v>552400610.124532-1077042406588.49i</v>
      </c>
      <c r="J132" s="5" t="str">
        <f aca="false">IMDIV(1,I132)</f>
        <v>4.76198945056606e-16+9.28468304339929e-13i</v>
      </c>
      <c r="K132" s="5" t="str">
        <f aca="false">IMSUM(F132,G132,H132)</f>
        <v>1.23256709177625e-08-2.4866864969892e-09i</v>
      </c>
      <c r="L132" s="5" t="str">
        <f aca="false">IMSUM(IMPRODUCT(IMSUM(F132,G132),H132),IMPRODUCT(IMSUM(J132,L_Yv),K132))</f>
        <v>5.52179607070749e-20+1.4587080808182e-19i</v>
      </c>
      <c r="M132" s="37" t="n">
        <f aca="false">IMABS(IMDIV(IMPRODUCT(J132,F132,H132),L132))^2</f>
        <v>7.16920687135841E-025</v>
      </c>
      <c r="N132" s="5" t="str">
        <f aca="false">IMDIV(IMPRODUCT(L_Yv,K132,E132),H132)</f>
        <v>0.000171441190037768-0.176802394522387i</v>
      </c>
      <c r="O132" s="37" t="n">
        <f aca="false">IMABS(IMSUM(1,IMPRODUCT(E132,G132),N132))^2</f>
        <v>1.03153509525931</v>
      </c>
      <c r="P132" s="37" t="n">
        <f aca="false">IMABS(N132)^2</f>
        <v>0.0312591161009314</v>
      </c>
      <c r="Q132" s="37" t="n">
        <f aca="false">p_Rb^2/(1+(C132*p_Rb*L_Ctot)^2)</f>
        <v>1.44096251804032E+017</v>
      </c>
      <c r="R132" s="37" t="n">
        <f aca="false">M132*L_Kt^2*Q132</f>
        <v>2.07329557916026E-005</v>
      </c>
      <c r="S132" s="37" t="n">
        <f aca="false">L_kT4*D132</f>
        <v>1.28312976502427E-012</v>
      </c>
      <c r="T132" s="37" t="n">
        <f aca="false">L_kT4*L_Rsq*O132</f>
        <v>5.32838564650717E-012</v>
      </c>
      <c r="U132" s="37" t="n">
        <f aca="false">L_kT4*L_Rh*O132</f>
        <v>4.05406406967069E-012</v>
      </c>
      <c r="V132" s="37" t="n">
        <f aca="false">L_kT4*p_Rv*P132</f>
        <v>2.57350363220541E-010</v>
      </c>
      <c r="W132" s="37" t="n">
        <f aca="false">L_kT4/p_Rb*Q132/R132</f>
        <v>1.14437813196129E-010</v>
      </c>
      <c r="X132" s="37" t="n">
        <f aca="false">p_en^2*(1+p_fc/B132)/R132</f>
        <v>4.90025265954672E-012</v>
      </c>
      <c r="Y132" s="37" t="n">
        <f aca="false">p_in^2*Q132/R132</f>
        <v>1.7375266369689E-011</v>
      </c>
      <c r="Z132" s="37" t="n">
        <f aca="false">p_eo^2/L_G^2/R132</f>
        <v>3.05772743335138E-012</v>
      </c>
      <c r="AA132" s="37" t="n">
        <f aca="false">SUM(S132:Z132)</f>
        <v>4.07787002360459E-010</v>
      </c>
      <c r="AB132" s="47" t="n">
        <f aca="false">10*LOG10(AA132/L_PREF^2)</f>
        <v>0.0837338780643523</v>
      </c>
      <c r="AC132" s="47" t="n">
        <f aca="false">10*LOG10(S132/L_PREF^2)</f>
        <v>-24.9378941181649</v>
      </c>
      <c r="AD132" s="47" t="n">
        <f aca="false">10*LOG10(T132/L_PREF^2)</f>
        <v>-18.7546434159046</v>
      </c>
      <c r="AE132" s="47" t="n">
        <f aca="false">10*LOG10(U132/L_PREF^2)</f>
        <v>-19.9416938340793</v>
      </c>
      <c r="AF132" s="47" t="n">
        <f aca="false">10*LOG10(V132/L_PREF^2)</f>
        <v>-1.91535205784458</v>
      </c>
      <c r="AG132" s="47" t="n">
        <f aca="false">10*LOG10(W132/L_PREF^2)</f>
        <v>-5.43490441093098</v>
      </c>
      <c r="AH132" s="47" t="n">
        <f aca="false">10*LOG10(X132/L_PREF^2)</f>
        <v>-19.1184151827536</v>
      </c>
      <c r="AI132" s="47" t="n">
        <f aca="false">10*LOG10(Y132/L_PREF^2)</f>
        <v>-13.6212852010901</v>
      </c>
      <c r="AJ132" s="47" t="n">
        <f aca="false">10*LOG10(Z132/L_PREF^2)</f>
        <v>-21.1666122165364</v>
      </c>
      <c r="AK132" s="47" t="n">
        <f aca="false">10*LOG10(R132/$R$6)</f>
        <v>-0.12109682988963</v>
      </c>
      <c r="AL132" s="37" t="n">
        <f aca="false">(12194^2*B132^4/((B132^2+20.6^2)*SQRT((B132^2+107.7^2)*(B132^2+737.9^2))*(B132^2+12194^2))*1.2589254)^2</f>
        <v>0.0555305872100908</v>
      </c>
      <c r="AM132" s="37" t="n">
        <f aca="false">0.5*(B132-B131)*(S132*AL132+S131*AL131)</f>
        <v>2.68202435270827E-013</v>
      </c>
      <c r="AN132" s="37" t="n">
        <f aca="false">0.5*(B132-B131)*(T132*AL132+T131*AL131)</f>
        <v>1.1147238587056E-012</v>
      </c>
      <c r="AO132" s="37" t="n">
        <f aca="false">0.5*(B132-B131)*(U132*AL132+U131*AL131)</f>
        <v>8.48129666842981E-013</v>
      </c>
      <c r="AP132" s="37" t="n">
        <f aca="false">0.5*(B132-B131)*(V132*AL132+V131*AL131)</f>
        <v>5.50327897556428E-011</v>
      </c>
      <c r="AQ132" s="37" t="n">
        <f aca="false">0.5*(B132-B131)*(W132*AL132+W131*AL131)</f>
        <v>2.44865461573E-011</v>
      </c>
      <c r="AR132" s="37" t="n">
        <f aca="false">0.5*(B132-B131)*(X132*AL132+X131*AL131)</f>
        <v>1.0293475613673E-012</v>
      </c>
      <c r="AS132" s="37" t="n">
        <f aca="false">0.5*(B132-B131)*(Y132*AL132+Y131*AL131)</f>
        <v>3.7178293614157E-012</v>
      </c>
      <c r="AT132" s="37" t="n">
        <f aca="false">0.5*(B132-B131)*(Z132*AL132+Z131*AL131)</f>
        <v>6.39628723072745E-013</v>
      </c>
      <c r="AU132" s="37" t="n">
        <f aca="false">0.5*(B132-B131)*(AA132*AL132+AA131*AL131)</f>
        <v>8.7137197519618E-011</v>
      </c>
      <c r="AV132" s="37" t="n">
        <f aca="false">0.5*(B132-B131)*(S132+S131)</f>
        <v>4.97101834298763E-012</v>
      </c>
      <c r="AW132" s="37" t="n">
        <f aca="false">0.5*(B132-B131)*(T132+T131)</f>
        <v>2.06614774675994E-011</v>
      </c>
      <c r="AX132" s="37" t="n">
        <f aca="false">0.5*(B132-B131)*(U132+U131)</f>
        <v>1.57201372018959E-011</v>
      </c>
      <c r="AY132" s="37" t="n">
        <f aca="false">0.5*(B132-B131)*(V132+V131)</f>
        <v>1.02070232728063E-009</v>
      </c>
      <c r="AZ132" s="37" t="n">
        <f aca="false">0.5*(B132-B131)*(W132+W131)</f>
        <v>4.54164091284184E-010</v>
      </c>
      <c r="BA132" s="37" t="n">
        <f aca="false">0.5*(B132-B131)*(X132+X131)</f>
        <v>1.9081360717372E-011</v>
      </c>
      <c r="BB132" s="37" t="n">
        <f aca="false">0.5*(B132-B131)*(Y132+Y131)</f>
        <v>6.89564213192899E-011</v>
      </c>
      <c r="BC132" s="37" t="n">
        <f aca="false">0.5*(B132-B131)*(Z132+Z131)</f>
        <v>1.18555240864283E-011</v>
      </c>
      <c r="BD132" s="37" t="n">
        <f aca="false">0.5*(B132-B131)*(AA132+AA131)</f>
        <v>1.61611235770038E-009</v>
      </c>
      <c r="BE132" s="37" t="n">
        <f aca="false">IF(B132&gt;2000,AK132,-999)</f>
        <v>-999</v>
      </c>
      <c r="BF132" s="37" t="n">
        <f aca="false">IF(AND(B132&lt;1000,AK132&gt;=-3),B132,1000000000)</f>
        <v>170.227607640475</v>
      </c>
    </row>
    <row r="133" customFormat="false" ht="15" hidden="false" customHeight="false" outlineLevel="0" collapsed="false">
      <c r="A133" s="5" t="n">
        <v>94</v>
      </c>
      <c r="B133" s="47" t="n">
        <f aca="false">20*10^(A133/100)</f>
        <v>174.192717991216</v>
      </c>
      <c r="C133" s="37" t="n">
        <f aca="false">2*PI()*B133</f>
        <v>1094.48512630009</v>
      </c>
      <c r="D133" s="37" t="n">
        <f aca="false">SQRT(L_Rp0^2+L_Rp1^2*C133)</f>
        <v>77957359.0083789</v>
      </c>
      <c r="E133" s="5" t="str">
        <f aca="false">COMPLEX(D133,C133*L_Mp)</f>
        <v>77957359.0083789+16168521.4030452i</v>
      </c>
      <c r="F133" s="5" t="str">
        <f aca="false">IMDIV(1,E133)</f>
        <v>1.22984976331847e-08-2.55073446223435e-09i</v>
      </c>
      <c r="G133" s="5" t="str">
        <f aca="false">COMPLEX(0,C133*L_Cf)</f>
        <v>1.15732803880732e-12i</v>
      </c>
      <c r="H133" s="5" t="str">
        <f aca="false">COMPLEX(0,C133*L_Cbv)</f>
        <v>1.15732803880732e-11i</v>
      </c>
      <c r="I133" s="5" t="str">
        <f aca="false">COMPLEX(L_Rsq+L_Rh,C133*(L_Md+L_Mh)-1/(C133*L_Cd))</f>
        <v>552400610.124532-1052525742655.08i</v>
      </c>
      <c r="J133" s="5" t="str">
        <f aca="false">IMDIV(1,I133)</f>
        <v>4.98641679607717e-16+9.50095265154706e-13i</v>
      </c>
      <c r="K133" s="5" t="str">
        <f aca="false">IMSUM(F133,G133,H133)</f>
        <v>1.22984976331847e-08-2.53800385380747e-09i</v>
      </c>
      <c r="L133" s="5" t="str">
        <f aca="false">IMSUM(IMPRODUCT(IMSUM(F133,G133),H133),IMPRODUCT(IMSUM(J133,L_Yv),K133))</f>
        <v>5.65214442993979e-20+1.48941432568587e-19i</v>
      </c>
      <c r="M133" s="37" t="n">
        <f aca="false">IMABS(IMDIV(IMPRODUCT(J133,F133,H133),L133))^2</f>
        <v>7.51590175828074E-025</v>
      </c>
      <c r="N133" s="5" t="str">
        <f aca="false">IMDIV(IMPRODUCT(L_Yv,K133,E133),H133)</f>
        <v>0.000171506189818436-0.172776279734052i</v>
      </c>
      <c r="O133" s="37" t="n">
        <f aca="false">IMABS(IMSUM(1,IMPRODUCT(E133,G133),N133))^2</f>
        <v>1.03012608561301</v>
      </c>
      <c r="P133" s="37" t="n">
        <f aca="false">IMABS(N133)^2</f>
        <v>0.0298516722531125</v>
      </c>
      <c r="Q133" s="37" t="n">
        <f aca="false">p_Rb^2/(1+(C133*p_Rb*L_Ctot)^2)</f>
        <v>1.3761085303879E+017</v>
      </c>
      <c r="R133" s="37" t="n">
        <f aca="false">M133*L_Kt^2*Q133</f>
        <v>2.07573164754288E-005</v>
      </c>
      <c r="S133" s="37" t="n">
        <f aca="false">L_kT4*D133</f>
        <v>1.28361624760865E-012</v>
      </c>
      <c r="T133" s="37" t="n">
        <f aca="false">L_kT4*L_Rsq*O133</f>
        <v>5.32110741931972E-012</v>
      </c>
      <c r="U133" s="37" t="n">
        <f aca="false">L_kT4*L_Rh*O133</f>
        <v>4.04852648262482E-012</v>
      </c>
      <c r="V133" s="37" t="n">
        <f aca="false">L_kT4*p_Rv*P133</f>
        <v>2.45763145454076E-010</v>
      </c>
      <c r="W133" s="37" t="n">
        <f aca="false">L_kT4/p_Rb*Q133/R133</f>
        <v>1.09159004879887E-010</v>
      </c>
      <c r="X133" s="37" t="n">
        <f aca="false">p_en^2*(1+p_fc/B133)/R133</f>
        <v>4.8532726283357E-012</v>
      </c>
      <c r="Y133" s="37" t="n">
        <f aca="false">p_in^2*Q133/R133</f>
        <v>1.65737769139962E-011</v>
      </c>
      <c r="Z133" s="37" t="n">
        <f aca="false">p_eo^2/L_G^2/R133</f>
        <v>3.05413889957733E-012</v>
      </c>
      <c r="AA133" s="37" t="n">
        <f aca="false">SUM(S133:Z133)</f>
        <v>3.90056588925425E-010</v>
      </c>
      <c r="AB133" s="47" t="n">
        <f aca="false">10*LOG10(AA133/L_PREF^2)</f>
        <v>-0.109323728265502</v>
      </c>
      <c r="AC133" s="47" t="n">
        <f aca="false">10*LOG10(S133/L_PREF^2)</f>
        <v>-24.9362478570745</v>
      </c>
      <c r="AD133" s="47" t="n">
        <f aca="false">10*LOG10(T133/L_PREF^2)</f>
        <v>-18.7605796503866</v>
      </c>
      <c r="AE133" s="47" t="n">
        <f aca="false">10*LOG10(U133/L_PREF^2)</f>
        <v>-19.9476300685614</v>
      </c>
      <c r="AF133" s="47" t="n">
        <f aca="false">10*LOG10(V133/L_PREF^2)</f>
        <v>-2.11543234526812</v>
      </c>
      <c r="AG133" s="47" t="n">
        <f aca="false">10*LOG10(W133/L_PREF^2)</f>
        <v>-5.64000423446483</v>
      </c>
      <c r="AH133" s="47" t="n">
        <f aca="false">10*LOG10(X133/L_PREF^2)</f>
        <v>-19.160253032156</v>
      </c>
      <c r="AI133" s="47" t="n">
        <f aca="false">10*LOG10(Y133/L_PREF^2)</f>
        <v>-13.826385024624</v>
      </c>
      <c r="AJ133" s="47" t="n">
        <f aca="false">10*LOG10(Z133/L_PREF^2)</f>
        <v>-21.171712068236</v>
      </c>
      <c r="AK133" s="47" t="n">
        <f aca="false">10*LOG10(R133/$R$6)</f>
        <v>-0.115996978190043</v>
      </c>
      <c r="AL133" s="37" t="n">
        <f aca="false">(12194^2*B133^4/((B133^2+20.6^2)*SQRT((B133^2+107.7^2)*(B133^2+737.9^2))*(B133^2+12194^2))*1.2589254)^2</f>
        <v>0.0588409309012341</v>
      </c>
      <c r="AM133" s="37" t="n">
        <f aca="false">0.5*(B133-B132)*(S133*AL133+S132*AL132)</f>
        <v>2.91003660079308E-013</v>
      </c>
      <c r="AN133" s="37" t="n">
        <f aca="false">0.5*(B133-B132)*(T133*AL133+T132*AL132)</f>
        <v>1.20735091900923E-012</v>
      </c>
      <c r="AO133" s="37" t="n">
        <f aca="false">0.5*(B133-B132)*(U133*AL133+U132*AL132)</f>
        <v>9.18604302495964E-013</v>
      </c>
      <c r="AP133" s="37" t="n">
        <f aca="false">0.5*(B133-B132)*(V133*AL133+V132*AL132)</f>
        <v>5.70019288762615E-011</v>
      </c>
      <c r="AQ133" s="37" t="n">
        <f aca="false">0.5*(B133-B132)*(W133*AL133+W132*AL132)</f>
        <v>2.53327260916524E-011</v>
      </c>
      <c r="AR133" s="37" t="n">
        <f aca="false">0.5*(B133-B132)*(X133*AL133+X132*AL132)</f>
        <v>1.10564125726506E-012</v>
      </c>
      <c r="AS133" s="37" t="n">
        <f aca="false">0.5*(B133-B132)*(Y133*AL133+Y132*AL132)</f>
        <v>3.84630614147144E-012</v>
      </c>
      <c r="AT133" s="37" t="n">
        <f aca="false">0.5*(B133-B132)*(Z133*AL133+Z132*AL132)</f>
        <v>6.92914484743585E-013</v>
      </c>
      <c r="AU133" s="37" t="n">
        <f aca="false">0.5*(B133-B132)*(AA133*AL133+AA132*AL132)</f>
        <v>9.03964757329785E-011</v>
      </c>
      <c r="AV133" s="37" t="n">
        <f aca="false">0.5*(B133-B132)*(S133+S132)</f>
        <v>5.08871559120673E-012</v>
      </c>
      <c r="AW133" s="37" t="n">
        <f aca="false">0.5*(B133-B132)*(T133+T132)</f>
        <v>2.11132075927262E-011</v>
      </c>
      <c r="AX133" s="37" t="n">
        <f aca="false">0.5*(B133-B132)*(U133+U132)</f>
        <v>1.60638328333607E-011</v>
      </c>
      <c r="AY133" s="37" t="n">
        <f aca="false">0.5*(B133-B132)*(V133+V132)</f>
        <v>9.97450290421618E-010</v>
      </c>
      <c r="AZ133" s="37" t="n">
        <f aca="false">0.5*(B133-B132)*(W133+W132)</f>
        <v>4.43293028872956E-010</v>
      </c>
      <c r="BA133" s="37" t="n">
        <f aca="false">0.5*(B133-B132)*(X133+X132)</f>
        <v>1.93369020375973E-011</v>
      </c>
      <c r="BB133" s="37" t="n">
        <f aca="false">0.5*(B133-B132)*(Y133+Y132)</f>
        <v>6.73058514609437E-011</v>
      </c>
      <c r="BC133" s="37" t="n">
        <f aca="false">0.5*(B133-B132)*(Z133+Z132)</f>
        <v>1.21171122295199E-011</v>
      </c>
      <c r="BD133" s="37" t="n">
        <f aca="false">0.5*(B133-B132)*(AA133+AA132)</f>
        <v>1.58176894103993E-009</v>
      </c>
      <c r="BE133" s="37" t="n">
        <f aca="false">IF(B133&gt;2000,AK133,-999)</f>
        <v>-999</v>
      </c>
      <c r="BF133" s="37" t="n">
        <f aca="false">IF(AND(B133&lt;1000,AK133&gt;=-3),B133,1000000000)</f>
        <v>174.192717991216</v>
      </c>
    </row>
    <row r="134" customFormat="false" ht="15" hidden="false" customHeight="false" outlineLevel="0" collapsed="false">
      <c r="A134" s="5" t="n">
        <v>95</v>
      </c>
      <c r="B134" s="47" t="n">
        <f aca="false">20*10^(A134/100)</f>
        <v>178.250187626749</v>
      </c>
      <c r="C134" s="37" t="n">
        <f aca="false">2*PI()*B134</f>
        <v>1119.97895989839</v>
      </c>
      <c r="D134" s="37" t="n">
        <f aca="false">SQRT(L_Rp0^2+L_Rp1^2*C134)</f>
        <v>77987580.9756296</v>
      </c>
      <c r="E134" s="5" t="str">
        <f aca="false">COMPLEX(D134,C134*L_Mp)</f>
        <v>77987580.9756296+16545134.6472776i</v>
      </c>
      <c r="F134" s="5" t="str">
        <f aca="false">IMDIV(1,E134)</f>
        <v>1.22702930581808e-08-2.60315358252485e-09i</v>
      </c>
      <c r="G134" s="5" t="str">
        <f aca="false">COMPLEX(0,C134*L_Cf)</f>
        <v>1.18428567188156e-12i</v>
      </c>
      <c r="H134" s="5" t="str">
        <f aca="false">COMPLEX(0,C134*L_Cbv)</f>
        <v>1.18428567188156e-11i</v>
      </c>
      <c r="I134" s="5" t="str">
        <f aca="false">COMPLEX(L_Rsq+L_Rh,C134*(L_Md+L_Mh)-1/(C134*L_Cd))</f>
        <v>552400610.124532-1028567141802.26i</v>
      </c>
      <c r="J134" s="5" t="str">
        <f aca="false">IMDIV(1,I134)</f>
        <v>5.22142124023716e-16+9.72225993741321e-13i</v>
      </c>
      <c r="K134" s="5" t="str">
        <f aca="false">IMSUM(F134,G134,H134)</f>
        <v>1.22702930581808e-08-2.59012644013415e-09i</v>
      </c>
      <c r="L134" s="5" t="str">
        <f aca="false">IMSUM(IMPRODUCT(IMSUM(F134,G134),H134),IMPRODUCT(IMSUM(J134,L_Yv),K134))</f>
        <v>5.78799307748035e-20+1.52063215153511e-19i</v>
      </c>
      <c r="M134" s="37" t="n">
        <f aca="false">IMABS(IMDIV(IMPRODUCT(J134,F134,H134),L134))^2</f>
        <v>7.87895842260592E-025</v>
      </c>
      <c r="N134" s="5" t="str">
        <f aca="false">IMDIV(IMPRODUCT(L_Yv,K134,E134),H134)</f>
        <v>0.000171572678146412-0.168841773216195i</v>
      </c>
      <c r="O134" s="37" t="n">
        <f aca="false">IMABS(IMSUM(1,IMPRODUCT(E134,G134),N134))^2</f>
        <v>1.02878034472628</v>
      </c>
      <c r="P134" s="37" t="n">
        <f aca="false">IMABS(N134)^2</f>
        <v>0.0285075738199729</v>
      </c>
      <c r="Q134" s="37" t="n">
        <f aca="false">p_Rb^2/(1+(C134*p_Rb*L_Ctot)^2)</f>
        <v>1.31417345222065E+017</v>
      </c>
      <c r="R134" s="37" t="n">
        <f aca="false">M134*L_Kt^2*Q134</f>
        <v>2.078064022549E-005</v>
      </c>
      <c r="S134" s="37" t="n">
        <f aca="false">L_kT4*D134</f>
        <v>1.28411387103627E-012</v>
      </c>
      <c r="T134" s="37" t="n">
        <f aca="false">L_kT4*L_Rsq*O134</f>
        <v>5.3141560063647E-012</v>
      </c>
      <c r="U134" s="37" t="n">
        <f aca="false">L_kT4*L_Rh*O134</f>
        <v>4.0432375498478E-012</v>
      </c>
      <c r="V134" s="37" t="n">
        <f aca="false">L_kT4*p_Rv*P134</f>
        <v>2.34697438450213E-010</v>
      </c>
      <c r="W134" s="37" t="n">
        <f aca="false">L_kT4/p_Rb*Q134/R134</f>
        <v>1.04129037456903E-010</v>
      </c>
      <c r="X134" s="37" t="n">
        <f aca="false">p_en^2*(1+p_fc/B134)/R134</f>
        <v>4.80758000973991E-012</v>
      </c>
      <c r="Y134" s="37" t="n">
        <f aca="false">p_in^2*Q134/R134</f>
        <v>1.5810069347727E-011</v>
      </c>
      <c r="Z134" s="37" t="n">
        <f aca="false">p_eo^2/L_G^2/R134</f>
        <v>3.050710998821E-012</v>
      </c>
      <c r="AA134" s="37" t="n">
        <f aca="false">SUM(S134:Z134)</f>
        <v>3.73136343690653E-010</v>
      </c>
      <c r="AB134" s="47" t="n">
        <f aca="false">10*LOG10(AA134/L_PREF^2)</f>
        <v>-0.301924396990903</v>
      </c>
      <c r="AC134" s="47" t="n">
        <f aca="false">10*LOG10(S134/L_PREF^2)</f>
        <v>-24.9345645406713</v>
      </c>
      <c r="AD134" s="47" t="n">
        <f aca="false">10*LOG10(T134/L_PREF^2)</f>
        <v>-18.7662569159077</v>
      </c>
      <c r="AE134" s="47" t="n">
        <f aca="false">10*LOG10(U134/L_PREF^2)</f>
        <v>-19.9533073340824</v>
      </c>
      <c r="AF134" s="47" t="n">
        <f aca="false">10*LOG10(V134/L_PREF^2)</f>
        <v>-2.31551641708103</v>
      </c>
      <c r="AG134" s="47" t="n">
        <f aca="false">10*LOG10(W134/L_PREF^2)</f>
        <v>-5.8448813742923</v>
      </c>
      <c r="AH134" s="47" t="n">
        <f aca="false">10*LOG10(X134/L_PREF^2)</f>
        <v>-19.2013347064846</v>
      </c>
      <c r="AI134" s="47" t="n">
        <f aca="false">10*LOG10(Y134/L_PREF^2)</f>
        <v>-14.0312621644515</v>
      </c>
      <c r="AJ134" s="47" t="n">
        <f aca="false">10*LOG10(Z134/L_PREF^2)</f>
        <v>-21.1765892349615</v>
      </c>
      <c r="AK134" s="47" t="n">
        <f aca="false">10*LOG10(R134/$R$6)</f>
        <v>-0.111119811464507</v>
      </c>
      <c r="AL134" s="37" t="n">
        <f aca="false">(12194^2*B134^4/((B134^2+20.6^2)*SQRT((B134^2+107.7^2)*(B134^2+737.9^2))*(B134^2+12194^2))*1.2589254)^2</f>
        <v>0.062311907361026</v>
      </c>
      <c r="AM134" s="37" t="n">
        <f aca="false">0.5*(B134-B133)*(S134*AL134+S133*AL133)</f>
        <v>3.15559069323356E-013</v>
      </c>
      <c r="AN134" s="37" t="n">
        <f aca="false">0.5*(B134-B133)*(T134*AL134+T133*AL133)</f>
        <v>1.30698017126907E-012</v>
      </c>
      <c r="AO134" s="37" t="n">
        <f aca="false">0.5*(B134-B133)*(U134*AL134+U133*AL133)</f>
        <v>9.94406505765454E-013</v>
      </c>
      <c r="AP134" s="37" t="n">
        <f aca="false">0.5*(B134-B133)*(V134*AL134+V133*AL133)</f>
        <v>5.90065176210776E-011</v>
      </c>
      <c r="AQ134" s="37" t="n">
        <f aca="false">0.5*(B134-B133)*(W134*AL134+W133*AL133)</f>
        <v>2.61940022941022E-011</v>
      </c>
      <c r="AR134" s="37" t="n">
        <f aca="false">0.5*(B134-B133)*(X134*AL134+X133*AL133)</f>
        <v>1.18709502647969E-012</v>
      </c>
      <c r="AS134" s="37" t="n">
        <f aca="false">0.5*(B134-B133)*(Y134*AL134+Y133*AL133)</f>
        <v>3.97707501075936E-012</v>
      </c>
      <c r="AT134" s="37" t="n">
        <f aca="false">0.5*(B134-B133)*(Z134*AL134+Z133*AL133)</f>
        <v>7.50234244659087E-013</v>
      </c>
      <c r="AU134" s="37" t="n">
        <f aca="false">0.5*(B134-B133)*(AA134*AL134+AA133*AL133)</f>
        <v>9.37318699434358E-011</v>
      </c>
      <c r="AV134" s="37" t="n">
        <f aca="false">0.5*(B134-B133)*(S134+S133)</f>
        <v>5.20924349432264E-012</v>
      </c>
      <c r="AW134" s="37" t="n">
        <f aca="false">0.5*(B134-B133)*(T134+T133)</f>
        <v>2.15761292078045E-011</v>
      </c>
      <c r="AX134" s="37" t="n">
        <f aca="false">0.5*(B134-B133)*(U134+U133)</f>
        <v>1.64160434298278E-011</v>
      </c>
      <c r="AY134" s="37" t="n">
        <f aca="false">0.5*(B134-B133)*(V134+V133)</f>
        <v>9.74727115131048E-010</v>
      </c>
      <c r="AZ134" s="37" t="n">
        <f aca="false">0.5*(B134-B133)*(W134+W133)</f>
        <v>4.32704877701899E-010</v>
      </c>
      <c r="BA134" s="37" t="n">
        <f aca="false">0.5*(B134-B133)*(X134+X133)</f>
        <v>1.95993081161752E-011</v>
      </c>
      <c r="BB134" s="37" t="n">
        <f aca="false">0.5*(B134-B133)*(Y134+Y133)</f>
        <v>6.56982364443551E-011</v>
      </c>
      <c r="BC134" s="37" t="n">
        <f aca="false">0.5*(B134-B133)*(Z134+Z133)</f>
        <v>1.23851215461189E-011</v>
      </c>
      <c r="BD134" s="37" t="n">
        <f aca="false">0.5*(B134-B133)*(AA134+AA133)</f>
        <v>1.54831607507155E-009</v>
      </c>
      <c r="BE134" s="37" t="n">
        <f aca="false">IF(B134&gt;2000,AK134,-999)</f>
        <v>-999</v>
      </c>
      <c r="BF134" s="37" t="n">
        <f aca="false">IF(AND(B134&lt;1000,AK134&gt;=-3),B134,1000000000)</f>
        <v>178.250187626749</v>
      </c>
    </row>
    <row r="135" customFormat="false" ht="15" hidden="false" customHeight="false" outlineLevel="0" collapsed="false">
      <c r="A135" s="5" t="n">
        <v>96</v>
      </c>
      <c r="B135" s="47" t="n">
        <f aca="false">20*10^(A135/100)</f>
        <v>182.402167871182</v>
      </c>
      <c r="C135" s="37" t="n">
        <f aca="false">2*PI()*B135</f>
        <v>1146.06662116591</v>
      </c>
      <c r="D135" s="37" t="n">
        <f aca="false">SQRT(L_Rp0^2+L_Rp1^2*C135)</f>
        <v>78018494.7836552</v>
      </c>
      <c r="E135" s="5" t="str">
        <f aca="false">COMPLEX(D135,C135*L_Mp)</f>
        <v>78018494.7836552+16930520.3409006i</v>
      </c>
      <c r="F135" s="5" t="str">
        <f aca="false">IMDIV(1,E135)</f>
        <v>1.22410216452174e-08-2.65638124053088e-09i</v>
      </c>
      <c r="G135" s="5" t="str">
        <f aca="false">COMPLEX(0,C135*L_Cf)</f>
        <v>1.21187122889491e-12i</v>
      </c>
      <c r="H135" s="5" t="str">
        <f aca="false">COMPLEX(0,C135*L_Cbv)</f>
        <v>1.21187122889491e-11i</v>
      </c>
      <c r="I135" s="5" t="str">
        <f aca="false">COMPLEX(L_Rsq+L_Rh,C135*(L_Md+L_Mh)-1/(C135*L_Cd))</f>
        <v>552400610.124532-1005153900862.71i</v>
      </c>
      <c r="J135" s="5" t="str">
        <f aca="false">IMDIV(1,I135)</f>
        <v>5.46750128214293e-16+9.94872225155381e-13i</v>
      </c>
      <c r="K135" s="5" t="str">
        <f aca="false">IMSUM(F135,G135,H135)</f>
        <v>1.22410216452174e-08-2.64305065701304e-09i</v>
      </c>
      <c r="L135" s="5" t="str">
        <f aca="false">IMSUM(IMPRODUCT(IMSUM(F135,G135),H135),IMPRODUCT(IMSUM(J135,L_Yv),K135))</f>
        <v>5.9295467423931e-20+1.55236125481229e-19i</v>
      </c>
      <c r="M135" s="37" t="n">
        <f aca="false">IMABS(IMDIV(IMPRODUCT(J135,F135,H135),L135))^2</f>
        <v>8.25914735894978E-025</v>
      </c>
      <c r="N135" s="5" t="str">
        <f aca="false">IMDIV(IMPRODUCT(L_Yv,K135,E135),H135)</f>
        <v>0.000171640688523939-0.164996788841382i</v>
      </c>
      <c r="O135" s="37" t="n">
        <f aca="false">IMABS(IMSUM(1,IMPRODUCT(E135,G135),N135))^2</f>
        <v>1.02749501790701</v>
      </c>
      <c r="P135" s="37" t="n">
        <f aca="false">IMABS(N135)^2</f>
        <v>0.0272239697884936</v>
      </c>
      <c r="Q135" s="37" t="n">
        <f aca="false">p_Rb^2/(1+(C135*p_Rb*L_Ctot)^2)</f>
        <v>1.25502591104008E+017</v>
      </c>
      <c r="R135" s="37" t="n">
        <f aca="false">M135*L_Kt^2*Q135</f>
        <v>2.08029694925597E-005</v>
      </c>
      <c r="S135" s="37" t="n">
        <f aca="false">L_kT4*D135</f>
        <v>1.28462288605117E-012</v>
      </c>
      <c r="T135" s="37" t="n">
        <f aca="false">L_kT4*L_Rsq*O135</f>
        <v>5.30751666175453E-012</v>
      </c>
      <c r="U135" s="37" t="n">
        <f aca="false">L_kT4*L_Rh*O135</f>
        <v>4.03818605203666E-012</v>
      </c>
      <c r="V135" s="37" t="n">
        <f aca="false">L_kT4*p_Rv*P135</f>
        <v>2.24129770360496E-010</v>
      </c>
      <c r="W135" s="37" t="n">
        <f aca="false">L_kT4/p_Rb*Q135/R135</f>
        <v>9.93357208743688E-011</v>
      </c>
      <c r="X135" s="37" t="n">
        <f aca="false">p_en^2*(1+p_fc/B135)/R135</f>
        <v>4.76313260527644E-012</v>
      </c>
      <c r="Y135" s="37" t="n">
        <f aca="false">p_in^2*Q135/R135</f>
        <v>1.50822928367144E-011</v>
      </c>
      <c r="Z135" s="37" t="n">
        <f aca="false">p_eo^2/L_G^2/R135</f>
        <v>3.04743645954576E-012</v>
      </c>
      <c r="AA135" s="37" t="n">
        <f aca="false">SUM(S135:Z135)</f>
        <v>3.56988678736244E-010</v>
      </c>
      <c r="AB135" s="47" t="n">
        <f aca="false">10*LOG10(AA135/L_PREF^2)</f>
        <v>-0.494055478777856</v>
      </c>
      <c r="AC135" s="47" t="n">
        <f aca="false">10*LOG10(S135/L_PREF^2)</f>
        <v>-24.932843364576</v>
      </c>
      <c r="AD135" s="47" t="n">
        <f aca="false">10*LOG10(T135/L_PREF^2)</f>
        <v>-18.7716862511796</v>
      </c>
      <c r="AE135" s="47" t="n">
        <f aca="false">10*LOG10(U135/L_PREF^2)</f>
        <v>-19.9587366693544</v>
      </c>
      <c r="AF135" s="47" t="n">
        <f aca="false">10*LOG10(V135/L_PREF^2)</f>
        <v>-2.5156044516958</v>
      </c>
      <c r="AG135" s="47" t="n">
        <f aca="false">10*LOG10(W135/L_PREF^2)</f>
        <v>-6.04954543547518</v>
      </c>
      <c r="AH135" s="47" t="n">
        <f aca="false">10*LOG10(X135/L_PREF^2)</f>
        <v>-19.2416731892026</v>
      </c>
      <c r="AI135" s="47" t="n">
        <f aca="false">10*LOG10(Y135/L_PREF^2)</f>
        <v>-14.2359262256343</v>
      </c>
      <c r="AJ135" s="47" t="n">
        <f aca="false">10*LOG10(Z135/L_PREF^2)</f>
        <v>-21.1812533218318</v>
      </c>
      <c r="AK135" s="47" t="n">
        <f aca="false">10*LOG10(R135/$R$6)</f>
        <v>-0.106455724594176</v>
      </c>
      <c r="AL135" s="37" t="n">
        <f aca="false">(12194^2*B135^4/((B135^2+20.6^2)*SQRT((B135^2+107.7^2)*(B135^2+737.9^2))*(B135^2+12194^2))*1.2589254)^2</f>
        <v>0.0659492368639177</v>
      </c>
      <c r="AM135" s="37" t="n">
        <f aca="false">0.5*(B135-B134)*(S135*AL135+S134*AL134)</f>
        <v>3.41989236661598E-013</v>
      </c>
      <c r="AN135" s="37" t="n">
        <f aca="false">0.5*(B135-B134)*(T135*AL135+T134*AL134)</f>
        <v>1.41408531428165E-012</v>
      </c>
      <c r="AO135" s="37" t="n">
        <f aca="false">0.5*(B135-B134)*(U135*AL135+U134*AL134)</f>
        <v>1.07589668698927E-012</v>
      </c>
      <c r="AP135" s="37" t="n">
        <f aca="false">0.5*(B135-B134)*(V135*AL135+V134*AL134)</f>
        <v>6.10458023092883E-011</v>
      </c>
      <c r="AQ135" s="37" t="n">
        <f aca="false">0.5*(B135-B134)*(W135*AL135+W134*AL134)</f>
        <v>2.70700681768769E-011</v>
      </c>
      <c r="AR135" s="37" t="n">
        <f aca="false">0.5*(B135-B134)*(X135*AL135+X134*AL134)</f>
        <v>1.27402359673903E-012</v>
      </c>
      <c r="AS135" s="37" t="n">
        <f aca="false">0.5*(B135-B134)*(Y135*AL135+Y134*AL134)</f>
        <v>4.11008941959396E-012</v>
      </c>
      <c r="AT135" s="37" t="n">
        <f aca="false">0.5*(B135-B134)*(Z135*AL135+Z134*AL134)</f>
        <v>8.11861048645523E-013</v>
      </c>
      <c r="AU135" s="37" t="n">
        <f aca="false">0.5*(B135-B134)*(AA135*AL135+AA134*AL134)</f>
        <v>9.71438157890763E-011</v>
      </c>
      <c r="AV135" s="37" t="n">
        <f aca="false">0.5*(B135-B134)*(S135+S134)</f>
        <v>5.33267213428774E-012</v>
      </c>
      <c r="AW135" s="37" t="n">
        <f aca="false">0.5*(B135-B134)*(T135+T134)</f>
        <v>2.20504875404315E-011</v>
      </c>
      <c r="AX135" s="37" t="n">
        <f aca="false">0.5*(B135-B134)*(U135+U134)</f>
        <v>1.67769555709587E-011</v>
      </c>
      <c r="AY135" s="37" t="n">
        <f aca="false">0.5*(B135-B134)*(V135+V134)</f>
        <v>9.52520753295158E-010</v>
      </c>
      <c r="AZ135" s="37" t="n">
        <f aca="false">0.5*(B135-B134)*(W135+W134)</f>
        <v>4.2239082851487E-010</v>
      </c>
      <c r="BA135" s="37" t="n">
        <f aca="false">0.5*(B135-B134)*(X135+X134)</f>
        <v>1.98687048513459E-011</v>
      </c>
      <c r="BB135" s="37" t="n">
        <f aca="false">0.5*(B135-B134)*(Y135+Y134)</f>
        <v>6.41322387468321E-011</v>
      </c>
      <c r="BC135" s="37" t="n">
        <f aca="false">0.5*(B135-B134)*(Z135+Z134)</f>
        <v>1.26596938873885E-011</v>
      </c>
      <c r="BD135" s="37" t="n">
        <f aca="false">0.5*(B135-B134)*(AA135+AA134)</f>
        <v>1.51573233454127E-009</v>
      </c>
      <c r="BE135" s="37" t="n">
        <f aca="false">IF(B135&gt;2000,AK135,-999)</f>
        <v>-999</v>
      </c>
      <c r="BF135" s="37" t="n">
        <f aca="false">IF(AND(B135&lt;1000,AK135&gt;=-3),B135,1000000000)</f>
        <v>182.402167871182</v>
      </c>
    </row>
    <row r="136" customFormat="false" ht="15" hidden="false" customHeight="false" outlineLevel="0" collapsed="false">
      <c r="A136" s="5" t="n">
        <v>97</v>
      </c>
      <c r="B136" s="47" t="n">
        <f aca="false">20*10^(A136/100)</f>
        <v>186.650860159398</v>
      </c>
      <c r="C136" s="37" t="n">
        <f aca="false">2*PI()*B136</f>
        <v>1172.76194212596</v>
      </c>
      <c r="D136" s="37" t="n">
        <f aca="false">SQRT(L_Rp0^2+L_Rp1^2*C136)</f>
        <v>78050115.9914154</v>
      </c>
      <c r="E136" s="5" t="str">
        <f aca="false">COMPLEX(D136,C136*L_Mp)</f>
        <v>78050115.9914154+17324882.8205104i</v>
      </c>
      <c r="F136" s="5" t="str">
        <f aca="false">IMDIV(1,E136)</f>
        <v>1.22106470277369e-08-2.71041274226194e-09i</v>
      </c>
      <c r="G136" s="5" t="str">
        <f aca="false">COMPLEX(0,C136*L_Cf)</f>
        <v>1.24009933607483e-12i</v>
      </c>
      <c r="H136" s="5" t="str">
        <f aca="false">COMPLEX(0,C136*L_Cbv)</f>
        <v>1.24009933607483e-11i</v>
      </c>
      <c r="I136" s="5" t="str">
        <f aca="false">COMPLEX(L_Rsq+L_Rh,C136*(L_Md+L_Mh)-1/(C136*L_Cd))</f>
        <v>552400610.124532-982273605826.192i</v>
      </c>
      <c r="J136" s="5" t="str">
        <f aca="false">IMDIV(1,I136)</f>
        <v>5.72517891595348e-16+1.018045967854e-12i</v>
      </c>
      <c r="K136" s="5" t="str">
        <f aca="false">IMSUM(F136,G136,H136)</f>
        <v>1.22106470277369e-08-2.69677164956512e-09i</v>
      </c>
      <c r="L136" s="5" t="str">
        <f aca="false">IMSUM(IMPRODUCT(IMSUM(F136,G136),H136),IMPRODUCT(IMSUM(J136,L_Yv),K136))</f>
        <v>6.07701543314725e-20+1.58460065443733e-19i</v>
      </c>
      <c r="M136" s="37" t="n">
        <f aca="false">IMABS(IMDIV(IMPRODUCT(J136,F136,H136),L136))^2</f>
        <v>8.65727542909732E-025</v>
      </c>
      <c r="N136" s="5" t="str">
        <f aca="false">IMDIV(IMPRODUCT(L_Yv,K136,E136),H136)</f>
        <v>0.000171710255181178-0.161239287948004i</v>
      </c>
      <c r="O136" s="37" t="n">
        <f aca="false">IMABS(IMSUM(1,IMPRODUCT(E136,G136),N136))^2</f>
        <v>1.02626737860487</v>
      </c>
      <c r="P136" s="37" t="n">
        <f aca="false">IMABS(N136)^2</f>
        <v>0.0259981374623911</v>
      </c>
      <c r="Q136" s="37" t="n">
        <f aca="false">p_Rb^2/(1+(C136*p_Rb*L_Ctot)^2)</f>
        <v>1.19854044707809E+017</v>
      </c>
      <c r="R136" s="37" t="n">
        <f aca="false">M136*L_Kt^2*Q136</f>
        <v>2.0824345208098E-005</v>
      </c>
      <c r="S136" s="37" t="n">
        <f aca="false">L_kT4*D136</f>
        <v>1.28514354884127E-012</v>
      </c>
      <c r="T136" s="37" t="n">
        <f aca="false">L_kT4*L_Rsq*O136</f>
        <v>5.30117530151707E-012</v>
      </c>
      <c r="U136" s="37" t="n">
        <f aca="false">L_kT4*L_Rh*O136</f>
        <v>4.03336127350203E-012</v>
      </c>
      <c r="V136" s="37" t="n">
        <f aca="false">L_kT4*p_Rv*P136</f>
        <v>2.14037725743772E-010</v>
      </c>
      <c r="W136" s="37" t="n">
        <f aca="false">L_kT4/p_Rb*Q136/R136</f>
        <v>9.47675008642367E-011</v>
      </c>
      <c r="X136" s="37" t="n">
        <f aca="false">p_en^2*(1+p_fc/B136)/R136</f>
        <v>4.71988995502158E-012</v>
      </c>
      <c r="Y136" s="37" t="n">
        <f aca="false">p_in^2*Q136/R136</f>
        <v>1.43886930789547E-011</v>
      </c>
      <c r="Z136" s="37" t="n">
        <f aca="false">p_eo^2/L_G^2/R136</f>
        <v>3.04430833550492E-012</v>
      </c>
      <c r="AA136" s="37" t="n">
        <f aca="false">SUM(S136:Z136)</f>
        <v>3.41577798101351E-010</v>
      </c>
      <c r="AB136" s="47" t="n">
        <f aca="false">10*LOG10(AA136/L_PREF^2)</f>
        <v>-0.685703566980718</v>
      </c>
      <c r="AC136" s="47" t="n">
        <f aca="false">10*LOG10(S136/L_PREF^2)</f>
        <v>-24.9310835082973</v>
      </c>
      <c r="AD136" s="47" t="n">
        <f aca="false">10*LOG10(T136/L_PREF^2)</f>
        <v>-18.7768782542964</v>
      </c>
      <c r="AE136" s="47" t="n">
        <f aca="false">10*LOG10(U136/L_PREF^2)</f>
        <v>-19.9639286724711</v>
      </c>
      <c r="AF136" s="47" t="n">
        <f aca="false">10*LOG10(V136/L_PREF^2)</f>
        <v>-2.71569663593945</v>
      </c>
      <c r="AG136" s="47" t="n">
        <f aca="false">10*LOG10(W136/L_PREF^2)</f>
        <v>-6.25400563432734</v>
      </c>
      <c r="AH136" s="47" t="n">
        <f aca="false">10*LOG10(X136/L_PREF^2)</f>
        <v>-19.2812811822015</v>
      </c>
      <c r="AI136" s="47" t="n">
        <f aca="false">10*LOG10(Y136/L_PREF^2)</f>
        <v>-14.4403864244865</v>
      </c>
      <c r="AJ136" s="47" t="n">
        <f aca="false">10*LOG10(Z136/L_PREF^2)</f>
        <v>-21.1857135452153</v>
      </c>
      <c r="AK136" s="47" t="n">
        <f aca="false">10*LOG10(R136/$R$6)</f>
        <v>-0.10199550121069</v>
      </c>
      <c r="AL136" s="37" t="n">
        <f aca="false">(12194^2*B136^4/((B136^2+20.6^2)*SQRT((B136^2+107.7^2)*(B136^2+737.9^2))*(B136^2+12194^2))*1.2589254)^2</f>
        <v>0.069758743600558</v>
      </c>
      <c r="AM136" s="37" t="n">
        <f aca="false">0.5*(B136-B135)*(S136*AL136+S135*AL135)</f>
        <v>3.70422021116E-013</v>
      </c>
      <c r="AN136" s="37" t="n">
        <f aca="false">0.5*(B136-B135)*(T136*AL136+T135*AL135)</f>
        <v>1.52916808942841E-012</v>
      </c>
      <c r="AO136" s="37" t="n">
        <f aca="false">0.5*(B136-B135)*(U136*AL136+U135*AL135)</f>
        <v>1.16345659250517E-012</v>
      </c>
      <c r="AP136" s="37" t="n">
        <f aca="false">0.5*(B136-B135)*(V136*AL136+V135*AL135)</f>
        <v>6.31189765670421E-011</v>
      </c>
      <c r="AQ136" s="37" t="n">
        <f aca="false">0.5*(B136-B135)*(W136*AL136+W135*AL135)</f>
        <v>2.79605946202564E-011</v>
      </c>
      <c r="AR136" s="37" t="n">
        <f aca="false">0.5*(B136-B135)*(X136*AL136+X135*AL135)</f>
        <v>1.36675874953104E-012</v>
      </c>
      <c r="AS136" s="37" t="n">
        <f aca="false">0.5*(B136-B135)*(Y136*AL136+Y135*AL135)</f>
        <v>4.24529939723004E-012</v>
      </c>
      <c r="AT136" s="37" t="n">
        <f aca="false">0.5*(B136-B135)*(Z136*AL136+Z135*AL135)</f>
        <v>8.78084104312591E-013</v>
      </c>
      <c r="AU136" s="37" t="n">
        <f aca="false">0.5*(B136-B135)*(AA136*AL136+AA135*AL135)</f>
        <v>1.00632760141422E-010</v>
      </c>
      <c r="AV136" s="37" t="n">
        <f aca="false">0.5*(B136-B135)*(S136+S135)</f>
        <v>5.45907341722228E-012</v>
      </c>
      <c r="AW136" s="37" t="n">
        <f aca="false">0.5*(B136-B135)*(T136+T135)</f>
        <v>2.25365338662071E-011</v>
      </c>
      <c r="AX136" s="37" t="n">
        <f aca="false">0.5*(B136-B135)*(U136+U135)</f>
        <v>1.71467604379945E-011</v>
      </c>
      <c r="AY136" s="37" t="n">
        <f aca="false">0.5*(B136-B135)*(V136+V135)</f>
        <v>9.30819430822623E-010</v>
      </c>
      <c r="AZ136" s="37" t="n">
        <f aca="false">0.5*(B136-B135)*(W136+W135)</f>
        <v>4.12342430659375E-010</v>
      </c>
      <c r="BA136" s="37" t="n">
        <f aca="false">0.5*(B136-B135)*(X136+X135)</f>
        <v>2.01452224104596E-011</v>
      </c>
      <c r="BB136" s="37" t="n">
        <f aca="false">0.5*(B136-B135)*(Y136+Y135)</f>
        <v>6.26065752930171E-011</v>
      </c>
      <c r="BC136" s="37" t="n">
        <f aca="false">0.5*(B136-B135)*(Z136+Z135)</f>
        <v>1.29409745662568E-011</v>
      </c>
      <c r="BD136" s="37" t="n">
        <f aca="false">0.5*(B136-B135)*(AA136+AA135)</f>
        <v>1.48399700147316E-009</v>
      </c>
      <c r="BE136" s="37" t="n">
        <f aca="false">IF(B136&gt;2000,AK136,-999)</f>
        <v>-999</v>
      </c>
      <c r="BF136" s="37" t="n">
        <f aca="false">IF(AND(B136&lt;1000,AK136&gt;=-3),B136,1000000000)</f>
        <v>186.650860159398</v>
      </c>
    </row>
    <row r="137" customFormat="false" ht="15" hidden="false" customHeight="false" outlineLevel="0" collapsed="false">
      <c r="A137" s="5" t="n">
        <v>98</v>
      </c>
      <c r="B137" s="47" t="n">
        <f aca="false">20*10^(A137/100)</f>
        <v>190.998517204287</v>
      </c>
      <c r="C137" s="37" t="n">
        <f aca="false">2*PI()*B137</f>
        <v>1200.07907699106</v>
      </c>
      <c r="D137" s="37" t="n">
        <f aca="false">SQRT(L_Rp0^2+L_Rp1^2*C137)</f>
        <v>78082460.4951235</v>
      </c>
      <c r="E137" s="5" t="str">
        <f aca="false">COMPLEX(D137,C137*L_Mp)</f>
        <v>78082460.4951235+17728431.1823135i</v>
      </c>
      <c r="F137" s="5" t="str">
        <f aca="false">IMDIV(1,E137)</f>
        <v>1.21791320398239e-08-2.76524206408444e-09i</v>
      </c>
      <c r="G137" s="5" t="str">
        <f aca="false">COMPLEX(0,C137*L_Cf)</f>
        <v>1.26898496033738e-12i</v>
      </c>
      <c r="H137" s="5" t="str">
        <f aca="false">COMPLEX(0,C137*L_Cbv)</f>
        <v>1.26898496033738e-11i</v>
      </c>
      <c r="I137" s="5" t="str">
        <f aca="false">COMPLEX(L_Rsq+L_Rh,C137*(L_Md+L_Mh)-1/(C137*L_Cd))</f>
        <v>552400610.124532-959914125257.407i</v>
      </c>
      <c r="J137" s="5" t="str">
        <f aca="false">IMDIV(1,I137)</f>
        <v>5.99500073832589e-16+1.0417595100683e-12i</v>
      </c>
      <c r="K137" s="5" t="str">
        <f aca="false">IMSUM(F137,G137,H137)</f>
        <v>1.21791320398239e-08-2.75128322952073e-09i</v>
      </c>
      <c r="L137" s="5" t="str">
        <f aca="false">IMSUM(IMPRODUCT(IMSUM(F137,G137),H137),IMPRODUCT(IMSUM(J137,L_Yv),K137))</f>
        <v>6.23061436213083e-20+1.61734864658319e-19i</v>
      </c>
      <c r="M137" s="37" t="n">
        <f aca="false">IMABS(IMDIV(IMPRODUCT(J137,F137,H137),L137))^2</f>
        <v>9.07418757708788E-025</v>
      </c>
      <c r="N137" s="5" t="str">
        <f aca="false">IMDIV(IMPRODUCT(L_Yv,K137,E137),H137)</f>
        <v>0.000171781413089323-0.157567278259351i</v>
      </c>
      <c r="O137" s="37" t="n">
        <f aca="false">IMABS(IMSUM(1,IMPRODUCT(E137,G137),N137))^2</f>
        <v>1.02509482262787</v>
      </c>
      <c r="P137" s="37" t="n">
        <f aca="false">IMABS(N137)^2</f>
        <v>0.0248274766869136</v>
      </c>
      <c r="Q137" s="37" t="n">
        <f aca="false">p_Rb^2/(1+(C137*p_Rb*L_Ctot)^2)</f>
        <v>1.14459724718072E+017</v>
      </c>
      <c r="R137" s="37" t="n">
        <f aca="false">M137*L_Kt^2*Q137</f>
        <v>2.08448068226652E-005</v>
      </c>
      <c r="S137" s="37" t="n">
        <f aca="false">L_kT4*D137</f>
        <v>1.28567612114757E-012</v>
      </c>
      <c r="T137" s="37" t="n">
        <f aca="false">L_kT4*L_Rsq*O137</f>
        <v>5.29511847372102E-012</v>
      </c>
      <c r="U137" s="37" t="n">
        <f aca="false">L_kT4*L_Rh*O137</f>
        <v>4.02875297943828E-012</v>
      </c>
      <c r="V137" s="37" t="n">
        <f aca="false">L_kT4*p_Rv*P137</f>
        <v>2.04399898020032E-010</v>
      </c>
      <c r="W137" s="37" t="n">
        <f aca="false">L_kT4/p_Rb*Q137/R137</f>
        <v>9.04134226606114E-011</v>
      </c>
      <c r="X137" s="37" t="n">
        <f aca="false">p_en^2*(1+p_fc/B137)/R137</f>
        <v>4.6778132494663E-012</v>
      </c>
      <c r="Y137" s="37" t="n">
        <f aca="false">p_in^2*Q137/R137</f>
        <v>1.37276067957627E-011</v>
      </c>
      <c r="Z137" s="37" t="n">
        <f aca="false">p_eo^2/L_G^2/R137</f>
        <v>3.0413199910067E-012</v>
      </c>
      <c r="AA137" s="37" t="n">
        <f aca="false">SUM(S137:Z137)</f>
        <v>3.26869608291186E-010</v>
      </c>
      <c r="AB137" s="47" t="n">
        <f aca="false">10*LOG10(AA137/L_PREF^2)</f>
        <v>-0.876854487378688</v>
      </c>
      <c r="AC137" s="47" t="n">
        <f aca="false">10*LOG10(S137/L_PREF^2)</f>
        <v>-24.9292841349702</v>
      </c>
      <c r="AD137" s="47" t="n">
        <f aca="false">10*LOG10(T137/L_PREF^2)</f>
        <v>-18.781843098103</v>
      </c>
      <c r="AE137" s="47" t="n">
        <f aca="false">10*LOG10(U137/L_PREF^2)</f>
        <v>-19.9688935162777</v>
      </c>
      <c r="AF137" s="47" t="n">
        <f aca="false">10*LOG10(V137/L_PREF^2)</f>
        <v>-2.91579316545074</v>
      </c>
      <c r="AG137" s="47" t="n">
        <f aca="false">10*LOG10(W137/L_PREF^2)</f>
        <v>-6.45827081265178</v>
      </c>
      <c r="AH137" s="47" t="n">
        <f aca="false">10*LOG10(X137/L_PREF^2)</f>
        <v>-19.320171116798</v>
      </c>
      <c r="AI137" s="47" t="n">
        <f aca="false">10*LOG10(Y137/L_PREF^2)</f>
        <v>-14.6446516028109</v>
      </c>
      <c r="AJ137" s="47" t="n">
        <f aca="false">10*LOG10(Z137/L_PREF^2)</f>
        <v>-21.189978746967</v>
      </c>
      <c r="AK137" s="47" t="n">
        <f aca="false">10*LOG10(R137/$R$6)</f>
        <v>-0.0977302994590081</v>
      </c>
      <c r="AL137" s="37" t="n">
        <f aca="false">(12194^2*B137^4/((B137^2+20.6^2)*SQRT((B137^2+107.7^2)*(B137^2+737.9^2))*(B137^2+12194^2))*1.2589254)^2</f>
        <v>0.0737463513728039</v>
      </c>
      <c r="AM137" s="37" t="n">
        <f aca="false">0.5*(B137-B136)*(S137*AL137+S136*AL136)</f>
        <v>4.00992935647509E-013</v>
      </c>
      <c r="AN137" s="37" t="n">
        <f aca="false">0.5*(B137-B136)*(T137*AL137+T136*AL136)</f>
        <v>1.65275964344677E-012</v>
      </c>
      <c r="AO137" s="37" t="n">
        <f aca="false">0.5*(B137-B136)*(U137*AL137+U136*AL136)</f>
        <v>1.25749034150549E-012</v>
      </c>
      <c r="AP137" s="37" t="n">
        <f aca="false">0.5*(B137-B136)*(V137*AL137+V136*AL136)</f>
        <v>6.52251803391969E-011</v>
      </c>
      <c r="AQ137" s="37" t="n">
        <f aca="false">0.5*(B137-B136)*(W137*AL137+W136*AL136)</f>
        <v>2.88652294916974E-011</v>
      </c>
      <c r="AR137" s="37" t="n">
        <f aca="false">0.5*(B137-B136)*(X137*AL137+X136*AL136)</f>
        <v>1.46565008497311E-012</v>
      </c>
      <c r="AS137" s="37" t="n">
        <f aca="false">0.5*(B137-B136)*(Y137*AL137+Y136*AL136)</f>
        <v>4.38265147885063E-012</v>
      </c>
      <c r="AT137" s="37" t="n">
        <f aca="false">0.5*(B137-B136)*(Z137*AL137+Z136*AL136)</f>
        <v>9.49209566021324E-013</v>
      </c>
      <c r="AU137" s="37" t="n">
        <f aca="false">0.5*(B137-B136)*(AA137*AL137+AA136*AL136)</f>
        <v>1.04199163881339E-010</v>
      </c>
      <c r="AV137" s="37" t="n">
        <f aca="false">0.5*(B137-B136)*(S137+S136)</f>
        <v>5.58852112468304E-012</v>
      </c>
      <c r="AW137" s="37" t="n">
        <f aca="false">0.5*(B137-B136)*(T137+T136)</f>
        <v>2.30345256408135E-011</v>
      </c>
      <c r="AX137" s="37" t="n">
        <f aca="false">0.5*(B137-B136)*(U137+U136)</f>
        <v>1.75256539142478E-011</v>
      </c>
      <c r="AY137" s="37" t="n">
        <f aca="false">0.5*(B137-B136)*(V137+V136)</f>
        <v>9.09611641401651E-010</v>
      </c>
      <c r="AZ137" s="37" t="n">
        <f aca="false">0.5*(B137-B136)*(W137+W136)</f>
        <v>4.02551573370925E-010</v>
      </c>
      <c r="BA137" s="37" t="n">
        <f aca="false">0.5*(B137-B136)*(X137+X136)</f>
        <v>2.04289952713837E-011</v>
      </c>
      <c r="BB137" s="37" t="n">
        <f aca="false">0.5*(B137-B136)*(Y137+Y136)</f>
        <v>6.11200146132628E-011</v>
      </c>
      <c r="BC137" s="37" t="n">
        <f aca="false">0.5*(B137-B136)*(Z137+Z136)</f>
        <v>1.3229112433167E-011</v>
      </c>
      <c r="BD137" s="37" t="n">
        <f aca="false">0.5*(B137-B136)*(AA137+AA136)</f>
        <v>1.45309003777013E-009</v>
      </c>
      <c r="BE137" s="37" t="n">
        <f aca="false">IF(B137&gt;2000,AK137,-999)</f>
        <v>-999</v>
      </c>
      <c r="BF137" s="37" t="n">
        <f aca="false">IF(AND(B137&lt;1000,AK137&gt;=-3),B137,1000000000)</f>
        <v>190.998517204287</v>
      </c>
    </row>
    <row r="138" customFormat="false" ht="15" hidden="false" customHeight="false" outlineLevel="0" collapsed="false">
      <c r="A138" s="5" t="n">
        <v>99</v>
      </c>
      <c r="B138" s="47" t="n">
        <f aca="false">20*10^(A138/100)</f>
        <v>195.447444191162</v>
      </c>
      <c r="C138" s="37" t="n">
        <f aca="false">2*PI()*B138</f>
        <v>1228.03250966771</v>
      </c>
      <c r="D138" s="37" t="n">
        <f aca="false">SQRT(L_Rp0^2+L_Rp1^2*C138)</f>
        <v>78115544.5349883</v>
      </c>
      <c r="E138" s="5" t="str">
        <f aca="false">COMPLEX(D138,C138*L_Mp)</f>
        <v>78115544.5349883+18141379.392993i</v>
      </c>
      <c r="F138" s="5" t="str">
        <f aca="false">IMDIV(1,E138)</f>
        <v>1.2146438740301e-08-2.82086177307323e-09i</v>
      </c>
      <c r="G138" s="5" t="str">
        <f aca="false">COMPLEX(0,C138*L_Cf)</f>
        <v>1.29854341722292e-12i</v>
      </c>
      <c r="H138" s="5" t="str">
        <f aca="false">COMPLEX(0,C138*L_Cbv)</f>
        <v>1.29854341722292e-11i</v>
      </c>
      <c r="I138" s="5" t="str">
        <f aca="false">COMPLEX(L_Rsq+L_Rh,C138*(L_Md+L_Mh)-1/(C138*L_Cd))</f>
        <v>552400610.124532-938063603863.799i</v>
      </c>
      <c r="J138" s="5" t="str">
        <f aca="false">IMDIV(1,I138)</f>
        <v>6.27753910805596e-16+1.06602542632445e-12i</v>
      </c>
      <c r="K138" s="5" t="str">
        <f aca="false">IMSUM(F138,G138,H138)</f>
        <v>1.2146438740301e-08-2.80657779548378e-09i</v>
      </c>
      <c r="L138" s="5" t="str">
        <f aca="false">IMSUM(IMPRODUCT(IMSUM(F138,G138),H138),IMPRODUCT(IMSUM(J138,L_Yv),K138))</f>
        <v>6.39056384591031e-20+1.65060275794492e-19i</v>
      </c>
      <c r="M138" s="37" t="n">
        <f aca="false">IMABS(IMDIV(IMPRODUCT(J138,F138,H138),L138))^2</f>
        <v>9.51076862534565E-025</v>
      </c>
      <c r="N138" s="5" t="str">
        <f aca="false">IMDIV(IMPRODUCT(L_Yv,K138,E138),H138)</f>
        <v>0.000171854197977013-0.153978812827278i</v>
      </c>
      <c r="O138" s="37" t="n">
        <f aca="false">IMABS(IMSUM(1,IMPRODUCT(E138,G138),N138))^2</f>
        <v>1.02397486261843</v>
      </c>
      <c r="P138" s="37" t="n">
        <f aca="false">IMABS(N138)^2</f>
        <v>0.0237095043335633</v>
      </c>
      <c r="Q138" s="37" t="n">
        <f aca="false">p_Rb^2/(1+(C138*p_Rb*L_Ctot)^2)</f>
        <v>1.09308189066918E+017</v>
      </c>
      <c r="R138" s="37" t="n">
        <f aca="false">M138*L_Kt^2*Q138</f>
        <v>2.08643923450131E-005</v>
      </c>
      <c r="S138" s="37" t="n">
        <f aca="false">L_kT4*D138</f>
        <v>1.28622087037519E-012</v>
      </c>
      <c r="T138" s="37" t="n">
        <f aca="false">L_kT4*L_Rsq*O138</f>
        <v>5.28933332994222E-012</v>
      </c>
      <c r="U138" s="37" t="n">
        <f aca="false">L_kT4*L_Rh*O138</f>
        <v>4.02435139421389E-012</v>
      </c>
      <c r="V138" s="37" t="n">
        <f aca="false">L_kT4*p_Rv*P138</f>
        <v>1.9519584406418E-010</v>
      </c>
      <c r="W138" s="37" t="n">
        <f aca="false">L_kT4/p_Rb*Q138/R138</f>
        <v>8.62630970248316E-011</v>
      </c>
      <c r="X138" s="37" t="n">
        <f aca="false">p_en^2*(1+p_fc/B138)/R138</f>
        <v>4.63686524645458E-012</v>
      </c>
      <c r="Y138" s="37" t="n">
        <f aca="false">p_in^2*Q138/R138</f>
        <v>1.30974565733093E-011</v>
      </c>
      <c r="Z138" s="37" t="n">
        <f aca="false">p_eo^2/L_G^2/R138</f>
        <v>3.03846508683955E-012</v>
      </c>
      <c r="AA138" s="37" t="n">
        <f aca="false">SUM(S138:Z138)</f>
        <v>3.12831633590146E-010</v>
      </c>
      <c r="AB138" s="47" t="n">
        <f aca="false">10*LOG10(AA138/L_PREF^2)</f>
        <v>-1.06749328784748</v>
      </c>
      <c r="AC138" s="47" t="n">
        <f aca="false">10*LOG10(S138/L_PREF^2)</f>
        <v>-24.9274443910932</v>
      </c>
      <c r="AD138" s="47" t="n">
        <f aca="false">10*LOG10(T138/L_PREF^2)</f>
        <v>-18.7865905452395</v>
      </c>
      <c r="AE138" s="47" t="n">
        <f aca="false">10*LOG10(U138/L_PREF^2)</f>
        <v>-19.9736409634142</v>
      </c>
      <c r="AF138" s="47" t="n">
        <f aca="false">10*LOG10(V138/L_PREF^2)</f>
        <v>-3.11589424509625</v>
      </c>
      <c r="AG138" s="47" t="n">
        <f aca="false">10*LOG10(W138/L_PREF^2)</f>
        <v>-6.66234945161783</v>
      </c>
      <c r="AH138" s="47" t="n">
        <f aca="false">10*LOG10(X138/L_PREF^2)</f>
        <v>-19.3583551643098</v>
      </c>
      <c r="AI138" s="47" t="n">
        <f aca="false">10*LOG10(Y138/L_PREF^2)</f>
        <v>-14.848730241777</v>
      </c>
      <c r="AJ138" s="47" t="n">
        <f aca="false">10*LOG10(Z138/L_PREF^2)</f>
        <v>-21.1940574083059</v>
      </c>
      <c r="AK138" s="47" t="n">
        <f aca="false">10*LOG10(R138/$R$6)</f>
        <v>-0.0936516381201246</v>
      </c>
      <c r="AL138" s="37" t="n">
        <f aca="false">(12194^2*B138^4/((B138^2+20.6^2)*SQRT((B138^2+107.7^2)*(B138^2+737.9^2))*(B138^2+12194^2))*1.2589254)^2</f>
        <v>0.0779180784761379</v>
      </c>
      <c r="AM138" s="37" t="n">
        <f aca="false">0.5*(B138-B137)*(S138*AL138+S137*AL137)</f>
        <v>4.33845527372728E-013</v>
      </c>
      <c r="AN138" s="37" t="n">
        <f aca="false">0.5*(B138-B137)*(T138*AL138+T137*AL137)</f>
        <v>1.7854219278991E-012</v>
      </c>
      <c r="AO138" s="37" t="n">
        <f aca="false">0.5*(B138-B137)*(U138*AL138+U137*AL137)</f>
        <v>1.35842549081309E-012</v>
      </c>
      <c r="AP138" s="37" t="n">
        <f aca="false">0.5*(B138-B137)*(V138*AL138+V137*AL137)</f>
        <v>6.7363498700718E-011</v>
      </c>
      <c r="AQ138" s="37" t="n">
        <f aca="false">0.5*(B138-B137)*(W138*AL138+W137*AL137)</f>
        <v>2.97835970818718E-011</v>
      </c>
      <c r="AR138" s="37" t="n">
        <f aca="false">0.5*(B138-B137)*(X138*AL138+X137*AL137)</f>
        <v>1.57106580256453E-012</v>
      </c>
      <c r="AS138" s="37" t="n">
        <f aca="false">0.5*(B138-B137)*(Y138*AL138+Y137*AL137)</f>
        <v>4.52208861993983E-012</v>
      </c>
      <c r="AT138" s="37" t="n">
        <f aca="false">0.5*(B138-B137)*(Z138*AL138+Z137*AL137)</f>
        <v>1.02556134094909E-012</v>
      </c>
      <c r="AU138" s="37" t="n">
        <f aca="false">0.5*(B138-B137)*(AA138*AL138+AA137*AL137)</f>
        <v>1.07843504492128E-010</v>
      </c>
      <c r="AV138" s="37" t="n">
        <f aca="false">0.5*(B138-B137)*(S138+S137)</f>
        <v>5.72109096652407E-012</v>
      </c>
      <c r="AW138" s="37" t="n">
        <f aca="false">0.5*(B138-B137)*(T138+T137)</f>
        <v>2.35447266352974E-011</v>
      </c>
      <c r="AX138" s="37" t="n">
        <f aca="false">0.5*(B138-B137)*(U138+U137)</f>
        <v>1.7913836688031E-011</v>
      </c>
      <c r="AY138" s="37" t="n">
        <f aca="false">0.5*(B138-B137)*(V138+V137)</f>
        <v>8.88886140399389E-010</v>
      </c>
      <c r="AZ138" s="37" t="n">
        <f aca="false">0.5*(B138-B137)*(W138+W137)</f>
        <v>3.93010468187857E-010</v>
      </c>
      <c r="BA138" s="37" t="n">
        <f aca="false">0.5*(B138-B137)*(X138+X137)</f>
        <v>2.07201622672832E-011</v>
      </c>
      <c r="BB138" s="37" t="n">
        <f aca="false">0.5*(B138-B137)*(Y138+Y137)</f>
        <v>5.96713741736477E-011</v>
      </c>
      <c r="BC138" s="37" t="n">
        <f aca="false">0.5*(B138-B137)*(Z138+Z137)</f>
        <v>1.35242599536149E-011</v>
      </c>
      <c r="BD138" s="37" t="n">
        <f aca="false">0.5*(B138-B137)*(AA138+AA137)</f>
        <v>1.42299205927164E-009</v>
      </c>
      <c r="BE138" s="37" t="n">
        <f aca="false">IF(B138&gt;2000,AK138,-999)</f>
        <v>-999</v>
      </c>
      <c r="BF138" s="37" t="n">
        <f aca="false">IF(AND(B138&lt;1000,AK138&gt;=-3),B138,1000000000)</f>
        <v>195.447444191162</v>
      </c>
    </row>
    <row r="139" customFormat="false" ht="15" hidden="false" customHeight="false" outlineLevel="0" collapsed="false">
      <c r="A139" s="5" t="n">
        <v>100</v>
      </c>
      <c r="B139" s="47" t="n">
        <f aca="false">20*10^(A139/100)</f>
        <v>200</v>
      </c>
      <c r="C139" s="37" t="n">
        <f aca="false">2*PI()*B139</f>
        <v>1256.63706143592</v>
      </c>
      <c r="D139" s="37" t="n">
        <f aca="false">SQRT(L_Rp0^2+L_Rp1^2*C139)</f>
        <v>78149384.7020648</v>
      </c>
      <c r="E139" s="5" t="str">
        <f aca="false">COMPLEX(D139,C139*L_Mp)</f>
        <v>78149384.7020648+18563946.4031562i</v>
      </c>
      <c r="F139" s="5" t="str">
        <f aca="false">IMDIV(1,E139)</f>
        <v>1.21125284415936e-08-2.87726294523863e-09i</v>
      </c>
      <c r="G139" s="5" t="str">
        <f aca="false">COMPLEX(0,C139*L_Cf)</f>
        <v>1.32879037901651e-12i</v>
      </c>
      <c r="H139" s="5" t="str">
        <f aca="false">COMPLEX(0,C139*L_Cbv)</f>
        <v>1.32879037901651e-11i</v>
      </c>
      <c r="I139" s="5" t="str">
        <f aca="false">COMPLEX(L_Rsq+L_Rh,C139*(L_Md+L_Mh)-1/(C139*L_Cd))</f>
        <v>552400610.124532-916710456209.699i</v>
      </c>
      <c r="J139" s="5" t="str">
        <f aca="false">IMDIV(1,I139)</f>
        <v>6.5733933603874e-16+1.09085658411711e-12i</v>
      </c>
      <c r="K139" s="5" t="str">
        <f aca="false">IMSUM(F139,G139,H139)</f>
        <v>1.21125284415936e-08-2.86264625106945e-09i</v>
      </c>
      <c r="L139" s="5" t="str">
        <f aca="false">IMSUM(IMPRODUCT(IMSUM(F139,G139),H139),IMPRODUCT(IMSUM(J139,L_Yv),K139))</f>
        <v>6.55708917921923e-20+1.68435969756227e-19i</v>
      </c>
      <c r="M139" s="37" t="n">
        <f aca="false">IMABS(IMDIV(IMPRODUCT(J139,F139,H139),L139))^2</f>
        <v>9.96794515570515E-025</v>
      </c>
      <c r="N139" s="5" t="str">
        <f aca="false">IMDIV(IMPRODUCT(L_Yv,K139,E139),H139)</f>
        <v>0.000171928646344363-0.150471988999919i</v>
      </c>
      <c r="O139" s="37" t="n">
        <f aca="false">IMABS(IMSUM(1,IMPRODUCT(E139,G139),N139))^2</f>
        <v>1.02290512277721</v>
      </c>
      <c r="P139" s="37" t="n">
        <f aca="false">IMABS(N139)^2</f>
        <v>0.0226418490330512</v>
      </c>
      <c r="Q139" s="37" t="n">
        <f aca="false">p_Rb^2/(1+(C139*p_Rb*L_Ctot)^2)</f>
        <v>1.04388510663894E+017</v>
      </c>
      <c r="R139" s="37" t="n">
        <f aca="false">M139*L_Kt^2*Q139</f>
        <v>2.08831383816717E-005</v>
      </c>
      <c r="S139" s="37" t="n">
        <f aca="false">L_kT4*D139</f>
        <v>1.28677806970613E-012</v>
      </c>
      <c r="T139" s="37" t="n">
        <f aca="false">L_kT4*L_Rsq*O139</f>
        <v>5.28380759800964E-012</v>
      </c>
      <c r="U139" s="37" t="n">
        <f aca="false">L_kT4*L_Rh*O139</f>
        <v>4.02014718063539E-012</v>
      </c>
      <c r="V139" s="37" t="n">
        <f aca="false">L_kT4*p_Rv*P139</f>
        <v>1.8640604084345E-010</v>
      </c>
      <c r="W139" s="37" t="n">
        <f aca="false">L_kT4/p_Rb*Q139/R139</f>
        <v>8.23066684149384E-011</v>
      </c>
      <c r="X139" s="37" t="n">
        <f aca="false">p_en^2*(1+p_fc/B139)/R139</f>
        <v>4.5970101928863E-012</v>
      </c>
      <c r="Y139" s="37" t="n">
        <f aca="false">p_in^2*Q139/R139</f>
        <v>1.24967460297433E-011</v>
      </c>
      <c r="Z139" s="37" t="n">
        <f aca="false">p_eo^2/L_G^2/R139</f>
        <v>3.03573756682494E-012</v>
      </c>
      <c r="AA139" s="37" t="n">
        <f aca="false">SUM(S139:Z139)</f>
        <v>2.99432935896194E-010</v>
      </c>
      <c r="AB139" s="47" t="n">
        <f aca="false">10*LOG10(AA139/L_PREF^2)</f>
        <v>-1.25760422804988</v>
      </c>
      <c r="AC139" s="47" t="n">
        <f aca="false">10*LOG10(S139/L_PREF^2)</f>
        <v>-24.9255634062645</v>
      </c>
      <c r="AD139" s="47" t="n">
        <f aca="false">10*LOG10(T139/L_PREF^2)</f>
        <v>-18.791129962848</v>
      </c>
      <c r="AE139" s="47" t="n">
        <f aca="false">10*LOG10(U139/L_PREF^2)</f>
        <v>-19.9781803810227</v>
      </c>
      <c r="AF139" s="47" t="n">
        <f aca="false">10*LOG10(V139/L_PREF^2)</f>
        <v>-3.31600008940546</v>
      </c>
      <c r="AG139" s="47" t="n">
        <f aca="false">10*LOG10(W139/L_PREF^2)</f>
        <v>-6.86624968527726</v>
      </c>
      <c r="AH139" s="47" t="n">
        <f aca="false">10*LOG10(X139/L_PREF^2)</f>
        <v>-19.3958452462151</v>
      </c>
      <c r="AI139" s="47" t="n">
        <f aca="false">10*LOG10(Y139/L_PREF^2)</f>
        <v>-15.0526304754364</v>
      </c>
      <c r="AJ139" s="47" t="n">
        <f aca="false">10*LOG10(Z139/L_PREF^2)</f>
        <v>-21.1979576633312</v>
      </c>
      <c r="AK139" s="47" t="n">
        <f aca="false">10*LOG10(R139/$R$6)</f>
        <v>-0.0897513830947976</v>
      </c>
      <c r="AL139" s="37" t="n">
        <f aca="false">(12194^2*B139^4/((B139^2+20.6^2)*SQRT((B139^2+107.7^2)*(B139^2+737.9^2))*(B139^2+12194^2))*1.2589254)^2</f>
        <v>0.0822800316927479</v>
      </c>
      <c r="AM139" s="37" t="n">
        <f aca="false">0.5*(B139-B138)*(S139*AL139+S138*AL138)</f>
        <v>4.69131768877862E-013</v>
      </c>
      <c r="AN139" s="37" t="n">
        <f aca="false">0.5*(B139-B138)*(T139*AL139+T138*AL138)</f>
        <v>1.92774913246328E-012</v>
      </c>
      <c r="AO139" s="37" t="n">
        <f aca="false">0.5*(B139-B138)*(U139*AL139+U138*AL138)</f>
        <v>1.46671412539016E-012</v>
      </c>
      <c r="AP139" s="37" t="n">
        <f aca="false">0.5*(B139-B138)*(V139*AL139+V138*AL138)</f>
        <v>6.95329604660478E-011</v>
      </c>
      <c r="AQ139" s="37" t="n">
        <f aca="false">0.5*(B139-B138)*(W139*AL139+W138*AL138)</f>
        <v>3.07152974571401E-011</v>
      </c>
      <c r="AR139" s="37" t="n">
        <f aca="false">0.5*(B139-B138)*(X139*AL139+X138*AL138)</f>
        <v>1.68339349562097E-012</v>
      </c>
      <c r="AS139" s="37" t="n">
        <f aca="false">0.5*(B139-B138)*(Y139*AL139+Y138*AL138)</f>
        <v>4.66355009796792E-012</v>
      </c>
      <c r="AT139" s="37" t="n">
        <f aca="false">0.5*(B139-B138)*(Z139*AL139+Z138*AL138)</f>
        <v>1.10748191458721E-012</v>
      </c>
      <c r="AU139" s="37" t="n">
        <f aca="false">0.5*(B139-B138)*(AA139*AL139+AA138*AL138)</f>
        <v>1.11566278458095E-010</v>
      </c>
      <c r="AV139" s="37" t="n">
        <f aca="false">0.5*(B139-B138)*(S139+S138)</f>
        <v>5.85686063540044E-012</v>
      </c>
      <c r="AW139" s="37" t="n">
        <f aca="false">0.5*(B139-B138)*(T139+T138)</f>
        <v>2.40674070746043E-011</v>
      </c>
      <c r="AX139" s="37" t="n">
        <f aca="false">0.5*(B139-B138)*(U139+U138)</f>
        <v>1.8311514358059E-011</v>
      </c>
      <c r="AY139" s="37" t="n">
        <f aca="false">0.5*(B139-B138)*(V139+V138)</f>
        <v>8.68631938899854E-010</v>
      </c>
      <c r="AZ139" s="37" t="n">
        <f aca="false">0.5*(B139-B138)*(W139+W138)</f>
        <v>3.83711632423631E-010</v>
      </c>
      <c r="BA139" s="37" t="n">
        <f aca="false">0.5*(B139-B138)*(X139+X138)</f>
        <v>2.10188666347283E-011</v>
      </c>
      <c r="BB139" s="37" t="n">
        <f aca="false">0.5*(B139-B138)*(Y139+Y138)</f>
        <v>5.82595178665501E-011</v>
      </c>
      <c r="BC139" s="37" t="n">
        <f aca="false">0.5*(B139-B138)*(Z139+Z138)</f>
        <v>1.38265732874993E-011</v>
      </c>
      <c r="BD139" s="37" t="n">
        <f aca="false">0.5*(B139-B138)*(AA139+AA138)</f>
        <v>1.39368431118033E-009</v>
      </c>
      <c r="BE139" s="37" t="n">
        <f aca="false">IF(B139&gt;2000,AK139,-999)</f>
        <v>-999</v>
      </c>
      <c r="BF139" s="37" t="n">
        <f aca="false">IF(AND(B139&lt;1000,AK139&gt;=-3),B139,1000000000)</f>
        <v>200</v>
      </c>
    </row>
    <row r="140" customFormat="false" ht="15" hidden="false" customHeight="false" outlineLevel="0" collapsed="false">
      <c r="A140" s="5" t="n">
        <v>101</v>
      </c>
      <c r="B140" s="47" t="n">
        <f aca="false">20*10^(A140/100)</f>
        <v>204.658598456151</v>
      </c>
      <c r="C140" s="37" t="n">
        <f aca="false">2*PI()*B140</f>
        <v>1285.90789880765</v>
      </c>
      <c r="D140" s="37" t="n">
        <f aca="false">SQRT(L_Rp0^2+L_Rp1^2*C140)</f>
        <v>78183997.9452156</v>
      </c>
      <c r="E140" s="5" t="str">
        <f aca="false">COMPLEX(D140,C140*L_Mp)</f>
        <v>78183997.9452156+18996356.2634253i</v>
      </c>
      <c r="F140" s="5" t="str">
        <f aca="false">IMDIV(1,E140)</f>
        <v>1.20773617437148e-08-2.93443508180063e-09i</v>
      </c>
      <c r="G140" s="5" t="str">
        <f aca="false">COMPLEX(0,C140*L_Cf)</f>
        <v>1.35974188305769e-12i</v>
      </c>
      <c r="H140" s="5" t="str">
        <f aca="false">COMPLEX(0,C140*L_Cbv)</f>
        <v>1.35974188305769e-11i</v>
      </c>
      <c r="I140" s="5" t="str">
        <f aca="false">COMPLEX(L_Rsq+L_Rh,C140*(L_Md+L_Mh)-1/(C140*L_Cd))</f>
        <v>552400610.124532-895843360573.58i</v>
      </c>
      <c r="J140" s="5" t="str">
        <f aca="false">IMDIV(1,I140)</f>
        <v>6.88319107856645e-16+1.11626615073849e-12i</v>
      </c>
      <c r="K140" s="5" t="str">
        <f aca="false">IMSUM(F140,G140,H140)</f>
        <v>1.20773617437148e-08-2.919477921087e-09i</v>
      </c>
      <c r="L140" s="5" t="str">
        <f aca="false">IMSUM(IMPRODUCT(IMSUM(F140,G140),H140),IMPRODUCT(IMSUM(J140,L_Yv),K140))</f>
        <v>6.7304204805924e-20+1.71861530727798e-19i</v>
      </c>
      <c r="M140" s="37" t="n">
        <f aca="false">IMABS(IMDIV(IMPRODUCT(J140,F140,H140),L140))^2</f>
        <v>1.04466874793505E-024</v>
      </c>
      <c r="N140" s="5" t="str">
        <f aca="false">IMDIV(IMPRODUCT(L_Yv,K140,E140),H140)</f>
        <v>0.000172004795479531-0.147044947412858i</v>
      </c>
      <c r="O140" s="37" t="n">
        <f aca="false">IMABS(IMSUM(1,IMPRODUCT(E140,G140),N140))^2</f>
        <v>1.02188333382363</v>
      </c>
      <c r="P140" s="37" t="n">
        <f aca="false">IMABS(N140)^2</f>
        <v>0.0216222461452999</v>
      </c>
      <c r="Q140" s="37" t="n">
        <f aca="false">p_Rb^2/(1+(C140*p_Rb*L_Ctot)^2)</f>
        <v>99690254218208900</v>
      </c>
      <c r="R140" s="37" t="n">
        <f aca="false">M140*L_Kt^2*Q140</f>
        <v>2.09010801768346E-005</v>
      </c>
      <c r="S140" s="37" t="n">
        <f aca="false">L_kT4*D140</f>
        <v>1.28734799821392E-012</v>
      </c>
      <c r="T140" s="37" t="n">
        <f aca="false">L_kT4*L_Rsq*O140</f>
        <v>5.27852955597399E-012</v>
      </c>
      <c r="U140" s="37" t="n">
        <f aca="false">L_kT4*L_Rh*O140</f>
        <v>4.0161314201416E-012</v>
      </c>
      <c r="V140" s="37" t="n">
        <f aca="false">L_kT4*p_Rv*P140</f>
        <v>1.78011844006397E-010</v>
      </c>
      <c r="W140" s="37" t="n">
        <f aca="false">L_kT4/p_Rb*Q140/R140</f>
        <v>7.85347851489401E-011</v>
      </c>
      <c r="X140" s="37" t="n">
        <f aca="false">p_en^2*(1+p_fc/B140)/R140</f>
        <v>4.55821375089402E-012</v>
      </c>
      <c r="Y140" s="37" t="n">
        <f aca="false">p_in^2*Q140/R140</f>
        <v>1.19240552850349E-011</v>
      </c>
      <c r="Z140" s="37" t="n">
        <f aca="false">p_eo^2/L_G^2/R140</f>
        <v>3.03313164497154E-012</v>
      </c>
      <c r="AA140" s="37" t="n">
        <f aca="false">SUM(S140:Z140)</f>
        <v>2.86644038810567E-010</v>
      </c>
      <c r="AB140" s="47" t="n">
        <f aca="false">10*LOG10(AA140/L_PREF^2)</f>
        <v>-1.44717076923517</v>
      </c>
      <c r="AC140" s="47" t="n">
        <f aca="false">10*LOG10(S140/L_PREF^2)</f>
        <v>-24.9236402929163</v>
      </c>
      <c r="AD140" s="47" t="n">
        <f aca="false">10*LOG10(T140/L_PREF^2)</f>
        <v>-18.7954703369313</v>
      </c>
      <c r="AE140" s="47" t="n">
        <f aca="false">10*LOG10(U140/L_PREF^2)</f>
        <v>-19.9825207551061</v>
      </c>
      <c r="AF140" s="47" t="n">
        <f aca="false">10*LOG10(V140/L_PREF^2)</f>
        <v>-3.51611092302792</v>
      </c>
      <c r="AG140" s="47" t="n">
        <f aca="false">10*LOG10(W140/L_PREF^2)</f>
        <v>-7.06997931371286</v>
      </c>
      <c r="AH140" s="47" t="n">
        <f aca="false">10*LOG10(X140/L_PREF^2)</f>
        <v>-19.4326530438945</v>
      </c>
      <c r="AI140" s="47" t="n">
        <f aca="false">10*LOG10(Y140/L_PREF^2)</f>
        <v>-15.256360103872</v>
      </c>
      <c r="AJ140" s="47" t="n">
        <f aca="false">10*LOG10(Z140/L_PREF^2)</f>
        <v>-21.2016873121711</v>
      </c>
      <c r="AK140" s="47" t="n">
        <f aca="false">10*LOG10(R140/$R$6)</f>
        <v>-0.0860217342549272</v>
      </c>
      <c r="AL140" s="37" t="n">
        <f aca="false">(12194^2*B140^4/((B140^2+20.6^2)*SQRT((B140^2+107.7^2)*(B140^2+737.9^2))*(B140^2+12194^2))*1.2589254)^2</f>
        <v>0.086838399317114</v>
      </c>
      <c r="AM140" s="37" t="n">
        <f aca="false">0.5*(B140-B139)*(S140*AL140+S139*AL139)</f>
        <v>5.07012459945519E-013</v>
      </c>
      <c r="AN140" s="37" t="n">
        <f aca="false">0.5*(B140-B139)*(T140*AL140+T139*AL139)</f>
        <v>2.08036914857721E-012</v>
      </c>
      <c r="AO140" s="37" t="n">
        <f aca="false">0.5*(B140-B139)*(U140*AL140+U139*AL139)</f>
        <v>1.58283397194174E-012</v>
      </c>
      <c r="AP140" s="37" t="n">
        <f aca="false">0.5*(B140-B139)*(V140*AL140+V139*AL139)</f>
        <v>7.17325365982982E-011</v>
      </c>
      <c r="AQ140" s="37" t="n">
        <f aca="false">0.5*(B140-B139)*(W140*AL140+W139*AL139)</f>
        <v>3.16599057294491E-011</v>
      </c>
      <c r="AR140" s="37" t="n">
        <f aca="false">0.5*(B140-B139)*(X140*AL140+X139*AL139)</f>
        <v>1.8030409568337E-012</v>
      </c>
      <c r="AS140" s="37" t="n">
        <f aca="false">0.5*(B140-B139)*(Y140*AL140+Y139*AL139)</f>
        <v>4.80697140153872E-012</v>
      </c>
      <c r="AT140" s="37" t="n">
        <f aca="false">0.5*(B140-B139)*(Z140*AL140+Z139*AL139)</f>
        <v>1.19533319366467E-012</v>
      </c>
      <c r="AU140" s="37" t="n">
        <f aca="false">0.5*(B140-B139)*(AA140*AL140+AA139*AL139)</f>
        <v>1.15368003460249E-010</v>
      </c>
      <c r="AV140" s="37" t="n">
        <f aca="false">0.5*(B140-B139)*(S140+S139)</f>
        <v>5.99590986297496E-012</v>
      </c>
      <c r="AW140" s="37" t="n">
        <f aca="false">0.5*(B140-B139)*(T140+T139)</f>
        <v>2.46028437794463E-011</v>
      </c>
      <c r="AX140" s="37" t="n">
        <f aca="false">0.5*(B140-B139)*(U140+U139)</f>
        <v>1.87188975413888E-011</v>
      </c>
      <c r="AY140" s="37" t="n">
        <f aca="false">0.5*(B140-B139)*(V140+V139)</f>
        <v>8.48838297877624E-010</v>
      </c>
      <c r="AZ140" s="37" t="n">
        <f aca="false">0.5*(B140-B139)*(W140+W139)</f>
        <v>3.7464787362887E-010</v>
      </c>
      <c r="BA140" s="37" t="n">
        <f aca="false">0.5*(B140-B139)*(X140+X139)</f>
        <v>2.1325256065105E-011</v>
      </c>
      <c r="BB140" s="37" t="n">
        <f aca="false">0.5*(B140-B139)*(Y140+Y139)</f>
        <v>5.68833536514958E-011</v>
      </c>
      <c r="BC140" s="37" t="n">
        <f aca="false">0.5*(B140-B139)*(Z140+Z139)</f>
        <v>1.41362123703282E-011</v>
      </c>
      <c r="BD140" s="37" t="n">
        <f aca="false">0.5*(B140-B139)*(AA140+AA139)</f>
        <v>1.36514864477723E-009</v>
      </c>
      <c r="BE140" s="37" t="n">
        <f aca="false">IF(B140&gt;2000,AK140,-999)</f>
        <v>-999</v>
      </c>
      <c r="BF140" s="37" t="n">
        <f aca="false">IF(AND(B140&lt;1000,AK140&gt;=-3),B140,1000000000)</f>
        <v>204.658598456151</v>
      </c>
    </row>
    <row r="141" customFormat="false" ht="15" hidden="false" customHeight="false" outlineLevel="0" collapsed="false">
      <c r="A141" s="5" t="n">
        <v>102</v>
      </c>
      <c r="B141" s="47" t="n">
        <f aca="false">20*10^(A141/100)</f>
        <v>209.42570961018</v>
      </c>
      <c r="C141" s="37" t="n">
        <f aca="false">2*PI()*B141</f>
        <v>1315.86054156834</v>
      </c>
      <c r="D141" s="37" t="n">
        <f aca="false">SQRT(L_Rp0^2+L_Rp1^2*C141)</f>
        <v>78219401.5781822</v>
      </c>
      <c r="E141" s="5" t="str">
        <f aca="false">COMPLEX(D141,C141*L_Mp)</f>
        <v>78219401.5781822+19438838.2432317i</v>
      </c>
      <c r="F141" s="5" t="str">
        <f aca="false">IMDIV(1,E141)</f>
        <v>1.20408985737265e-08-2.99236602371444e-09i</v>
      </c>
      <c r="G141" s="5" t="str">
        <f aca="false">COMPLEX(0,C141*L_Cf)</f>
        <v>1.39141434024357e-12i</v>
      </c>
      <c r="H141" s="5" t="str">
        <f aca="false">COMPLEX(0,C141*L_Cbv)</f>
        <v>1.39141434024357e-11i</v>
      </c>
      <c r="I141" s="5" t="str">
        <f aca="false">COMPLEX(L_Rsq+L_Rh,C141*(L_Md+L_Mh)-1/(C141*L_Cd))</f>
        <v>552400610.124532-875451252945.125i</v>
      </c>
      <c r="J141" s="5" t="str">
        <f aca="false">IMDIV(1,I141)</f>
        <v>7.20758942534175e-16+1.14226760026695e-12i</v>
      </c>
      <c r="K141" s="5" t="str">
        <f aca="false">IMSUM(F141,G141,H141)</f>
        <v>1.20408985737265e-08-2.97706046597176e-09i</v>
      </c>
      <c r="L141" s="5" t="str">
        <f aca="false">IMSUM(IMPRODUCT(IMSUM(F141,G141),H141),IMPRODUCT(IMSUM(J141,L_Yv),K141))</f>
        <v>6.9107925074968e-20+1.75336451092985e-19i</v>
      </c>
      <c r="M141" s="37" t="n">
        <f aca="false">IMABS(IMDIV(IMPRODUCT(J141,F141,H141),L141))^2</f>
        <v>1.09480116998901E-024</v>
      </c>
      <c r="N141" s="5" t="str">
        <f aca="false">IMDIV(IMPRODUCT(L_Yv,K141,E141),H141)</f>
        <v>0.000172082683472095-0.143695871003287i</v>
      </c>
      <c r="O141" s="37" t="n">
        <f aca="false">IMABS(IMSUM(1,IMPRODUCT(E141,G141),N141))^2</f>
        <v>1.02090732818233</v>
      </c>
      <c r="P141" s="37" t="n">
        <f aca="false">IMABS(N141)^2</f>
        <v>0.0206485329558433</v>
      </c>
      <c r="Q141" s="37" t="n">
        <f aca="false">p_Rb^2/(1+(C141*p_Rb*L_Ctot)^2)</f>
        <v>95203454104140600</v>
      </c>
      <c r="R141" s="37" t="n">
        <f aca="false">M141*L_Kt^2*Q141</f>
        <v>2.09182516523901E-005</v>
      </c>
      <c r="S141" s="37" t="n">
        <f aca="false">L_kT4*D141</f>
        <v>1.28793094098004E-012</v>
      </c>
      <c r="T141" s="37" t="n">
        <f aca="false">L_kT4*L_Rsq*O141</f>
        <v>5.27348800724344E-012</v>
      </c>
      <c r="U141" s="37" t="n">
        <f aca="false">L_kT4*L_Rh*O141</f>
        <v>4.01229559388578E-012</v>
      </c>
      <c r="V141" s="37" t="n">
        <f aca="false">L_kT4*p_Rv*P141</f>
        <v>1.69995448335765E-010</v>
      </c>
      <c r="W141" s="37" t="n">
        <f aca="false">L_kT4/p_Rb*Q141/R141</f>
        <v>7.49385714227137E-011</v>
      </c>
      <c r="X141" s="37" t="n">
        <f aca="false">p_en^2*(1+p_fc/B141)/R141</f>
        <v>4.52044292821584E-012</v>
      </c>
      <c r="Y141" s="37" t="n">
        <f aca="false">p_in^2*Q141/R141</f>
        <v>1.13780367124113E-011</v>
      </c>
      <c r="Z141" s="37" t="n">
        <f aca="false">p_eo^2/L_G^2/R141</f>
        <v>3.03064179320174E-012</v>
      </c>
      <c r="AA141" s="37" t="n">
        <f aca="false">SUM(S141:Z141)</f>
        <v>2.74436855734417E-010</v>
      </c>
      <c r="AB141" s="47" t="n">
        <f aca="false">10*LOG10(AA141/L_PREF^2)</f>
        <v>-1.63617556424263</v>
      </c>
      <c r="AC141" s="47" t="n">
        <f aca="false">10*LOG10(S141/L_PREF^2)</f>
        <v>-24.9216741460492</v>
      </c>
      <c r="AD141" s="47" t="n">
        <f aca="false">10*LOG10(T141/L_PREF^2)</f>
        <v>-18.7996202863555</v>
      </c>
      <c r="AE141" s="47" t="n">
        <f aca="false">10*LOG10(U141/L_PREF^2)</f>
        <v>-19.9866707045302</v>
      </c>
      <c r="AF141" s="47" t="n">
        <f aca="false">10*LOG10(V141/L_PREF^2)</f>
        <v>-3.7162269812101</v>
      </c>
      <c r="AG141" s="47" t="n">
        <f aca="false">10*LOG10(W141/L_PREF^2)</f>
        <v>-7.27354581582007</v>
      </c>
      <c r="AH141" s="47" t="n">
        <f aca="false">10*LOG10(X141/L_PREF^2)</f>
        <v>-19.4687900079631</v>
      </c>
      <c r="AI141" s="47" t="n">
        <f aca="false">10*LOG10(Y141/L_PREF^2)</f>
        <v>-15.4599266059792</v>
      </c>
      <c r="AJ141" s="47" t="n">
        <f aca="false">10*LOG10(Z141/L_PREF^2)</f>
        <v>-21.2052538337642</v>
      </c>
      <c r="AK141" s="47" t="n">
        <f aca="false">10*LOG10(R141/$R$6)</f>
        <v>-0.0824552126617926</v>
      </c>
      <c r="AL141" s="37" t="n">
        <f aca="false">(12194^2*B141^4/((B141^2+20.6^2)*SQRT((B141^2+107.7^2)*(B141^2+737.9^2))*(B141^2+12194^2))*1.2589254)^2</f>
        <v>0.0915994431351405</v>
      </c>
      <c r="AM141" s="37" t="n">
        <f aca="false">0.5*(B141-B140)*(S141*AL141+S140*AL140)</f>
        <v>5.47657638856251E-013</v>
      </c>
      <c r="AN141" s="37" t="n">
        <f aca="false">0.5*(B141-B140)*(T141*AL141+T140*AL140)</f>
        <v>2.2439450593271E-012</v>
      </c>
      <c r="AO141" s="37" t="n">
        <f aca="false">0.5*(B141-B140)*(U141*AL141+U140*AL140)</f>
        <v>1.70728953248651E-012</v>
      </c>
      <c r="AP141" s="37" t="n">
        <f aca="false">0.5*(B141-B140)*(V141*AL141+V140*AL140)</f>
        <v>7.3961138423606E-011</v>
      </c>
      <c r="AQ141" s="37" t="n">
        <f aca="false">0.5*(B141-B140)*(W141*AL141+W140*AL140)</f>
        <v>3.26169712460861E-011</v>
      </c>
      <c r="AR141" s="37" t="n">
        <f aca="false">0.5*(B141-B140)*(X141*AL141+X140*AL140)</f>
        <v>1.9304369920136E-012</v>
      </c>
      <c r="AS141" s="37" t="n">
        <f aca="false">0.5*(B141-B140)*(Y141*AL141+Y140*AL140)</f>
        <v>4.95228410736885E-012</v>
      </c>
      <c r="AT141" s="37" t="n">
        <f aca="false">0.5*(B141-B140)*(Z141*AL141+Z140*AL140)</f>
        <v>1.28949736412065E-012</v>
      </c>
      <c r="AU141" s="37" t="n">
        <f aca="false">0.5*(B141-B140)*(AA141*AL141+AA140*AL140)</f>
        <v>1.19249220363865E-010</v>
      </c>
      <c r="AV141" s="37" t="n">
        <f aca="false">0.5*(B141-B140)*(S141+S140)</f>
        <v>6.13832047788387E-012</v>
      </c>
      <c r="AW141" s="37" t="n">
        <f aca="false">0.5*(B141-B140)*(T141+T140)</f>
        <v>2.51513203115624E-011</v>
      </c>
      <c r="AX141" s="37" t="n">
        <f aca="false">0.5*(B141-B140)*(U141+U140)</f>
        <v>1.91362019839392E-011</v>
      </c>
      <c r="AY141" s="37" t="n">
        <f aca="false">0.5*(B141-B140)*(V141+V140)</f>
        <v>8.29494722503892E-010</v>
      </c>
      <c r="AZ141" s="37" t="n">
        <f aca="false">0.5*(B141-B140)*(W141+W140)</f>
        <v>3.65812274979508E-010</v>
      </c>
      <c r="BA141" s="37" t="n">
        <f aca="false">0.5*(B141-B140)*(X141+X140)</f>
        <v>2.16394827592927E-011</v>
      </c>
      <c r="BB141" s="37" t="n">
        <f aca="false">0.5*(B141-B140)*(Y141+Y140)</f>
        <v>5.55418313366188E-011</v>
      </c>
      <c r="BC141" s="37" t="n">
        <f aca="false">0.5*(B141-B140)*(Z141+Z140)</f>
        <v>1.44533409963106E-011</v>
      </c>
      <c r="BD141" s="37" t="n">
        <f aca="false">0.5*(B141-B140)*(AA141+AA140)</f>
        <v>1.33736749534901E-009</v>
      </c>
      <c r="BE141" s="37" t="n">
        <f aca="false">IF(B141&gt;2000,AK141,-999)</f>
        <v>-999</v>
      </c>
      <c r="BF141" s="37" t="n">
        <f aca="false">IF(AND(B141&lt;1000,AK141&gt;=-3),B141,1000000000)</f>
        <v>209.42570961018</v>
      </c>
    </row>
    <row r="142" customFormat="false" ht="15" hidden="false" customHeight="false" outlineLevel="0" collapsed="false">
      <c r="A142" s="5" t="n">
        <v>103</v>
      </c>
      <c r="B142" s="47" t="n">
        <f aca="false">20*10^(A142/100)</f>
        <v>214.303861047521</v>
      </c>
      <c r="C142" s="37" t="n">
        <f aca="false">2*PI()*B142</f>
        <v>1346.51087100564</v>
      </c>
      <c r="D142" s="37" t="n">
        <f aca="false">SQRT(L_Rp0^2+L_Rp1^2*C142)</f>
        <v>78255613.2867677</v>
      </c>
      <c r="E142" s="5" t="str">
        <f aca="false">COMPLEX(D142,C142*L_Mp)</f>
        <v>78255613.2867677+19891626.9523781i</v>
      </c>
      <c r="F142" s="5" t="str">
        <f aca="false">IMDIV(1,E142)</f>
        <v>1.20030982310427e-08-3.05104186468658e-09i</v>
      </c>
      <c r="G142" s="5" t="str">
        <f aca="false">COMPLEX(0,C142*L_Cf)</f>
        <v>1.42382454373019e-12i</v>
      </c>
      <c r="H142" s="5" t="str">
        <f aca="false">COMPLEX(0,C142*L_Cbv)</f>
        <v>1.42382454373019e-11i</v>
      </c>
      <c r="I142" s="5" t="str">
        <f aca="false">COMPLEX(L_Rsq+L_Rh,C142*(L_Md+L_Mh)-1/(C142*L_Cd))</f>
        <v>552400610.124532-855523321158.949i</v>
      </c>
      <c r="J142" s="5" t="str">
        <f aca="false">IMDIV(1,I142)</f>
        <v>7.54727653723629e-16+1.16887472071868e-12i</v>
      </c>
      <c r="K142" s="5" t="str">
        <f aca="false">IMSUM(F142,G142,H142)</f>
        <v>1.20030982310427e-08-3.03537979470555e-09i</v>
      </c>
      <c r="L142" s="5" t="str">
        <f aca="false">IMSUM(IMPRODUCT(IMSUM(F142,G142),H142),IMPRODUCT(IMSUM(J142,L_Yv),K142))</f>
        <v>7.09844443876398e-20+1.78860126239717e-19i</v>
      </c>
      <c r="M142" s="37" t="n">
        <f aca="false">IMABS(IMDIV(IMPRODUCT(J142,F142,H142),L142))^2</f>
        <v>1.14729818739791E-024</v>
      </c>
      <c r="N142" s="5" t="str">
        <f aca="false">IMDIV(IMPRODUCT(L_Yv,K142,E142),H142)</f>
        <v>0.000172162349230761-0.140422984046561i</v>
      </c>
      <c r="O142" s="37" t="n">
        <f aca="false">IMABS(IMSUM(1,IMPRODUCT(E142,G142),N142))^2</f>
        <v>1.01997503538529</v>
      </c>
      <c r="P142" s="37" t="n">
        <f aca="false">IMABS(N142)^2</f>
        <v>0.0197186440884152</v>
      </c>
      <c r="Q142" s="37" t="n">
        <f aca="false">p_Rb^2/(1+(C142*p_Rb*L_Ctot)^2)</f>
        <v>90918593222659900</v>
      </c>
      <c r="R142" s="37" t="n">
        <f aca="false">M142*L_Kt^2*Q142</f>
        <v>2.09346854479428E-005</v>
      </c>
      <c r="S142" s="37" t="n">
        <f aca="false">L_kT4*D142</f>
        <v>1.28852718921222E-012</v>
      </c>
      <c r="T142" s="37" t="n">
        <f aca="false">L_kT4*L_Rsq*O142</f>
        <v>5.2686722568333E-012</v>
      </c>
      <c r="U142" s="37" t="n">
        <f aca="false">L_kT4*L_Rh*O142</f>
        <v>4.0086315646654E-012</v>
      </c>
      <c r="V142" s="37" t="n">
        <f aca="false">L_kT4*p_Rv*P142</f>
        <v>1.62339849981203E-010</v>
      </c>
      <c r="W142" s="37" t="n">
        <f aca="false">L_kT4/p_Rb*Q142/R142</f>
        <v>7.15096010540784E-011</v>
      </c>
      <c r="X142" s="37" t="n">
        <f aca="false">p_en^2*(1+p_fc/B142)/R142</f>
        <v>4.4836660125088E-012</v>
      </c>
      <c r="Y142" s="37" t="n">
        <f aca="false">p_in^2*Q142/R142</f>
        <v>1.08574109518797E-011</v>
      </c>
      <c r="Z142" s="37" t="n">
        <f aca="false">p_eo^2/L_G^2/R142</f>
        <v>3.02826272962579E-012</v>
      </c>
      <c r="AA142" s="37" t="n">
        <f aca="false">SUM(S142:Z142)</f>
        <v>2.62784621740007E-010</v>
      </c>
      <c r="AB142" s="47" t="n">
        <f aca="false">10*LOG10(AA142/L_PREF^2)</f>
        <v>-1.82460044781438</v>
      </c>
      <c r="AC142" s="47" t="n">
        <f aca="false">10*LOG10(S142/L_PREF^2)</f>
        <v>-24.9196640429649</v>
      </c>
      <c r="AD142" s="47" t="n">
        <f aca="false">10*LOG10(T142/L_PREF^2)</f>
        <v>-18.8035880764904</v>
      </c>
      <c r="AE142" s="47" t="n">
        <f aca="false">10*LOG10(U142/L_PREF^2)</f>
        <v>-19.9906384946652</v>
      </c>
      <c r="AF142" s="47" t="n">
        <f aca="false">10*LOG10(V142/L_PREF^2)</f>
        <v>-3.91634851029669</v>
      </c>
      <c r="AG142" s="47" t="n">
        <f aca="false">10*LOG10(W142/L_PREF^2)</f>
        <v>-7.47695636171943</v>
      </c>
      <c r="AH142" s="47" t="n">
        <f aca="false">10*LOG10(X142/L_PREF^2)</f>
        <v>-19.5042673671962</v>
      </c>
      <c r="AI142" s="47" t="n">
        <f aca="false">10*LOG10(Y142/L_PREF^2)</f>
        <v>-15.6633371518786</v>
      </c>
      <c r="AJ142" s="47" t="n">
        <f aca="false">10*LOG10(Z142/L_PREF^2)</f>
        <v>-21.2086643982725</v>
      </c>
      <c r="AK142" s="47" t="n">
        <f aca="false">10*LOG10(R142/$R$6)</f>
        <v>-0.0790446481535154</v>
      </c>
      <c r="AL142" s="37" t="n">
        <f aca="false">(12194^2*B142^4/((B142^2+20.6^2)*SQRT((B142^2+107.7^2)*(B142^2+737.9^2))*(B142^2+12194^2))*1.2589254)^2</f>
        <v>0.0965694892777343</v>
      </c>
      <c r="AM142" s="37" t="n">
        <f aca="false">0.5*(B142-B141)*(S142*AL142+S141*AL141)</f>
        <v>5.91247002261447E-013</v>
      </c>
      <c r="AN142" s="37" t="n">
        <f aca="false">0.5*(B142-B141)*(T142*AL142+T141*AL141)</f>
        <v>2.41917665078244E-012</v>
      </c>
      <c r="AO142" s="37" t="n">
        <f aca="false">0.5*(B142-B141)*(U142*AL142+U141*AL141)</f>
        <v>1.84061323424522E-012</v>
      </c>
      <c r="AP142" s="37" t="n">
        <f aca="false">0.5*(B142-B141)*(V142*AL142+V141*AL141)</f>
        <v>7.62176156596062E-011</v>
      </c>
      <c r="AQ142" s="37" t="n">
        <f aca="false">0.5*(B142-B141)*(W142*AL142+W141*AL141)</f>
        <v>3.35860167032362E-011</v>
      </c>
      <c r="AR142" s="37" t="n">
        <f aca="false">0.5*(B142-B141)*(X142*AL142+X141*AL141)</f>
        <v>2.06603223867595E-012</v>
      </c>
      <c r="AS142" s="37" t="n">
        <f aca="false">0.5*(B142-B141)*(Y142*AL142+Y141*AL141)</f>
        <v>5.09941574569773E-012</v>
      </c>
      <c r="AT142" s="37" t="n">
        <f aca="false">0.5*(B142-B141)*(Z142*AL142+Z141*AL141)</f>
        <v>1.39037776135117E-012</v>
      </c>
      <c r="AU142" s="37" t="n">
        <f aca="false">0.5*(B142-B141)*(AA142*AL142+AA141*AL141)</f>
        <v>1.23210494995856E-010</v>
      </c>
      <c r="AV142" s="37" t="n">
        <f aca="false">0.5*(B142-B141)*(S142+S141)</f>
        <v>6.28417646552365E-012</v>
      </c>
      <c r="AW142" s="37" t="n">
        <f aca="false">0.5*(B142-B141)*(T142+T141)</f>
        <v>2.57131271224446E-011</v>
      </c>
      <c r="AX142" s="37" t="n">
        <f aca="false">0.5*(B142-B141)*(U142+U141)</f>
        <v>1.95636486736485E-011</v>
      </c>
      <c r="AY142" s="37" t="n">
        <f aca="false">0.5*(B142-B141)*(V142+V141)</f>
        <v>8.10590956582099E-010</v>
      </c>
      <c r="AZ142" s="37" t="n">
        <f aca="false">0.5*(B142-B141)*(W142+W141)</f>
        <v>3.57198181531841E-010</v>
      </c>
      <c r="BA142" s="37" t="n">
        <f aca="false">0.5*(B142-B141)*(X142+X141)</f>
        <v>2.19617034855872E-011</v>
      </c>
      <c r="BB142" s="37" t="n">
        <f aca="false">0.5*(B142-B141)*(Y142+Y141)</f>
        <v>5.4233940491745E-011</v>
      </c>
      <c r="BC142" s="37" t="n">
        <f aca="false">0.5*(B142-B141)*(Z142+Z141)</f>
        <v>1.47781269033727E-011</v>
      </c>
      <c r="BD142" s="37" t="n">
        <f aca="false">0.5*(B142-B141)*(AA142+AA141)</f>
        <v>1.31032386125626E-009</v>
      </c>
      <c r="BE142" s="37" t="n">
        <f aca="false">IF(B142&gt;2000,AK142,-999)</f>
        <v>-999</v>
      </c>
      <c r="BF142" s="37" t="n">
        <f aca="false">IF(AND(B142&lt;1000,AK142&gt;=-3),B142,1000000000)</f>
        <v>214.303861047521</v>
      </c>
    </row>
    <row r="143" customFormat="false" ht="15" hidden="false" customHeight="false" outlineLevel="0" collapsed="false">
      <c r="A143" s="5" t="n">
        <v>104</v>
      </c>
      <c r="B143" s="47" t="n">
        <f aca="false">20*10^(A143/100)</f>
        <v>219.295639228637</v>
      </c>
      <c r="C143" s="37" t="n">
        <f aca="false">2*PI()*B143</f>
        <v>1377.87513832993</v>
      </c>
      <c r="D143" s="37" t="n">
        <f aca="false">SQRT(L_Rp0^2+L_Rp1^2*C143)</f>
        <v>78292651.1361316</v>
      </c>
      <c r="E143" s="5" t="str">
        <f aca="false">COMPLEX(D143,C143*L_Mp)</f>
        <v>78292651.1361316+20354962.4654315i</v>
      </c>
      <c r="F143" s="5" t="str">
        <f aca="false">IMDIV(1,E143)</f>
        <v>1.19639194389406e-08-3.11044686295847e-09i</v>
      </c>
      <c r="G143" s="5" t="str">
        <f aca="false">COMPLEX(0,C143*L_Cf)</f>
        <v>1.45698967783645e-12i</v>
      </c>
      <c r="H143" s="5" t="str">
        <f aca="false">COMPLEX(0,C143*L_Cbv)</f>
        <v>1.45698967783645e-11i</v>
      </c>
      <c r="I143" s="5" t="str">
        <f aca="false">COMPLEX(L_Rsq+L_Rh,C143*(L_Md+L_Mh)-1/(C143*L_Cd))</f>
        <v>552400610.124532-836048999161.841i</v>
      </c>
      <c r="J143" s="5" t="str">
        <f aca="false">IMDIV(1,I143)</f>
        <v>7.90297298455202e-16+1.19610162136647e-12i</v>
      </c>
      <c r="K143" s="5" t="str">
        <f aca="false">IMSUM(F143,G143,H143)</f>
        <v>1.19639194389406e-08-3.09441997650227e-09i</v>
      </c>
      <c r="L143" s="5" t="str">
        <f aca="false">IMSUM(IMPRODUCT(IMSUM(F143,G143),H143),IMPRODUCT(IMSUM(J143,L_Yv),K143))</f>
        <v>7.29361962208552e-20+1.82431849264095e-19i</v>
      </c>
      <c r="M143" s="37" t="n">
        <f aca="false">IMABS(IMDIV(IMPRODUCT(J143,F143,H143),L143))^2</f>
        <v>1.20227122741221E-024</v>
      </c>
      <c r="N143" s="5" t="str">
        <f aca="false">IMDIV(IMPRODUCT(L_Yv,K143,E143),H143)</f>
        <v>0.000172243832499457-0.137224551214694i</v>
      </c>
      <c r="O143" s="37" t="n">
        <f aca="false">IMABS(IMSUM(1,IMPRODUCT(E143,G143),N143))^2</f>
        <v>1.01908447768</v>
      </c>
      <c r="P143" s="37" t="n">
        <f aca="false">IMABS(N143)^2</f>
        <v>0.018830607124012</v>
      </c>
      <c r="Q143" s="37" t="n">
        <f aca="false">p_Rb^2/(1+(C143*p_Rb*L_Ctot)^2)</f>
        <v>86826582814434300</v>
      </c>
      <c r="R143" s="37" t="n">
        <f aca="false">M143*L_Kt^2*Q143</f>
        <v>2.09504129607036E-005</v>
      </c>
      <c r="S143" s="37" t="n">
        <f aca="false">L_kT4*D143</f>
        <v>1.2891370403645E-012</v>
      </c>
      <c r="T143" s="37" t="n">
        <f aca="false">L_kT4*L_Rsq*O143</f>
        <v>5.26407208867998E-012</v>
      </c>
      <c r="U143" s="37" t="n">
        <f aca="false">L_kT4*L_Rh*O143</f>
        <v>4.00513155966162E-012</v>
      </c>
      <c r="V143" s="37" t="n">
        <f aca="false">L_kT4*p_Rv*P143</f>
        <v>1.55028810391839E-010</v>
      </c>
      <c r="W143" s="37" t="n">
        <f aca="false">L_kT4/p_Rb*Q143/R143</f>
        <v>6.82398728342537E-011</v>
      </c>
      <c r="X143" s="37" t="n">
        <f aca="false">p_en^2*(1+p_fc/B143)/R143</f>
        <v>4.44785250935978E-012</v>
      </c>
      <c r="Y143" s="37" t="n">
        <f aca="false">p_in^2*Q143/R143</f>
        <v>1.03609631678017E-011</v>
      </c>
      <c r="Z143" s="37" t="n">
        <f aca="false">p_eo^2/L_G^2/R143</f>
        <v>3.02598940733794E-012</v>
      </c>
      <c r="AA143" s="37" t="n">
        <f aca="false">SUM(S143:Z143)</f>
        <v>2.51661828999299E-010</v>
      </c>
      <c r="AB143" s="47" t="n">
        <f aca="false">10*LOG10(AA143/L_PREF^2)</f>
        <v>-2.01242642732754</v>
      </c>
      <c r="AC143" s="47" t="n">
        <f aca="false">10*LOG10(S143/L_PREF^2)</f>
        <v>-24.9176090429993</v>
      </c>
      <c r="AD143" s="47" t="n">
        <f aca="false">10*LOG10(T143/L_PREF^2)</f>
        <v>-18.8073816324836</v>
      </c>
      <c r="AE143" s="47" t="n">
        <f aca="false">10*LOG10(U143/L_PREF^2)</f>
        <v>-19.9944320506584</v>
      </c>
      <c r="AF143" s="47" t="n">
        <f aca="false">10*LOG10(V143/L_PREF^2)</f>
        <v>-4.11647576825421</v>
      </c>
      <c r="AG143" s="47" t="n">
        <f aca="false">10*LOG10(W143/L_PREF^2)</f>
        <v>-7.68021782480239</v>
      </c>
      <c r="AH143" s="47" t="n">
        <f aca="false">10*LOG10(X143/L_PREF^2)</f>
        <v>-19.5390961370567</v>
      </c>
      <c r="AI143" s="47" t="n">
        <f aca="false">10*LOG10(Y143/L_PREF^2)</f>
        <v>-15.8665986149616</v>
      </c>
      <c r="AJ143" s="47" t="n">
        <f aca="false">10*LOG10(Z143/L_PREF^2)</f>
        <v>-21.2119258791268</v>
      </c>
      <c r="AK143" s="47" t="n">
        <f aca="false">10*LOG10(R143/$R$6)</f>
        <v>-0.0757831672991752</v>
      </c>
      <c r="AL143" s="37" t="n">
        <f aca="false">(12194^2*B143^4/((B143^2+20.6^2)*SQRT((B143^2+107.7^2)*(B143^2+737.9^2))*(B143^2+12194^2))*1.2589254)^2</f>
        <v>0.101754917870349</v>
      </c>
      <c r="AM143" s="37" t="n">
        <f aca="false">0.5*(B143-B142)*(S143*AL143+S142*AL142)</f>
        <v>6.37970332446361E-013</v>
      </c>
      <c r="AN143" s="37" t="n">
        <f aca="false">0.5*(B143-B142)*(T143*AL143+T142*AL142)</f>
        <v>2.60680193924578E-012</v>
      </c>
      <c r="AO143" s="37" t="n">
        <f aca="false">0.5*(B143-B142)*(U143*AL143+U142*AL142)</f>
        <v>1.9833665916377E-012</v>
      </c>
      <c r="AP143" s="37" t="n">
        <f aca="false">0.5*(B143-B142)*(V143*AL143+V142*AL142)</f>
        <v>7.85007542705643E-011</v>
      </c>
      <c r="AQ143" s="37" t="n">
        <f aca="false">0.5*(B143-B142)*(W143*AL143+W142*AL142)</f>
        <v>3.45665371887855E-011</v>
      </c>
      <c r="AR143" s="37" t="n">
        <f aca="false">0.5*(B143-B142)*(X143*AL143+X142*AL142)</f>
        <v>2.21029998569554E-012</v>
      </c>
      <c r="AS143" s="37" t="n">
        <f aca="false">0.5*(B143-B142)*(Y143*AL143+Y142*AL142)</f>
        <v>5.24828965495494E-012</v>
      </c>
      <c r="AT143" s="37" t="n">
        <f aca="false">0.5*(B143-B142)*(Z143*AL143+Z142*AL142)</f>
        <v>1.49839974953146E-012</v>
      </c>
      <c r="AU143" s="37" t="n">
        <f aca="false">0.5*(B143-B142)*(AA143*AL143+AA142*AL142)</f>
        <v>1.27252419712862E-010</v>
      </c>
      <c r="AV143" s="37" t="n">
        <f aca="false">0.5*(B143-B142)*(S143+S142)</f>
        <v>6.4335640297218E-012</v>
      </c>
      <c r="AW143" s="37" t="n">
        <f aca="false">0.5*(B143-B142)*(T143+T142)</f>
        <v>2.62885617056016E-011</v>
      </c>
      <c r="AX143" s="37" t="n">
        <f aca="false">0.5*(B143-B142)*(U143+U142)</f>
        <v>2.00014639563227E-011</v>
      </c>
      <c r="AY143" s="37" t="n">
        <f aca="false">0.5*(B143-B142)*(V143+V142)</f>
        <v>7.92116977110042E-010</v>
      </c>
      <c r="AZ143" s="37" t="n">
        <f aca="false">0.5*(B143-B142)*(W143+W142)</f>
        <v>3.4879918728909E-010</v>
      </c>
      <c r="BA143" s="37" t="n">
        <f aca="false">0.5*(B143-B142)*(X143+X142)</f>
        <v>2.22920796408473E-011</v>
      </c>
      <c r="BB143" s="37" t="n">
        <f aca="false">0.5*(B143-B142)*(Y143+Y142)</f>
        <v>5.29587084846881E-011</v>
      </c>
      <c r="BC143" s="37" t="n">
        <f aca="false">0.5*(B143-B142)*(Z143+Z142)</f>
        <v>1.51107418601344E-011</v>
      </c>
      <c r="BD143" s="37" t="n">
        <f aca="false">0.5*(B143-B142)*(AA143+AA142)</f>
        <v>1.28400128407645E-009</v>
      </c>
      <c r="BE143" s="37" t="n">
        <f aca="false">IF(B143&gt;2000,AK143,-999)</f>
        <v>-999</v>
      </c>
      <c r="BF143" s="37" t="n">
        <f aca="false">IF(AND(B143&lt;1000,AK143&gt;=-3),B143,1000000000)</f>
        <v>219.295639228637</v>
      </c>
    </row>
    <row r="144" customFormat="false" ht="15" hidden="false" customHeight="false" outlineLevel="0" collapsed="false">
      <c r="A144" s="5" t="n">
        <v>105</v>
      </c>
      <c r="B144" s="47" t="n">
        <f aca="false">20*10^(A144/100)</f>
        <v>224.403690860393</v>
      </c>
      <c r="C144" s="37" t="n">
        <f aca="false">2*PI()*B144</f>
        <v>1409.96997329089</v>
      </c>
      <c r="D144" s="37" t="n">
        <f aca="false">SQRT(L_Rp0^2+L_Rp1^2*C144)</f>
        <v>78330533.5781953</v>
      </c>
      <c r="E144" s="5" t="str">
        <f aca="false">COMPLEX(D144,C144*L_Mp)</f>
        <v>78330533.5781953+20829090.4490138i</v>
      </c>
      <c r="F144" s="5" t="str">
        <f aca="false">IMDIV(1,E144)</f>
        <v>1.19233204026483e-08-3.17056335217491e-09i</v>
      </c>
      <c r="G144" s="5" t="str">
        <f aca="false">COMPLEX(0,C144*L_Cf)</f>
        <v>1.49092732715543e-12i</v>
      </c>
      <c r="H144" s="5" t="str">
        <f aca="false">COMPLEX(0,C144*L_Cbv)</f>
        <v>1.49092732715543e-11i</v>
      </c>
      <c r="I144" s="5" t="str">
        <f aca="false">COMPLEX(L_Rsq+L_Rh,C144*(L_Md+L_Mh)-1/(C144*L_Cd))</f>
        <v>552400610.124532-817017961410.505i</v>
      </c>
      <c r="J144" s="5" t="str">
        <f aca="false">IMDIV(1,I144)</f>
        <v>8.27543330020684e-16+1.2239627402293e-12i</v>
      </c>
      <c r="K144" s="5" t="str">
        <f aca="false">IMSUM(F144,G144,H144)</f>
        <v>1.19233204026483e-08-3.1541631515762e-09i</v>
      </c>
      <c r="L144" s="5" t="str">
        <f aca="false">IMSUM(IMPRODUCT(IMSUM(F144,G144),H144),IMPRODUCT(IMSUM(J144,L_Yv),K144))</f>
        <v>7.49656528431033e-20+1.86050805590209e-19i</v>
      </c>
      <c r="M144" s="37" t="n">
        <f aca="false">IMABS(IMDIV(IMPRODUCT(J144,F144,H144),L144))^2</f>
        <v>1.25983697585025E-024</v>
      </c>
      <c r="N144" s="5" t="str">
        <f aca="false">IMDIV(IMPRODUCT(L_Yv,K144,E144),H144)</f>
        <v>0.000172327173872136-0.134098876656264i</v>
      </c>
      <c r="O144" s="37" t="n">
        <f aca="false">IMABS(IMSUM(1,IMPRODUCT(E144,G144),N144))^2</f>
        <v>1.0182337658343</v>
      </c>
      <c r="P144" s="37" t="n">
        <f aca="false">IMABS(N144)^2</f>
        <v>0.0179825384171268</v>
      </c>
      <c r="Q144" s="37" t="n">
        <f aca="false">p_Rb^2/(1+(C144*p_Rb*L_Ctot)^2)</f>
        <v>82918743181394100</v>
      </c>
      <c r="R144" s="37" t="n">
        <f aca="false">M144*L_Kt^2*Q144</f>
        <v>2.09654643851282E-005</v>
      </c>
      <c r="S144" s="37" t="n">
        <f aca="false">L_kT4*D144</f>
        <v>1.28976079825921E-012</v>
      </c>
      <c r="T144" s="37" t="n">
        <f aca="false">L_kT4*L_Rsq*O144</f>
        <v>5.25967774397101E-012</v>
      </c>
      <c r="U144" s="37" t="n">
        <f aca="false">L_kT4*L_Rh*O144</f>
        <v>4.00178815395185E-012</v>
      </c>
      <c r="V144" s="37" t="n">
        <f aca="false">L_kT4*p_Rv*P144</f>
        <v>1.48046821872132E-010</v>
      </c>
      <c r="W144" s="37" t="n">
        <f aca="false">L_kT4/p_Rb*Q144/R144</f>
        <v>6.51217873769119E-011</v>
      </c>
      <c r="X144" s="37" t="n">
        <f aca="false">p_en^2*(1+p_fc/B144)/R144</f>
        <v>4.41297308376859E-012</v>
      </c>
      <c r="Y144" s="37" t="n">
        <f aca="false">p_in^2*Q144/R144</f>
        <v>9.88753953385027E-012</v>
      </c>
      <c r="Z144" s="37" t="n">
        <f aca="false">p_eo^2/L_G^2/R144</f>
        <v>3.02381700371083E-012</v>
      </c>
      <c r="AA144" s="37" t="n">
        <f aca="false">SUM(S144:Z144)</f>
        <v>2.41044165566556E-010</v>
      </c>
      <c r="AB144" s="47" t="n">
        <f aca="false">10*LOG10(AA144/L_PREF^2)</f>
        <v>-2.19963367406532</v>
      </c>
      <c r="AC144" s="47" t="n">
        <f aca="false">10*LOG10(S144/L_PREF^2)</f>
        <v>-24.9155081872543</v>
      </c>
      <c r="AD144" s="47" t="n">
        <f aca="false">10*LOG10(T144/L_PREF^2)</f>
        <v>-18.8110085521652</v>
      </c>
      <c r="AE144" s="47" t="n">
        <f aca="false">10*LOG10(U144/L_PREF^2)</f>
        <v>-19.99805897034</v>
      </c>
      <c r="AF144" s="47" t="n">
        <f aca="false">10*LOG10(V144/L_PREF^2)</f>
        <v>-4.31660902521999</v>
      </c>
      <c r="AG144" s="47" t="n">
        <f aca="false">10*LOG10(W144/L_PREF^2)</f>
        <v>-7.88333679341211</v>
      </c>
      <c r="AH144" s="47" t="n">
        <f aca="false">10*LOG10(X144/L_PREF^2)</f>
        <v>-19.573287127832</v>
      </c>
      <c r="AI144" s="47" t="n">
        <f aca="false">10*LOG10(Y144/L_PREF^2)</f>
        <v>-16.0697175835713</v>
      </c>
      <c r="AJ144" s="47" t="n">
        <f aca="false">10*LOG10(Z144/L_PREF^2)</f>
        <v>-21.2150448647081</v>
      </c>
      <c r="AK144" s="47" t="n">
        <f aca="false">10*LOG10(R144/$R$6)</f>
        <v>-0.0726641817179228</v>
      </c>
      <c r="AL144" s="37" t="n">
        <f aca="false">(12194^2*B144^4/((B144^2+20.6^2)*SQRT((B144^2+107.7^2)*(B144^2+737.9^2))*(B144^2+12194^2))*1.2589254)^2</f>
        <v>0.10716215140145</v>
      </c>
      <c r="AM144" s="37" t="n">
        <f aca="false">0.5*(B144-B143)*(S144*AL144+S143*AL143)</f>
        <v>6.88027930612366E-013</v>
      </c>
      <c r="AN144" s="37" t="n">
        <f aca="false">0.5*(B144-B143)*(T144*AL144+T143*AL143)</f>
        <v>2.80759870810654E-012</v>
      </c>
      <c r="AO144" s="37" t="n">
        <f aca="false">0.5*(B144-B143)*(U144*AL144+U143*AL143)</f>
        <v>2.13614137558714E-012</v>
      </c>
      <c r="AP144" s="37" t="n">
        <f aca="false">0.5*(B144-B143)*(V144*AL144+V143*AL143)</f>
        <v>8.08092741653302E-011</v>
      </c>
      <c r="AQ144" s="37" t="n">
        <f aca="false">0.5*(B144-B143)*(W144*AL144+W143*AL143)</f>
        <v>3.55579991613203E-011</v>
      </c>
      <c r="AR144" s="37" t="n">
        <f aca="false">0.5*(B144-B143)*(X144*AL144+X143*AL143)</f>
        <v>2.36373698981329E-012</v>
      </c>
      <c r="AS144" s="37" t="n">
        <f aca="false">0.5*(B144-B143)*(Y144*AL144+Y143*AL143)</f>
        <v>5.39882482674021E-012</v>
      </c>
      <c r="AT144" s="37" t="n">
        <f aca="false">0.5*(B144-B143)*(Z144*AL144+Z143*AL143)</f>
        <v>1.61401160636461E-012</v>
      </c>
      <c r="AU144" s="37" t="n">
        <f aca="false">0.5*(B144-B143)*(AA144*AL144+AA143*AL143)</f>
        <v>1.31375614763875E-010</v>
      </c>
      <c r="AV144" s="37" t="n">
        <f aca="false">0.5*(B144-B143)*(S144+S143)</f>
        <v>6.58657165635652E-012</v>
      </c>
      <c r="AW144" s="37" t="n">
        <f aca="false">0.5*(B144-B143)*(T144+T143)</f>
        <v>2.68779287524307E-011</v>
      </c>
      <c r="AX144" s="37" t="n">
        <f aca="false">0.5*(B144-B143)*(U144+U143)</f>
        <v>2.044987965423E-011</v>
      </c>
      <c r="AY144" s="37" t="n">
        <f aca="false">0.5*(B144-B143)*(V144+V143)</f>
        <v>7.74062988965682E-010</v>
      </c>
      <c r="AZ144" s="37" t="n">
        <f aca="false">0.5*(B144-B143)*(W144+W143)</f>
        <v>3.40609123027645E-010</v>
      </c>
      <c r="BA144" s="37" t="n">
        <f aca="false">0.5*(B144-B143)*(X144+X143)</f>
        <v>2.26307773148409E-011</v>
      </c>
      <c r="BB144" s="37" t="n">
        <f aca="false">0.5*(B144-B143)*(Y144+Y143)</f>
        <v>5.17151986328913E-011</v>
      </c>
      <c r="BC144" s="37" t="n">
        <f aca="false">0.5*(B144-B143)*(Z144+Z143)</f>
        <v>1.54513617548818E-011</v>
      </c>
      <c r="BD144" s="37" t="n">
        <f aca="false">0.5*(B144-B143)*(AA144+AA143)</f>
        <v>1.25838382975896E-009</v>
      </c>
      <c r="BE144" s="37" t="n">
        <f aca="false">IF(B144&gt;2000,AK144,-999)</f>
        <v>-999</v>
      </c>
      <c r="BF144" s="37" t="n">
        <f aca="false">IF(AND(B144&lt;1000,AK144&gt;=-3),B144,1000000000)</f>
        <v>224.403690860393</v>
      </c>
    </row>
    <row r="145" customFormat="false" ht="15" hidden="false" customHeight="false" outlineLevel="0" collapsed="false">
      <c r="A145" s="5" t="n">
        <v>106</v>
      </c>
      <c r="B145" s="47" t="n">
        <f aca="false">20*10^(A145/100)</f>
        <v>229.630724299377</v>
      </c>
      <c r="C145" s="37" t="n">
        <f aca="false">2*PI()*B145</f>
        <v>1442.81239299485</v>
      </c>
      <c r="D145" s="37" t="n">
        <f aca="false">SQRT(L_Rp0^2+L_Rp1^2*C145)</f>
        <v>78369279.459161</v>
      </c>
      <c r="E145" s="5" t="str">
        <f aca="false">COMPLEX(D145,C145*L_Mp)</f>
        <v>78369279.459161+21314262.2920578i</v>
      </c>
      <c r="F145" s="5" t="str">
        <f aca="false">IMDIV(1,E145)</f>
        <v>1.18812588743759e-08-3.23137165169744e-09i</v>
      </c>
      <c r="G145" s="5" t="str">
        <f aca="false">COMPLEX(0,C145*L_Cf)</f>
        <v>1.52565548587803e-12i</v>
      </c>
      <c r="H145" s="5" t="str">
        <f aca="false">COMPLEX(0,C145*L_Cbv)</f>
        <v>1.52565548587803e-11i</v>
      </c>
      <c r="I145" s="5" t="str">
        <f aca="false">COMPLEX(L_Rsq+L_Rh,C145*(L_Md+L_Mh)-1/(C145*L_Cd))</f>
        <v>552400610.124532-798420117396.821i</v>
      </c>
      <c r="J145" s="5" t="str">
        <f aca="false">IMDIV(1,I145)</f>
        <v>8.66544758065058e-16+1.25247285173695e-12i</v>
      </c>
      <c r="K145" s="5" t="str">
        <f aca="false">IMSUM(F145,G145,H145)</f>
        <v>1.18812588743759e-08-3.21458944135278e-09i</v>
      </c>
      <c r="L145" s="5" t="str">
        <f aca="false">IMSUM(IMPRODUCT(IMSUM(F145,G145),H145),IMPRODUCT(IMSUM(J145,L_Yv),K145))</f>
        <v>7.70753220227367e-20+1.89716067524565e-19i</v>
      </c>
      <c r="M145" s="37" t="n">
        <f aca="false">IMABS(IMDIV(IMPRODUCT(J145,F145,H145),L145))^2</f>
        <v>1.32011762529179E-024</v>
      </c>
      <c r="N145" s="5" t="str">
        <f aca="false">IMDIV(IMPRODUCT(L_Yv,K145,E145),H145)</f>
        <v>0.000172412414810174-0.131044303097245i</v>
      </c>
      <c r="O145" s="37" t="n">
        <f aca="false">IMABS(IMSUM(1,IMPRODUCT(E145,G145),N145))^2</f>
        <v>1.01742109512885</v>
      </c>
      <c r="P145" s="37" t="n">
        <f aca="false">IMABS(N145)^2</f>
        <v>0.0171726391002834</v>
      </c>
      <c r="Q145" s="37" t="n">
        <f aca="false">p_Rb^2/(1+(C145*p_Rb*L_Ctot)^2)</f>
        <v>79186785275968700</v>
      </c>
      <c r="R145" s="37" t="n">
        <f aca="false">M145*L_Kt^2*Q145</f>
        <v>2.09798687522039E-005</v>
      </c>
      <c r="S145" s="37" t="n">
        <f aca="false">L_kT4*D145</f>
        <v>1.29039877321075E-012</v>
      </c>
      <c r="T145" s="37" t="n">
        <f aca="false">L_kT4*L_Rsq*O145</f>
        <v>5.25547990044427E-012</v>
      </c>
      <c r="U145" s="37" t="n">
        <f aca="false">L_kT4*L_Rh*O145</f>
        <v>3.9985942547597E-012</v>
      </c>
      <c r="V145" s="37" t="n">
        <f aca="false">L_kT4*p_Rv*P145</f>
        <v>1.4137907468796E-010</v>
      </c>
      <c r="W145" s="37" t="n">
        <f aca="false">L_kT4/p_Rb*Q145/R145</f>
        <v>6.21481253632663E-011</v>
      </c>
      <c r="X145" s="37" t="n">
        <f aca="false">p_en^2*(1+p_fc/B145)/R145</f>
        <v>4.37899950489175E-012</v>
      </c>
      <c r="Y145" s="37" t="n">
        <f aca="false">p_in^2*Q145/R145</f>
        <v>9.43604392992811E-012</v>
      </c>
      <c r="Z145" s="37" t="n">
        <f aca="false">p_eo^2/L_G^2/R145</f>
        <v>3.02174091016585E-012</v>
      </c>
      <c r="AA145" s="37" t="n">
        <f aca="false">SUM(S145:Z145)</f>
        <v>2.30908457324627E-010</v>
      </c>
      <c r="AB145" s="47" t="n">
        <f aca="false">10*LOG10(AA145/L_PREF^2)</f>
        <v>-2.38620151515366</v>
      </c>
      <c r="AC145" s="47" t="n">
        <f aca="false">10*LOG10(S145/L_PREF^2)</f>
        <v>-24.9133604983303</v>
      </c>
      <c r="AD145" s="47" t="n">
        <f aca="false">10*LOG10(T145/L_PREF^2)</f>
        <v>-18.8144761185833</v>
      </c>
      <c r="AE145" s="47" t="n">
        <f aca="false">10*LOG10(U145/L_PREF^2)</f>
        <v>-20.001526536758</v>
      </c>
      <c r="AF145" s="47" t="n">
        <f aca="false">10*LOG10(V145/L_PREF^2)</f>
        <v>-4.51674856407747</v>
      </c>
      <c r="AG145" s="47" t="n">
        <f aca="false">10*LOG10(W145/L_PREF^2)</f>
        <v>-8.08631958216234</v>
      </c>
      <c r="AH145" s="47" t="n">
        <f aca="false">10*LOG10(X145/L_PREF^2)</f>
        <v>-19.6068509523901</v>
      </c>
      <c r="AI145" s="47" t="n">
        <f aca="false">10*LOG10(Y145/L_PREF^2)</f>
        <v>-16.2727003723215</v>
      </c>
      <c r="AJ145" s="47" t="n">
        <f aca="false">10*LOG10(Z145/L_PREF^2)</f>
        <v>-21.218027669666</v>
      </c>
      <c r="AK145" s="47" t="n">
        <f aca="false">10*LOG10(R145/$R$6)</f>
        <v>-0.0696813767600093</v>
      </c>
      <c r="AL145" s="37" t="n">
        <f aca="false">(12194^2*B145^4/((B145^2+20.6^2)*SQRT((B145^2+107.7^2)*(B145^2+737.9^2))*(B145^2+12194^2))*1.2589254)^2</f>
        <v>0.112797641735221</v>
      </c>
      <c r="AM145" s="37" t="n">
        <f aca="false">0.5*(B145-B144)*(S145*AL145+S144*AL144)</f>
        <v>7.41631054606536E-013</v>
      </c>
      <c r="AN145" s="37" t="n">
        <f aca="false">0.5*(B145-B144)*(T145*AL145+T144*AL144)</f>
        <v>3.02238604716682E-012</v>
      </c>
      <c r="AO145" s="37" t="n">
        <f aca="false">0.5*(B145-B144)*(U145*AL145+U144*AL144)</f>
        <v>2.29956078470503E-012</v>
      </c>
      <c r="AP145" s="37" t="n">
        <f aca="false">0.5*(B145-B144)*(V145*AL145+V144*AL144)</f>
        <v>8.31418267578587E-011</v>
      </c>
      <c r="AQ145" s="37" t="n">
        <f aca="false">0.5*(B145-B144)*(W145*AL145+W144*AL144)</f>
        <v>3.65598393737916E-011</v>
      </c>
      <c r="AR145" s="37" t="n">
        <f aca="false">0.5*(B145-B144)*(X145*AL145+X144*AL144)</f>
        <v>2.52686428431058E-012</v>
      </c>
      <c r="AS145" s="37" t="n">
        <f aca="false">0.5*(B145-B144)*(Y145*AL145+Y144*AL144)</f>
        <v>5.55093574240164E-012</v>
      </c>
      <c r="AT145" s="37" t="n">
        <f aca="false">0.5*(B145-B144)*(Z145*AL145+Z144*AL144)</f>
        <v>1.73768540913368E-012</v>
      </c>
      <c r="AU145" s="37" t="n">
        <f aca="false">0.5*(B145-B144)*(AA145*AL145+AA144*AL144)</f>
        <v>1.35580729453975E-010</v>
      </c>
      <c r="AV145" s="37" t="n">
        <f aca="false">0.5*(B145-B144)*(S145+S144)</f>
        <v>6.74329017899386E-012</v>
      </c>
      <c r="AW145" s="37" t="n">
        <f aca="false">0.5*(B145-B144)*(T145+T144)</f>
        <v>2.74815403117727E-011</v>
      </c>
      <c r="AX145" s="37" t="n">
        <f aca="false">0.5*(B145-B144)*(U145+U144)</f>
        <v>2.09091331874967E-011</v>
      </c>
      <c r="AY145" s="37" t="n">
        <f aca="false">0.5*(B145-B144)*(V145+V144)</f>
        <v>7.56419419713742E-010</v>
      </c>
      <c r="AZ145" s="37" t="n">
        <f aca="false">0.5*(B145-B144)*(W145+W144)</f>
        <v>3.32622044834734E-010</v>
      </c>
      <c r="BA145" s="37" t="n">
        <f aca="false">0.5*(B145-B144)*(X145+X144)</f>
        <v>2.29779673577785E-011</v>
      </c>
      <c r="BB145" s="37" t="n">
        <f aca="false">0.5*(B145-B144)*(Y145+Y144)</f>
        <v>5.05025084630825E-011</v>
      </c>
      <c r="BC145" s="37" t="n">
        <f aca="false">0.5*(B145-B144)*(Z145+Z144)</f>
        <v>1.58001666865734E-011</v>
      </c>
      <c r="BD145" s="37" t="n">
        <f aca="false">0.5*(B145-B144)*(AA145+AA144)</f>
        <v>1.23345607073417E-009</v>
      </c>
      <c r="BE145" s="37" t="n">
        <f aca="false">IF(B145&gt;2000,AK145,-999)</f>
        <v>-999</v>
      </c>
      <c r="BF145" s="37" t="n">
        <f aca="false">IF(AND(B145&lt;1000,AK145&gt;=-3),B145,1000000000)</f>
        <v>229.630724299377</v>
      </c>
    </row>
    <row r="146" customFormat="false" ht="15" hidden="false" customHeight="false" outlineLevel="0" collapsed="false">
      <c r="A146" s="5" t="n">
        <v>107</v>
      </c>
      <c r="B146" s="47" t="n">
        <f aca="false">20*10^(A146/100)</f>
        <v>234.979510987906</v>
      </c>
      <c r="C146" s="37" t="n">
        <f aca="false">2*PI()*B146</f>
        <v>1476.41981092745</v>
      </c>
      <c r="D146" s="37" t="n">
        <f aca="false">SQRT(L_Rp0^2+L_Rp1^2*C146)</f>
        <v>78408908.0271422</v>
      </c>
      <c r="E146" s="5" t="str">
        <f aca="false">COMPLEX(D146,C146*L_Mp)</f>
        <v>78408908.0271422+21810735.2390967i</v>
      </c>
      <c r="F146" s="5" t="str">
        <f aca="false">IMDIV(1,E146)</f>
        <v>1.18376922256505e-08-3.29284997676797e-09i</v>
      </c>
      <c r="G146" s="5" t="str">
        <f aca="false">COMPLEX(0,C146*L_Cf)</f>
        <v>1.56119256733367e-12i</v>
      </c>
      <c r="H146" s="5" t="str">
        <f aca="false">COMPLEX(0,C146*L_Cbv)</f>
        <v>1.56119256733367e-11i</v>
      </c>
      <c r="I146" s="5" t="str">
        <f aca="false">COMPLEX(L_Rsq+L_Rh,C146*(L_Md+L_Mh)-1/(C146*L_Cd))</f>
        <v>552400610.124532-780245606297.72i</v>
      </c>
      <c r="J146" s="5" t="str">
        <f aca="false">IMDIV(1,I146)</f>
        <v>9.0738431622595e-16+1.28164707457356e-12i</v>
      </c>
      <c r="K146" s="5" t="str">
        <f aca="false">IMSUM(F146,G146,H146)</f>
        <v>1.18376922256505e-08-3.2756768585273e-09i</v>
      </c>
      <c r="L146" s="5" t="str">
        <f aca="false">IMSUM(IMPRODUCT(IMSUM(F146,G146),H146),IMPRODUCT(IMSUM(J146,L_Yv),K146))</f>
        <v>7.92677433189738e-20+1.93426588766537e-19i</v>
      </c>
      <c r="M146" s="37" t="n">
        <f aca="false">IMABS(IMDIV(IMPRODUCT(J146,F146,H146),L146))^2</f>
        <v>1.38324113501465E-024</v>
      </c>
      <c r="N146" s="5" t="str">
        <f aca="false">IMDIV(IMPRODUCT(L_Yv,K146,E146),H146)</f>
        <v>0.000172499597659624-0.128059210962304i</v>
      </c>
      <c r="O146" s="37" t="n">
        <f aca="false">IMABS(IMSUM(1,IMPRODUCT(E146,G146),N146))^2</f>
        <v>1.01664474152903</v>
      </c>
      <c r="P146" s="37" t="n">
        <f aca="false">IMABS(N146)^2</f>
        <v>0.0163991912683991</v>
      </c>
      <c r="Q146" s="37" t="n">
        <f aca="false">p_Rb^2/(1+(C146*p_Rb*L_Ctot)^2)</f>
        <v>75622793118940500</v>
      </c>
      <c r="R146" s="37" t="n">
        <f aca="false">M146*L_Kt^2*Q146</f>
        <v>2.09936539682949E-005</v>
      </c>
      <c r="S146" s="37" t="n">
        <f aca="false">L_kT4*D146</f>
        <v>1.29105128215124E-012</v>
      </c>
      <c r="T146" s="37" t="n">
        <f aca="false">L_kT4*L_Rsq*O146</f>
        <v>5.25146965261376E-012</v>
      </c>
      <c r="U146" s="37" t="n">
        <f aca="false">L_kT4*L_Rh*O146</f>
        <v>3.9955430864099E-012</v>
      </c>
      <c r="V146" s="37" t="n">
        <f aca="false">L_kT4*p_Rv*P146</f>
        <v>1.35011425653199E-010</v>
      </c>
      <c r="W146" s="37" t="n">
        <f aca="false">L_kT4/p_Rb*Q146/R146</f>
        <v>5.93120270892048E-011</v>
      </c>
      <c r="X146" s="37" t="n">
        <f aca="false">p_en^2*(1+p_fc/B146)/R146</f>
        <v>4.34590459384838E-012</v>
      </c>
      <c r="Y146" s="37" t="n">
        <f aca="false">p_in^2*Q146/R146</f>
        <v>9.00543483677828E-012</v>
      </c>
      <c r="Z146" s="37" t="n">
        <f aca="false">p_eo^2/L_G^2/R146</f>
        <v>3.01975672239746E-012</v>
      </c>
      <c r="AA146" s="37" t="n">
        <f aca="false">SUM(S146:Z146)</f>
        <v>2.21232612916603E-010</v>
      </c>
      <c r="AB146" s="47" t="n">
        <f aca="false">10*LOG10(AA146/L_PREF^2)</f>
        <v>-2.5721084262972</v>
      </c>
      <c r="AC146" s="47" t="n">
        <f aca="false">10*LOG10(S146/L_PREF^2)</f>
        <v>-24.9111649800579</v>
      </c>
      <c r="AD146" s="47" t="n">
        <f aca="false">10*LOG10(T146/L_PREF^2)</f>
        <v>-18.8177913121694</v>
      </c>
      <c r="AE146" s="47" t="n">
        <f aca="false">10*LOG10(U146/L_PREF^2)</f>
        <v>-20.0048417303442</v>
      </c>
      <c r="AF146" s="47" t="n">
        <f aca="false">10*LOG10(V146/L_PREF^2)</f>
        <v>-4.716894681058</v>
      </c>
      <c r="AG146" s="47" t="n">
        <f aca="false">10*LOG10(W146/L_PREF^2)</f>
        <v>-8.28917224289873</v>
      </c>
      <c r="AH146" s="47" t="n">
        <f aca="false">10*LOG10(X146/L_PREF^2)</f>
        <v>-19.6397980335634</v>
      </c>
      <c r="AI146" s="47" t="n">
        <f aca="false">10*LOG10(Y146/L_PREF^2)</f>
        <v>-16.4755530330579</v>
      </c>
      <c r="AJ146" s="47" t="n">
        <f aca="false">10*LOG10(Z146/L_PREF^2)</f>
        <v>-21.2208803458806</v>
      </c>
      <c r="AK146" s="47" t="n">
        <f aca="false">10*LOG10(R146/$R$6)</f>
        <v>-0.0668287005453916</v>
      </c>
      <c r="AL146" s="37" t="n">
        <f aca="false">(12194^2*B146^4/((B146^2+20.6^2)*SQRT((B146^2+107.7^2)*(B146^2+737.9^2))*(B146^2+12194^2))*1.2589254)^2</f>
        <v>0.118667855697155</v>
      </c>
      <c r="AM146" s="37" t="n">
        <f aca="false">0.5*(B146-B145)*(S146*AL146+S145*AL145)</f>
        <v>7.99002359314647E-013</v>
      </c>
      <c r="AN146" s="37" t="n">
        <f aca="false">0.5*(B146-B145)*(T146*AL146+T145*AL145)</f>
        <v>3.25202588644666E-012</v>
      </c>
      <c r="AO146" s="37" t="n">
        <f aca="false">0.5*(B146-B145)*(U146*AL146+U145*AL145)</f>
        <v>2.474280612276E-012</v>
      </c>
      <c r="AP146" s="37" t="n">
        <f aca="false">0.5*(B146-B145)*(V146*AL146+V145*AL145)</f>
        <v>8.54969924136005E-011</v>
      </c>
      <c r="AQ146" s="37" t="n">
        <f aca="false">0.5*(B146-B145)*(W146*AL146+W145*AL145)</f>
        <v>3.75714637517942E-011</v>
      </c>
      <c r="AR146" s="37" t="n">
        <f aca="false">0.5*(B146-B145)*(X146*AL146+X145*AL145)</f>
        <v>2.70022797468451E-012</v>
      </c>
      <c r="AS146" s="37" t="n">
        <f aca="false">0.5*(B146-B145)*(Y146*AL146+Y145*AL145)</f>
        <v>5.70453220272321E-012</v>
      </c>
      <c r="AT146" s="37" t="n">
        <f aca="false">0.5*(B146-B145)*(Z146*AL146+Z145*AL145)</f>
        <v>1.86991791743682E-012</v>
      </c>
      <c r="AU146" s="37" t="n">
        <f aca="false">0.5*(B146-B145)*(AA146*AL146+AA145*AL145)</f>
        <v>1.39868443118276E-010</v>
      </c>
      <c r="AV146" s="37" t="n">
        <f aca="false">0.5*(B146-B145)*(S146+S145)</f>
        <v>6.90381284661181E-012</v>
      </c>
      <c r="AW146" s="37" t="n">
        <f aca="false">0.5*(B146-B145)*(T146+T145)</f>
        <v>2.80997159532232E-011</v>
      </c>
      <c r="AX146" s="37" t="n">
        <f aca="false">0.5*(B146-B145)*(U146+U145)</f>
        <v>2.13794676983618E-011</v>
      </c>
      <c r="AY146" s="37" t="n">
        <f aca="false">0.5*(B146-B145)*(V146+V145)</f>
        <v>7.39176914530383E-010</v>
      </c>
      <c r="AZ146" s="37" t="n">
        <f aca="false">0.5*(B146-B145)*(W146+W145)</f>
        <v>3.24832223312263E-010</v>
      </c>
      <c r="BA146" s="37" t="n">
        <f aca="false">0.5*(B146-B145)*(X146+X145)</f>
        <v>2.33338254510183E-011</v>
      </c>
      <c r="BB146" s="37" t="n">
        <f aca="false">0.5*(B146-B145)*(Y146+Y145)</f>
        <v>4.93197680720781E-011</v>
      </c>
      <c r="BC146" s="37" t="n">
        <f aca="false">0.5*(B146-B145)*(Z146+Z145)</f>
        <v>1.61573410579182E-011</v>
      </c>
      <c r="BD146" s="37" t="n">
        <f aca="false">0.5*(B146-B145)*(AA146+AA145)</f>
        <v>1.20920306892186E-009</v>
      </c>
      <c r="BE146" s="37" t="n">
        <f aca="false">IF(B146&gt;2000,AK146,-999)</f>
        <v>-999</v>
      </c>
      <c r="BF146" s="37" t="n">
        <f aca="false">IF(AND(B146&lt;1000,AK146&gt;=-3),B146,1000000000)</f>
        <v>234.979510987906</v>
      </c>
    </row>
    <row r="147" customFormat="false" ht="15" hidden="false" customHeight="false" outlineLevel="0" collapsed="false">
      <c r="A147" s="5" t="n">
        <v>108</v>
      </c>
      <c r="B147" s="47" t="n">
        <f aca="false">20*10^(A147/100)</f>
        <v>240.452886923483</v>
      </c>
      <c r="C147" s="37" t="n">
        <f aca="false">2*PI()*B147</f>
        <v>1510.81004618654</v>
      </c>
      <c r="D147" s="37" t="n">
        <f aca="false">SQRT(L_Rp0^2+L_Rp1^2*C147)</f>
        <v>78449438.9399078</v>
      </c>
      <c r="E147" s="5" t="str">
        <f aca="false">COMPLEX(D147,C147*L_Mp)</f>
        <v>78449438.9399078+22318772.5266586i</v>
      </c>
      <c r="F147" s="5" t="str">
        <f aca="false">IMDIV(1,E147)</f>
        <v>1.1792577527305e-08-3.35497434897545e-09i</v>
      </c>
      <c r="G147" s="5" t="str">
        <f aca="false">COMPLEX(0,C147*L_Cf)</f>
        <v>1.59755741375335e-12i</v>
      </c>
      <c r="H147" s="5" t="str">
        <f aca="false">COMPLEX(0,C147*L_Cbv)</f>
        <v>1.59755741375335e-11i</v>
      </c>
      <c r="I147" s="5" t="str">
        <f aca="false">COMPLEX(L_Rsq+L_Rh,C147*(L_Md+L_Mh)-1/(C147*L_Cd))</f>
        <v>552400610.124532-762484791746.85i</v>
      </c>
      <c r="J147" s="5" t="str">
        <f aca="false">IMDIV(1,I147)</f>
        <v>9.50148637676918e-16+1.31150087970452e-12i</v>
      </c>
      <c r="K147" s="5" t="str">
        <f aca="false">IMSUM(F147,G147,H147)</f>
        <v>1.1792577527305e-08-3.33740121742416e-09i</v>
      </c>
      <c r="L147" s="5" t="str">
        <f aca="false">IMSUM(IMPRODUCT(IMSUM(F147,G147),H147),IMPRODUCT(IMSUM(J147,L_Yv),K147))</f>
        <v>8.15454839333392e-20+1.97181198899048e-19i</v>
      </c>
      <c r="M147" s="37" t="n">
        <f aca="false">IMABS(IMDIV(IMPRODUCT(J147,F147,H147),L147))^2</f>
        <v>1.44934150323202E-024</v>
      </c>
      <c r="N147" s="5" t="str">
        <f aca="false">IMDIV(IMPRODUCT(L_Yv,K147,E147),H147)</f>
        <v>0.000172588765667809-0.12514201751608i</v>
      </c>
      <c r="O147" s="37" t="n">
        <f aca="false">IMABS(IMSUM(1,IMPRODUCT(E147,G147),N147))^2</f>
        <v>1.0159030580279</v>
      </c>
      <c r="P147" s="37" t="n">
        <f aca="false">IMABS(N147)^2</f>
        <v>0.0156605543348769</v>
      </c>
      <c r="Q147" s="37" t="n">
        <f aca="false">p_Rb^2/(1+(C147*p_Rb*L_Ctot)^2)</f>
        <v>72219207008625400</v>
      </c>
      <c r="R147" s="37" t="n">
        <f aca="false">M147*L_Kt^2*Q147</f>
        <v>2.10068468534715E-005</v>
      </c>
      <c r="S147" s="37" t="n">
        <f aca="false">L_kT4*D147</f>
        <v>1.29171864875804E-012</v>
      </c>
      <c r="T147" s="37" t="n">
        <f aca="false">L_kT4*L_Rsq*O147</f>
        <v>5.24763849287922E-012</v>
      </c>
      <c r="U147" s="37" t="n">
        <f aca="false">L_kT4*L_Rh*O147</f>
        <v>3.99262817595571E-012</v>
      </c>
      <c r="V147" s="37" t="n">
        <f aca="false">L_kT4*p_Rv*P147</f>
        <v>1.28930368130131E-010</v>
      </c>
      <c r="W147" s="37" t="n">
        <f aca="false">L_kT4/p_Rb*Q147/R147</f>
        <v>5.66069732274529E-011</v>
      </c>
      <c r="X147" s="37" t="n">
        <f aca="false">p_en^2*(1+p_fc/B147)/R147</f>
        <v>4.31366217440247E-012</v>
      </c>
      <c r="Y147" s="37" t="n">
        <f aca="false">p_in^2*Q147/R147</f>
        <v>8.59472241507427E-012</v>
      </c>
      <c r="Z147" s="37" t="n">
        <f aca="false">p_eo^2/L_G^2/R147</f>
        <v>3.01786023103073E-012</v>
      </c>
      <c r="AA147" s="37" t="n">
        <f aca="false">SUM(S147:Z147)</f>
        <v>2.11995571495684E-010</v>
      </c>
      <c r="AB147" s="47" t="n">
        <f aca="false">10*LOG10(AA147/L_PREF^2)</f>
        <v>-2.75733202545794</v>
      </c>
      <c r="AC147" s="47" t="n">
        <f aca="false">10*LOG10(S147/L_PREF^2)</f>
        <v>-24.9089206172309</v>
      </c>
      <c r="AD147" s="47" t="n">
        <f aca="false">10*LOG10(T147/L_PREF^2)</f>
        <v>-18.820960822537</v>
      </c>
      <c r="AE147" s="47" t="n">
        <f aca="false">10*LOG10(U147/L_PREF^2)</f>
        <v>-20.0080112407117</v>
      </c>
      <c r="AF147" s="47" t="n">
        <f aca="false">10*LOG10(V147/L_PREF^2)</f>
        <v>-4.91704768637154</v>
      </c>
      <c r="AG147" s="47" t="n">
        <f aca="false">10*LOG10(W147/L_PREF^2)</f>
        <v>-8.49190057530773</v>
      </c>
      <c r="AH147" s="47" t="n">
        <f aca="false">10*LOG10(X147/L_PREF^2)</f>
        <v>-19.6721386111724</v>
      </c>
      <c r="AI147" s="47" t="n">
        <f aca="false">10*LOG10(Y147/L_PREF^2)</f>
        <v>-16.6782813654669</v>
      </c>
      <c r="AJ147" s="47" t="n">
        <f aca="false">10*LOG10(Z147/L_PREF^2)</f>
        <v>-21.2236086930712</v>
      </c>
      <c r="AK147" s="47" t="n">
        <f aca="false">10*LOG10(R147/$R$6)</f>
        <v>-0.0641003533548065</v>
      </c>
      <c r="AL147" s="37" t="n">
        <f aca="false">(12194^2*B147^4/((B147^2+20.6^2)*SQRT((B147^2+107.7^2)*(B147^2+737.9^2))*(B147^2+12194^2))*1.2589254)^2</f>
        <v>0.124779259165645</v>
      </c>
      <c r="AM147" s="37" t="n">
        <f aca="false">0.5*(B147-B146)*(S147*AL147+S146*AL146)</f>
        <v>8.6037633771222E-013</v>
      </c>
      <c r="AN147" s="37" t="n">
        <f aca="false">0.5*(B147-B146)*(T147*AL147+T146*AL146)</f>
        <v>3.4974245155831E-012</v>
      </c>
      <c r="AO147" s="37" t="n">
        <f aca="false">0.5*(B147-B146)*(U147*AL147+U146*AL146)</f>
        <v>2.66099040228165E-012</v>
      </c>
      <c r="AP147" s="37" t="n">
        <f aca="false">0.5*(B147-B146)*(V147*AL147+V146*AL146)</f>
        <v>8.78732778085798E-011</v>
      </c>
      <c r="AQ147" s="37" t="n">
        <f aca="false">0.5*(B147-B146)*(W147*AL147+W146*AL146)</f>
        <v>3.85922462378946E-011</v>
      </c>
      <c r="AR147" s="37" t="n">
        <f aca="false">0.5*(B147-B146)*(X147*AL147+X146*AL146)</f>
        <v>2.88440001566299E-012</v>
      </c>
      <c r="AS147" s="37" t="n">
        <f aca="false">0.5*(B147-B146)*(Y147*AL147+Y146*AL146)</f>
        <v>5.8595191524573E-012</v>
      </c>
      <c r="AT147" s="37" t="n">
        <f aca="false">0.5*(B147-B146)*(Z147*AL147+Z146*AL146)</f>
        <v>2.01123144746872E-012</v>
      </c>
      <c r="AU147" s="37" t="n">
        <f aca="false">0.5*(B147-B146)*(AA147*AL147+AA146*AL146)</f>
        <v>1.4423946591764E-010</v>
      </c>
      <c r="AV147" s="37" t="n">
        <f aca="false">0.5*(B147-B146)*(S147+S146)</f>
        <v>7.06823539348496E-012</v>
      </c>
      <c r="AW147" s="37" t="n">
        <f aca="false">0.5*(B147-B146)*(T147+T146)</f>
        <v>2.87327829342792E-011</v>
      </c>
      <c r="AX147" s="37" t="n">
        <f aca="false">0.5*(B147-B146)*(U147+U146)</f>
        <v>2.18611321783486E-011</v>
      </c>
      <c r="AY147" s="37" t="n">
        <f aca="false">0.5*(B147-B146)*(V147+V146)</f>
        <v>7.22326331243311E-010</v>
      </c>
      <c r="AZ147" s="37" t="n">
        <f aca="false">0.5*(B147-B146)*(W147+W146)</f>
        <v>3.1723413340465E-010</v>
      </c>
      <c r="BA147" s="37" t="n">
        <f aca="false">0.5*(B147-B146)*(X147+X146)</f>
        <v>2.36985321809319E-011</v>
      </c>
      <c r="BB147" s="37" t="n">
        <f aca="false">0.5*(B147-B146)*(Y147+Y146)</f>
        <v>4.81661385823276E-011</v>
      </c>
      <c r="BC147" s="37" t="n">
        <f aca="false">0.5*(B147-B146)*(Z147+Z146)</f>
        <v>1.65230736705618E-011</v>
      </c>
      <c r="BD147" s="37" t="n">
        <f aca="false">0.5*(B147-B146)*(AA147+AA146)</f>
        <v>1.18561035958789E-009</v>
      </c>
      <c r="BE147" s="37" t="n">
        <f aca="false">IF(B147&gt;2000,AK147,-999)</f>
        <v>-999</v>
      </c>
      <c r="BF147" s="37" t="n">
        <f aca="false">IF(AND(B147&lt;1000,AK147&gt;=-3),B147,1000000000)</f>
        <v>240.452886923483</v>
      </c>
    </row>
    <row r="148" customFormat="false" ht="15" hidden="false" customHeight="false" outlineLevel="0" collapsed="false">
      <c r="A148" s="5" t="n">
        <v>109</v>
      </c>
      <c r="B148" s="47" t="n">
        <f aca="false">20*10^(A148/100)</f>
        <v>246.053754162476</v>
      </c>
      <c r="C148" s="37" t="n">
        <f aca="false">2*PI()*B148</f>
        <v>1546.00133293005</v>
      </c>
      <c r="D148" s="37" t="n">
        <f aca="false">SQRT(L_Rp0^2+L_Rp1^2*C148)</f>
        <v>78490892.2727376</v>
      </c>
      <c r="E148" s="5" t="str">
        <f aca="false">COMPLEX(D148,C148*L_Mp)</f>
        <v>78490892.2727376+22838643.5228379i</v>
      </c>
      <c r="F148" s="5" t="str">
        <f aca="false">IMDIV(1,E148)</f>
        <v>1.17458716374585e-08-3.41771850752807e-09i</v>
      </c>
      <c r="G148" s="5" t="str">
        <f aca="false">COMPLEX(0,C148*L_Cf)</f>
        <v>1.63476930625997e-12i</v>
      </c>
      <c r="H148" s="5" t="str">
        <f aca="false">COMPLEX(0,C148*L_Cbv)</f>
        <v>1.63476930625997e-11i</v>
      </c>
      <c r="I148" s="5" t="str">
        <f aca="false">COMPLEX(L_Rsq+L_Rh,C148*(L_Md+L_Mh)-1/(C148*L_Cd))</f>
        <v>552400610.124532-745128256725.243i</v>
      </c>
      <c r="J148" s="5" t="str">
        <f aca="false">IMDIV(1,I148)</f>
        <v>9.94928438947423e-16+1.34205009859083e-12i</v>
      </c>
      <c r="K148" s="5" t="str">
        <f aca="false">IMSUM(F148,G148,H148)</f>
        <v>1.17458716374585e-08-3.39973604515921e-09i</v>
      </c>
      <c r="L148" s="5" t="str">
        <f aca="false">IMSUM(IMPRODUCT(IMSUM(F148,G148),H148),IMPRODUCT(IMSUM(J148,L_Yv),K148))</f>
        <v>8.39111340998264e-20+2.00978597886559e-19i</v>
      </c>
      <c r="M148" s="37" t="n">
        <f aca="false">IMABS(IMDIV(IMPRODUCT(J148,F148,H148),L148))^2</f>
        <v>1.51855905221479E-024</v>
      </c>
      <c r="N148" s="5" t="str">
        <f aca="false">IMDIV(IMPRODUCT(L_Yv,K148,E148),H148)</f>
        <v>0.000172679962999984-0.122291176023993i</v>
      </c>
      <c r="O148" s="37" t="n">
        <f aca="false">IMABS(IMSUM(1,IMPRODUCT(E148,G148),N148))^2</f>
        <v>1.01519447115251</v>
      </c>
      <c r="P148" s="37" t="n">
        <f aca="false">IMABS(N148)^2</f>
        <v>0.0149551615517009</v>
      </c>
      <c r="Q148" s="37" t="n">
        <f aca="false">p_Rb^2/(1+(C148*p_Rb*L_Ctot)^2)</f>
        <v>68968807485760800</v>
      </c>
      <c r="R148" s="37" t="n">
        <f aca="false">M148*L_Kt^2*Q148</f>
        <v>2.10194731792523E-005</v>
      </c>
      <c r="S148" s="37" t="n">
        <f aca="false">L_kT4*D148</f>
        <v>1.29240120358307E-012</v>
      </c>
      <c r="T148" s="37" t="n">
        <f aca="false">L_kT4*L_Rsq*O148</f>
        <v>5.24397829347986E-012</v>
      </c>
      <c r="U148" s="37" t="n">
        <f aca="false">L_kT4*L_Rh*O148</f>
        <v>3.98984333944852E-012</v>
      </c>
      <c r="V148" s="37" t="n">
        <f aca="false">L_kT4*p_Rv*P148</f>
        <v>1.23123003380041E-010</v>
      </c>
      <c r="W148" s="37" t="n">
        <f aca="false">L_kT4/p_Rb*Q148/R148</f>
        <v>5.40267667241743E-011</v>
      </c>
      <c r="X148" s="37" t="n">
        <f aca="false">p_en^2*(1+p_fc/B148)/R148</f>
        <v>4.28224702634783E-012</v>
      </c>
      <c r="Y148" s="37" t="n">
        <f aca="false">p_in^2*Q148/R148</f>
        <v>8.20296575675333E-012</v>
      </c>
      <c r="Z148" s="37" t="n">
        <f aca="false">p_eo^2/L_G^2/R148</f>
        <v>3.01604741269256E-012</v>
      </c>
      <c r="AA148" s="37" t="n">
        <f aca="false">SUM(S148:Z148)</f>
        <v>2.03177253136521E-010</v>
      </c>
      <c r="AB148" s="47" t="n">
        <f aca="false">10*LOG10(AA148/L_PREF^2)</f>
        <v>-2.94184906762662</v>
      </c>
      <c r="AC148" s="47" t="n">
        <f aca="false">10*LOG10(S148/L_PREF^2)</f>
        <v>-24.9066263753386</v>
      </c>
      <c r="AD148" s="47" t="n">
        <f aca="false">10*LOG10(T148/L_PREF^2)</f>
        <v>-18.8239910599135</v>
      </c>
      <c r="AE148" s="47" t="n">
        <f aca="false">10*LOG10(U148/L_PREF^2)</f>
        <v>-20.0110414780882</v>
      </c>
      <c r="AF148" s="47" t="n">
        <f aca="false">10*LOG10(V148/L_PREF^2)</f>
        <v>-5.11720790486751</v>
      </c>
      <c r="AG148" s="47" t="n">
        <f aca="false">10*LOG10(W148/L_PREF^2)</f>
        <v>-8.69451013717812</v>
      </c>
      <c r="AH148" s="47" t="n">
        <f aca="false">10*LOG10(X148/L_PREF^2)</f>
        <v>-19.7038827486993</v>
      </c>
      <c r="AI148" s="47" t="n">
        <f aca="false">10*LOG10(Y148/L_PREF^2)</f>
        <v>-16.8808909273373</v>
      </c>
      <c r="AJ148" s="47" t="n">
        <f aca="false">10*LOG10(Z148/L_PREF^2)</f>
        <v>-21.2262182690579</v>
      </c>
      <c r="AK148" s="47" t="n">
        <f aca="false">10*LOG10(R148/$R$6)</f>
        <v>-0.0614907773681108</v>
      </c>
      <c r="AL148" s="37" t="n">
        <f aca="false">(12194^2*B148^4/((B148^2+20.6^2)*SQRT((B148^2+107.7^2)*(B148^2+737.9^2))*(B148^2+12194^2))*1.2589254)^2</f>
        <v>0.131138299608282</v>
      </c>
      <c r="AM148" s="37" t="n">
        <f aca="false">0.5*(B148-B147)*(S148*AL148+S147*AL147)</f>
        <v>9.25999760338114E-013</v>
      </c>
      <c r="AN148" s="37" t="n">
        <f aca="false">0.5*(B148-B147)*(T148*AL148+T147*AL147)</f>
        <v>3.75953407901447E-012</v>
      </c>
      <c r="AO148" s="37" t="n">
        <f aca="false">0.5*(B148-B147)*(U148*AL148+U147*AL147)</f>
        <v>2.86041458700085E-012</v>
      </c>
      <c r="AP148" s="37" t="n">
        <f aca="false">0.5*(B148-B147)*(V148*AL148+V147*AL147)</f>
        <v>9.02691132313774E-011</v>
      </c>
      <c r="AQ148" s="37" t="n">
        <f aca="false">0.5*(B148-B147)*(W148*AL148+W147*AL147)</f>
        <v>3.96215276148852E-011</v>
      </c>
      <c r="AR148" s="37" t="n">
        <f aca="false">0.5*(B148-B147)*(X148*AL148+X147*AL147)</f>
        <v>3.0799789633953E-012</v>
      </c>
      <c r="AS148" s="37" t="n">
        <f aca="false">0.5*(B148-B147)*(Y148*AL148+Y147*AL147)</f>
        <v>6.01579650165762E-012</v>
      </c>
      <c r="AT148" s="37" t="n">
        <f aca="false">0.5*(B148-B147)*(Z148*AL148+Z147*AL147)</f>
        <v>2.16217473217923E-012</v>
      </c>
      <c r="AU148" s="37" t="n">
        <f aca="false">0.5*(B148-B147)*(AA148*AL148+AA147*AL147)</f>
        <v>1.48694539469848E-010</v>
      </c>
      <c r="AV148" s="37" t="n">
        <f aca="false">0.5*(B148-B147)*(S148+S147)</f>
        <v>7.23665611130534E-012</v>
      </c>
      <c r="AW148" s="37" t="n">
        <f aca="false">0.5*(B148-B147)*(T148+T147)</f>
        <v>2.93810763713977E-011</v>
      </c>
      <c r="AX148" s="37" t="n">
        <f aca="false">0.5*(B148-B147)*(U148+U147)</f>
        <v>2.23543815984141E-011</v>
      </c>
      <c r="AY148" s="37" t="n">
        <f aca="false">0.5*(B148-B147)*(V148+V147)</f>
        <v>7.05858735484621E-010</v>
      </c>
      <c r="AZ148" s="37" t="n">
        <f aca="false">0.5*(B148-B147)*(W148+W147)</f>
        <v>3.09822444811211E-010</v>
      </c>
      <c r="BA148" s="37" t="n">
        <f aca="false">0.5*(B148-B147)*(X148+X147)</f>
        <v>2.40722731159236E-011</v>
      </c>
      <c r="BB148" s="37" t="n">
        <f aca="false">0.5*(B148-B147)*(Y148+Y147)</f>
        <v>4.70408106862109E-011</v>
      </c>
      <c r="BC148" s="37" t="n">
        <f aca="false">0.5*(B148-B147)*(Z148+Z147)</f>
        <v>1.68975578224218E-011</v>
      </c>
      <c r="BD148" s="37" t="n">
        <f aca="false">0.5*(B148-B147)*(AA148+AA147)</f>
        <v>1.16266393600151E-009</v>
      </c>
      <c r="BE148" s="37" t="n">
        <f aca="false">IF(B148&gt;2000,AK148,-999)</f>
        <v>-999</v>
      </c>
      <c r="BF148" s="37" t="n">
        <f aca="false">IF(AND(B148&lt;1000,AK148&gt;=-3),B148,1000000000)</f>
        <v>246.053754162476</v>
      </c>
    </row>
    <row r="149" customFormat="false" ht="15" hidden="false" customHeight="false" outlineLevel="0" collapsed="false">
      <c r="A149" s="5" t="n">
        <v>110</v>
      </c>
      <c r="B149" s="47" t="n">
        <f aca="false">20*10^(A149/100)</f>
        <v>251.785082358834</v>
      </c>
      <c r="C149" s="37" t="n">
        <f aca="false">2*PI()*B149</f>
        <v>1582.01233004402</v>
      </c>
      <c r="D149" s="37" t="n">
        <f aca="false">SQRT(L_Rp0^2+L_Rp1^2*C149)</f>
        <v>78533288.5263921</v>
      </c>
      <c r="E149" s="5" t="str">
        <f aca="false">COMPLEX(D149,C149*L_Mp)</f>
        <v>78533288.5263921+23370623.8701183i</v>
      </c>
      <c r="F149" s="5" t="str">
        <f aca="false">IMDIV(1,E149)</f>
        <v>1.1697531297806e-08-3.48105382188456e-09i</v>
      </c>
      <c r="G149" s="5" t="str">
        <f aca="false">COMPLEX(0,C149*L_Cf)</f>
        <v>1.67284797509149e-12i</v>
      </c>
      <c r="H149" s="5" t="str">
        <f aca="false">COMPLEX(0,C149*L_Cbv)</f>
        <v>1.67284797509149e-11i</v>
      </c>
      <c r="I149" s="5" t="str">
        <f aca="false">COMPLEX(L_Rsq+L_Rh,C149*(L_Md+L_Mh)-1/(C149*L_Cd))</f>
        <v>552400610.124532-728166798568.29i</v>
      </c>
      <c r="J149" s="5" t="str">
        <f aca="false">IMDIV(1,I149)</f>
        <v>1.04181871240986e-15+1.37331093159547e-12i</v>
      </c>
      <c r="K149" s="5" t="str">
        <f aca="false">IMSUM(F149,G149,H149)</f>
        <v>1.1697531297806e-08-3.46265249415855e-09i</v>
      </c>
      <c r="L149" s="5" t="str">
        <f aca="false">IMSUM(IMPRODUCT(IMSUM(F149,G149),H149),IMPRODUCT(IMSUM(J149,L_Yv),K149))</f>
        <v>8.63673019929144e-20+2.04817350610518e-19i</v>
      </c>
      <c r="M149" s="37" t="n">
        <f aca="false">IMABS(IMDIV(IMPRODUCT(J149,F149,H149),L149))^2</f>
        <v>1.59104072691151E-024</v>
      </c>
      <c r="N149" s="5" t="str">
        <f aca="false">IMDIV(IMPRODUCT(L_Yv,K149,E149),H149)</f>
        <v>0.000172773234758185-0.11950517493215i</v>
      </c>
      <c r="O149" s="37" t="n">
        <f aca="false">IMABS(IMSUM(1,IMPRODUCT(E149,G149),N149))^2</f>
        <v>1.01451747762628</v>
      </c>
      <c r="P149" s="37" t="n">
        <f aca="false">IMABS(N149)^2</f>
        <v>0.0142815166861544</v>
      </c>
      <c r="Q149" s="37" t="n">
        <f aca="false">p_Rb^2/(1+(C149*p_Rb*L_Ctot)^2)</f>
        <v>65864700020092300</v>
      </c>
      <c r="R149" s="37" t="n">
        <f aca="false">M149*L_Kt^2*Q149</f>
        <v>2.10315577057081E-005</v>
      </c>
      <c r="S149" s="37" t="n">
        <f aca="false">L_kT4*D149</f>
        <v>1.29309928418407E-012</v>
      </c>
      <c r="T149" s="37" t="n">
        <f aca="false">L_kT4*L_Rsq*O149</f>
        <v>5.24048128925328E-012</v>
      </c>
      <c r="U149" s="37" t="n">
        <f aca="false">L_kT4*L_Rh*O149</f>
        <v>3.98718266882012E-012</v>
      </c>
      <c r="V149" s="37" t="n">
        <f aca="false">L_kT4*p_Rv*P149</f>
        <v>1.17577013203279E-010</v>
      </c>
      <c r="W149" s="37" t="n">
        <f aca="false">L_kT4/p_Rb*Q149/R149</f>
        <v>5.15655157553075E-011</v>
      </c>
      <c r="X149" s="37" t="n">
        <f aca="false">p_en^2*(1+p_fc/B149)/R149</f>
        <v>4.25163484143203E-012</v>
      </c>
      <c r="Y149" s="37" t="n">
        <f aca="false">p_in^2*Q149/R149</f>
        <v>7.82927029725147E-012</v>
      </c>
      <c r="Z149" s="37" t="n">
        <f aca="false">p_eo^2/L_G^2/R149</f>
        <v>3.01431442147713E-012</v>
      </c>
      <c r="AA149" s="37" t="n">
        <f aca="false">SUM(S149:Z149)</f>
        <v>1.94758511761005E-010</v>
      </c>
      <c r="AB149" s="47" t="n">
        <f aca="false">10*LOG10(AA149/L_PREF^2)</f>
        <v>-3.12563544084486</v>
      </c>
      <c r="AC149" s="47" t="n">
        <f aca="false">10*LOG10(S149/L_PREF^2)</f>
        <v>-24.9042812003</v>
      </c>
      <c r="AD149" s="47" t="n">
        <f aca="false">10*LOG10(T149/L_PREF^2)</f>
        <v>-18.8268881662128</v>
      </c>
      <c r="AE149" s="47" t="n">
        <f aca="false">10*LOG10(U149/L_PREF^2)</f>
        <v>-20.0139385843875</v>
      </c>
      <c r="AF149" s="47" t="n">
        <f aca="false">10*LOG10(V149/L_PREF^2)</f>
        <v>-5.31737567672636</v>
      </c>
      <c r="AG149" s="47" t="n">
        <f aca="false">10*LOG10(W149/L_PREF^2)</f>
        <v>-8.89700625432234</v>
      </c>
      <c r="AH149" s="47" t="n">
        <f aca="false">10*LOG10(X149/L_PREF^2)</f>
        <v>-19.7350403396238</v>
      </c>
      <c r="AI149" s="47" t="n">
        <f aca="false">10*LOG10(Y149/L_PREF^2)</f>
        <v>-17.0833870444815</v>
      </c>
      <c r="AJ149" s="47" t="n">
        <f aca="false">10*LOG10(Z149/L_PREF^2)</f>
        <v>-21.2287143996831</v>
      </c>
      <c r="AK149" s="47" t="n">
        <f aca="false">10*LOG10(R149/$R$6)</f>
        <v>-0.0589946467429176</v>
      </c>
      <c r="AL149" s="37" t="n">
        <f aca="false">(12194^2*B149^4/((B149^2+20.6^2)*SQRT((B149^2+107.7^2)*(B149^2+737.9^2))*(B149^2+12194^2))*1.2589254)^2</f>
        <v>0.137751387008467</v>
      </c>
      <c r="AM149" s="37" t="n">
        <f aca="false">0.5*(B149-B148)*(S149*AL149+S148*AL148)</f>
        <v>9.96132110718273E-013</v>
      </c>
      <c r="AN149" s="37" t="n">
        <f aca="false">0.5*(B149-B148)*(T149*AL149+T148*AL148)</f>
        <v>4.03935403619879E-012</v>
      </c>
      <c r="AO149" s="37" t="n">
        <f aca="false">0.5*(B149-B148)*(U149*AL149+U148*AL148)</f>
        <v>3.07331359800644E-012</v>
      </c>
      <c r="AP149" s="37" t="n">
        <f aca="false">0.5*(B149-B148)*(V149*AL149+V148*AL148)</f>
        <v>9.26828498615866E-011</v>
      </c>
      <c r="AQ149" s="37" t="n">
        <f aca="false">0.5*(B149-B148)*(W149*AL149+W148*AL148)</f>
        <v>4.06586143222468E-011</v>
      </c>
      <c r="AR149" s="37" t="n">
        <f aca="false">0.5*(B149-B148)*(X149*AL149+X148*AL148)</f>
        <v>3.28759069614623E-012</v>
      </c>
      <c r="AS149" s="37" t="n">
        <f aca="false">0.5*(B149-B148)*(Y149*AL149+Y148*AL148)</f>
        <v>6.17325894598088E-012</v>
      </c>
      <c r="AT149" s="37" t="n">
        <f aca="false">0.5*(B149-B148)*(Z149*AL149+Z148*AL148)</f>
        <v>2.32332376109475E-012</v>
      </c>
      <c r="AU149" s="37" t="n">
        <f aca="false">0.5*(B149-B148)*(AA149*AL149+AA148*AL148)</f>
        <v>1.53234437331979E-010</v>
      </c>
      <c r="AV149" s="37" t="n">
        <f aca="false">0.5*(B149-B148)*(S149+S148)</f>
        <v>7.40917592361747E-012</v>
      </c>
      <c r="AW149" s="37" t="n">
        <f aca="false">0.5*(B149-B148)*(T149+T148)</f>
        <v>3.00449394150426E-011</v>
      </c>
      <c r="AX149" s="37" t="n">
        <f aca="false">0.5*(B149-B148)*(U149+U148)</f>
        <v>2.28594770421322E-011</v>
      </c>
      <c r="AY149" s="37" t="n">
        <f aca="false">0.5*(B149-B148)*(V149+V148)</f>
        <v>6.89765395953809E-010</v>
      </c>
      <c r="AZ149" s="37" t="n">
        <f aca="false">0.5*(B149-B148)*(W149+W148)</f>
        <v>3.02592012946181E-010</v>
      </c>
      <c r="BA149" s="37" t="n">
        <f aca="false">0.5*(B149-B148)*(X149+X148)</f>
        <v>2.44552388865938E-011</v>
      </c>
      <c r="BB149" s="37" t="n">
        <f aca="false">0.5*(B149-B148)*(Y149+Y148)</f>
        <v>4.59430032734856E-011</v>
      </c>
      <c r="BC149" s="37" t="n">
        <f aca="false">0.5*(B149-B148)*(Z149+Z148)</f>
        <v>1.72809914072064E-011</v>
      </c>
      <c r="BD149" s="37" t="n">
        <f aca="false">0.5*(B149-B148)*(AA149+AA148)</f>
        <v>1.14035023484807E-009</v>
      </c>
      <c r="BE149" s="37" t="n">
        <f aca="false">IF(B149&gt;2000,AK149,-999)</f>
        <v>-999</v>
      </c>
      <c r="BF149" s="37" t="n">
        <f aca="false">IF(AND(B149&lt;1000,AK149&gt;=-3),B149,1000000000)</f>
        <v>251.785082358834</v>
      </c>
    </row>
    <row r="150" customFormat="false" ht="15" hidden="false" customHeight="false" outlineLevel="0" collapsed="false">
      <c r="A150" s="5" t="n">
        <v>111</v>
      </c>
      <c r="B150" s="47" t="n">
        <f aca="false">20*10^(A150/100)</f>
        <v>257.649910338627</v>
      </c>
      <c r="C150" s="37" t="n">
        <f aca="false">2*PI()*B150</f>
        <v>1618.8621310358</v>
      </c>
      <c r="D150" s="37" t="n">
        <f aca="false">SQRT(L_Rp0^2+L_Rp1^2*C150)</f>
        <v>78576648.6351932</v>
      </c>
      <c r="E150" s="5" t="str">
        <f aca="false">COMPLEX(D150,C150*L_Mp)</f>
        <v>78576648.6351932+23914995.6315214i</v>
      </c>
      <c r="F150" s="5" t="str">
        <f aca="false">IMDIV(1,E150)</f>
        <v>1.16475132385099e-08-3.54494920635102e-09i</v>
      </c>
      <c r="G150" s="5" t="str">
        <f aca="false">COMPLEX(0,C150*L_Cf)</f>
        <v>1.71181361006217e-12i</v>
      </c>
      <c r="H150" s="5" t="str">
        <f aca="false">COMPLEX(0,C150*L_Cbv)</f>
        <v>1.71181361006217e-11i</v>
      </c>
      <c r="I150" s="5" t="str">
        <f aca="false">COMPLEX(L_Rsq+L_Rh,C150*(L_Md+L_Mh)-1/(C150*L_Cd))</f>
        <v>552400610.124532-711591424086.366i</v>
      </c>
      <c r="J150" s="5" t="str">
        <f aca="false">IMDIV(1,I150)</f>
        <v>1.09091892784251e-15+1.40529995658625e-12i</v>
      </c>
      <c r="K150" s="5" t="str">
        <f aca="false">IMSUM(F150,G150,H150)</f>
        <v>1.16475132385099e-08-3.52611925664034e-09i</v>
      </c>
      <c r="L150" s="5" t="str">
        <f aca="false">IMSUM(IMPRODUCT(IMSUM(F150,G150),H150),IMPRODUCT(IMSUM(J150,L_Yv),K150))</f>
        <v>8.89166081337003e-20+2.08695881475502e-19i</v>
      </c>
      <c r="M150" s="37" t="n">
        <f aca="false">IMABS(IMDIV(IMPRODUCT(J150,F150,H150),L150))^2</f>
        <v>1.6669404077076E-024</v>
      </c>
      <c r="N150" s="5" t="str">
        <f aca="false">IMDIV(IMPRODUCT(L_Yv,K150,E150),H150)</f>
        <v>0.000172868626997487-0.116782537065893i</v>
      </c>
      <c r="O150" s="37" t="n">
        <f aca="false">IMABS(IMSUM(1,IMPRODUCT(E150,G150),N150))^2</f>
        <v>1.01387064118011</v>
      </c>
      <c r="P150" s="37" t="n">
        <f aca="false">IMABS(N150)^2</f>
        <v>0.0136381908471089</v>
      </c>
      <c r="Q150" s="37" t="n">
        <f aca="false">p_Rb^2/(1+(C150*p_Rb*L_Ctot)^2)</f>
        <v>62900300386175800</v>
      </c>
      <c r="R150" s="37" t="n">
        <f aca="false">M150*L_Kt^2*Q150</f>
        <v>2.10431242178752E-005</v>
      </c>
      <c r="S150" s="37" t="n">
        <f aca="false">L_kT4*D150</f>
        <v>1.29381323525762E-012</v>
      </c>
      <c r="T150" s="37" t="n">
        <f aca="false">L_kT4*L_Rsq*O150</f>
        <v>5.23714006116399E-012</v>
      </c>
      <c r="U150" s="37" t="n">
        <f aca="false">L_kT4*L_Rh*O150</f>
        <v>3.98464051935047E-012</v>
      </c>
      <c r="V150" s="37" t="n">
        <f aca="false">L_kT4*p_Rv*P150</f>
        <v>1.1228063381069E-010</v>
      </c>
      <c r="W150" s="37" t="n">
        <f aca="false">L_kT4/p_Rb*Q150/R150</f>
        <v>4.92176176733985E-011</v>
      </c>
      <c r="X150" s="37" t="n">
        <f aca="false">p_en^2*(1+p_fc/B150)/R150</f>
        <v>4.22180218166714E-012</v>
      </c>
      <c r="Y150" s="37" t="n">
        <f aca="false">p_in^2*Q150/R150</f>
        <v>7.47278537812659E-012</v>
      </c>
      <c r="Z150" s="37" t="n">
        <f aca="false">p_eo^2/L_G^2/R150</f>
        <v>3.01265758078796E-012</v>
      </c>
      <c r="AA150" s="37" t="n">
        <f aca="false">SUM(S150:Z150)</f>
        <v>1.86721090440442E-010</v>
      </c>
      <c r="AB150" s="47" t="n">
        <f aca="false">10*LOG10(AA150/L_PREF^2)</f>
        <v>-3.30866616364435</v>
      </c>
      <c r="AC150" s="47" t="n">
        <f aca="false">10*LOG10(S150/L_PREF^2)</f>
        <v>-24.9018840181987</v>
      </c>
      <c r="AD150" s="47" t="n">
        <f aca="false">10*LOG10(T150/L_PREF^2)</f>
        <v>-18.8296580257499</v>
      </c>
      <c r="AE150" s="47" t="n">
        <f aca="false">10*LOG10(U150/L_PREF^2)</f>
        <v>-20.0167084439246</v>
      </c>
      <c r="AF150" s="47" t="n">
        <f aca="false">10*LOG10(V150/L_PREF^2)</f>
        <v>-5.51755135818462</v>
      </c>
      <c r="AG150" s="47" t="n">
        <f aca="false">10*LOG10(W150/L_PREF^2)</f>
        <v>-9.09939403016377</v>
      </c>
      <c r="AH150" s="47" t="n">
        <f aca="false">10*LOG10(X150/L_PREF^2)</f>
        <v>-19.7656211134332</v>
      </c>
      <c r="AI150" s="47" t="n">
        <f aca="false">10*LOG10(Y150/L_PREF^2)</f>
        <v>-17.2857748203229</v>
      </c>
      <c r="AJ150" s="47" t="n">
        <f aca="false">10*LOG10(Z150/L_PREF^2)</f>
        <v>-21.2311021883987</v>
      </c>
      <c r="AK150" s="47" t="n">
        <f aca="false">10*LOG10(R150/$R$6)</f>
        <v>-0.0566068580272714</v>
      </c>
      <c r="AL150" s="37" t="n">
        <f aca="false">(12194^2*B150^4/((B150^2+20.6^2)*SQRT((B150^2+107.7^2)*(B150^2+737.9^2))*(B150^2+12194^2))*1.2589254)^2</f>
        <v>0.144624873136213</v>
      </c>
      <c r="AM150" s="37" t="n">
        <f aca="false">0.5*(B150-B149)*(S150*AL150+S149*AL149)</f>
        <v>1.07104601402582E-012</v>
      </c>
      <c r="AN150" s="37" t="n">
        <f aca="false">0.5*(B150-B149)*(T150*AL150+T149*AL149)</f>
        <v>4.33793257516149E-012</v>
      </c>
      <c r="AO150" s="37" t="n">
        <f aca="false">0.5*(B150-B149)*(U150*AL150+U149*AL149)</f>
        <v>3.30048494165288E-012</v>
      </c>
      <c r="AP150" s="37" t="n">
        <f aca="false">0.5*(B150-B149)*(V150*AL150+V149*AL149)</f>
        <v>9.51127570615292E-011</v>
      </c>
      <c r="AQ150" s="37" t="n">
        <f aca="false">0.5*(B150-B149)*(W150*AL150+W149*AL149)</f>
        <v>4.17027772814745E-011</v>
      </c>
      <c r="AR150" s="37" t="n">
        <f aca="false">0.5*(B150-B149)*(X150*AL150+X149*AL149)</f>
        <v>3.5078890963185E-012</v>
      </c>
      <c r="AS150" s="37" t="n">
        <f aca="false">0.5*(B150-B149)*(Y150*AL150+Y149*AL149)</f>
        <v>6.33179578833429E-012</v>
      </c>
      <c r="AT150" s="37" t="n">
        <f aca="false">0.5*(B150-B149)*(Z150*AL150+Z149*AL149)</f>
        <v>2.49528259303747E-012</v>
      </c>
      <c r="AU150" s="37" t="n">
        <f aca="false">0.5*(B150-B149)*(AA150*AL150+AA149*AL149)</f>
        <v>1.57859965351534E-010</v>
      </c>
      <c r="AV150" s="37" t="n">
        <f aca="false">0.5*(B150-B149)*(S150+S149)</f>
        <v>7.58589846264965E-012</v>
      </c>
      <c r="AW150" s="37" t="n">
        <f aca="false">0.5*(B150-B149)*(T150+T149)</f>
        <v>3.07247234288037E-011</v>
      </c>
      <c r="AX150" s="37" t="n">
        <f aca="false">0.5*(B150-B149)*(U150+U149)</f>
        <v>2.33766858419741E-011</v>
      </c>
      <c r="AY150" s="37" t="n">
        <f aca="false">0.5*(B150-B149)*(V150+V149)</f>
        <v>6.74037779788495E-010</v>
      </c>
      <c r="AZ150" s="37" t="n">
        <f aca="false">0.5*(B150-B149)*(W150+W149)</f>
        <v>2.95537870411961E-010</v>
      </c>
      <c r="BA150" s="37" t="n">
        <f aca="false">0.5*(B150-B149)*(X150+X149)</f>
        <v>2.48476252690444E-011</v>
      </c>
      <c r="BB150" s="37" t="n">
        <f aca="false">0.5*(B150-B149)*(Y150+Y149)</f>
        <v>4.48719621366564E-011</v>
      </c>
      <c r="BC150" s="37" t="n">
        <f aca="false">0.5*(B150-B149)*(Z150+Z149)</f>
        <v>1.76735770161577E-011</v>
      </c>
      <c r="BD150" s="37" t="n">
        <f aca="false">0.5*(B150-B149)*(AA150+AA149)</f>
        <v>1.11865612235574E-009</v>
      </c>
      <c r="BE150" s="37" t="n">
        <f aca="false">IF(B150&gt;2000,AK150,-999)</f>
        <v>-999</v>
      </c>
      <c r="BF150" s="37" t="n">
        <f aca="false">IF(AND(B150&lt;1000,AK150&gt;=-3),B150,1000000000)</f>
        <v>257.649910338627</v>
      </c>
    </row>
    <row r="151" customFormat="false" ht="15" hidden="false" customHeight="false" outlineLevel="0" collapsed="false">
      <c r="A151" s="5" t="n">
        <v>112</v>
      </c>
      <c r="B151" s="47" t="n">
        <f aca="false">20*10^(A151/100)</f>
        <v>263.651347711281</v>
      </c>
      <c r="C151" s="37" t="n">
        <f aca="false">2*PI()*B151</f>
        <v>1656.57027415762</v>
      </c>
      <c r="D151" s="37" t="n">
        <f aca="false">SQRT(L_Rp0^2+L_Rp1^2*C151)</f>
        <v>78620993.9752192</v>
      </c>
      <c r="E151" s="5" t="str">
        <f aca="false">COMPLEX(D151,C151*L_Mp)</f>
        <v>78620993.9752192+24472047.4401607i</v>
      </c>
      <c r="F151" s="5" t="str">
        <f aca="false">IMDIV(1,E151)</f>
        <v>1.15957742919572e-08-3.60937103730353e-09i</v>
      </c>
      <c r="G151" s="5" t="str">
        <f aca="false">COMPLEX(0,C151*L_Cf)</f>
        <v>1.75168687126744e-12i</v>
      </c>
      <c r="H151" s="5" t="str">
        <f aca="false">COMPLEX(0,C151*L_Cbv)</f>
        <v>1.75168687126744e-11i</v>
      </c>
      <c r="I151" s="5" t="str">
        <f aca="false">COMPLEX(L_Rsq+L_Rh,C151*(L_Md+L_Mh)-1/(C151*L_Cd))</f>
        <v>552400610.124532-695393344796.518i</v>
      </c>
      <c r="J151" s="5" t="str">
        <f aca="false">IMDIV(1,I151)</f>
        <v>1.14233324349658e-15+1.43803413773975e-12i</v>
      </c>
      <c r="K151" s="5" t="str">
        <f aca="false">IMSUM(F151,G151,H151)</f>
        <v>1.15957742919572e-08-3.59010248171959e-09i</v>
      </c>
      <c r="L151" s="5" t="str">
        <f aca="false">IMSUM(IMPRODUCT(IMSUM(F151,G151),H151),IMPRODUCT(IMSUM(J151,L_Yv),K151))</f>
        <v>9.15616792758948e-20+2.12612469122527e-19i</v>
      </c>
      <c r="M151" s="37" t="n">
        <f aca="false">IMABS(IMDIV(IMPRODUCT(J151,F151,H151),L151))^2</f>
        <v>1.7464192379961E-024</v>
      </c>
      <c r="N151" s="5" t="str">
        <f aca="false">IMDIV(IMPRODUCT(L_Yv,K151,E151),H151)</f>
        <v>0.000172966186745574-0.114121818846588i</v>
      </c>
      <c r="O151" s="37" t="n">
        <f aca="false">IMABS(IMSUM(1,IMPRODUCT(E151,G151),N151))^2</f>
        <v>1.01325258950586</v>
      </c>
      <c r="P151" s="37" t="n">
        <f aca="false">IMABS(N151)^2</f>
        <v>0.0130238194541552</v>
      </c>
      <c r="Q151" s="37" t="n">
        <f aca="false">p_Rb^2/(1+(C151*p_Rb*L_Ctot)^2)</f>
        <v>60069320697374200</v>
      </c>
      <c r="R151" s="37" t="n">
        <f aca="false">M151*L_Kt^2*Q151</f>
        <v>2.10541955614399E-005</v>
      </c>
      <c r="S151" s="37" t="n">
        <f aca="false">L_kT4*D151</f>
        <v>1.2945434087741E-012</v>
      </c>
      <c r="T151" s="37" t="n">
        <f aca="false">L_kT4*L_Rsq*O151</f>
        <v>5.23394752056597E-012</v>
      </c>
      <c r="U151" s="37" t="n">
        <f aca="false">L_kT4*L_Rh*O151</f>
        <v>3.982211497694E-012</v>
      </c>
      <c r="V151" s="37" t="n">
        <f aca="false">L_kT4*p_Rv*P151</f>
        <v>1.07222630871054E-010</v>
      </c>
      <c r="W151" s="37" t="n">
        <f aca="false">L_kT4/p_Rb*Q151/R151</f>
        <v>4.69777438806907E-011</v>
      </c>
      <c r="X151" s="37" t="n">
        <f aca="false">p_en^2*(1+p_fc/B151)/R151</f>
        <v>4.19272643988384E-012</v>
      </c>
      <c r="Y151" s="37" t="n">
        <f aca="false">p_in^2*Q151/R151</f>
        <v>7.1327019503169E-012</v>
      </c>
      <c r="Z151" s="37" t="n">
        <f aca="false">p_eo^2/L_G^2/R151</f>
        <v>3.01107337553908E-012</v>
      </c>
      <c r="AA151" s="37" t="n">
        <f aca="false">SUM(S151:Z151)</f>
        <v>1.79047578944518E-010</v>
      </c>
      <c r="AB151" s="47" t="n">
        <f aca="false">10*LOG10(AA151/L_PREF^2)</f>
        <v>-3.49091538407546</v>
      </c>
      <c r="AC151" s="47" t="n">
        <f aca="false">10*LOG10(S151/L_PREF^2)</f>
        <v>-24.8994337350185</v>
      </c>
      <c r="AD151" s="47" t="n">
        <f aca="false">10*LOG10(T151/L_PREF^2)</f>
        <v>-18.8323062756038</v>
      </c>
      <c r="AE151" s="47" t="n">
        <f aca="false">10*LOG10(U151/L_PREF^2)</f>
        <v>-20.0193566937785</v>
      </c>
      <c r="AF151" s="47" t="n">
        <f aca="false">10*LOG10(V151/L_PREF^2)</f>
        <v>-5.7177353222935</v>
      </c>
      <c r="AG151" s="47" t="n">
        <f aca="false">10*LOG10(W151/L_PREF^2)</f>
        <v>-9.30167835499706</v>
      </c>
      <c r="AH151" s="47" t="n">
        <f aca="false">10*LOG10(X151/L_PREF^2)</f>
        <v>-19.795634641318</v>
      </c>
      <c r="AI151" s="47" t="n">
        <f aca="false">10*LOG10(Y151/L_PREF^2)</f>
        <v>-17.4880591451562</v>
      </c>
      <c r="AJ151" s="47" t="n">
        <f aca="false">10*LOG10(Z151/L_PREF^2)</f>
        <v>-21.2333865255268</v>
      </c>
      <c r="AK151" s="47" t="n">
        <f aca="false">10*LOG10(R151/$R$6)</f>
        <v>-0.0543225208991887</v>
      </c>
      <c r="AL151" s="37" t="n">
        <f aca="false">(12194^2*B151^4/((B151^2+20.6^2)*SQRT((B151^2+107.7^2)*(B151^2+737.9^2))*(B151^2+12194^2))*1.2589254)^2</f>
        <v>0.151765029126713</v>
      </c>
      <c r="AM151" s="37" t="n">
        <f aca="false">0.5*(B151-B150)*(S151*AL151+S150*AL150)</f>
        <v>1.1510276560197E-012</v>
      </c>
      <c r="AN151" s="37" t="n">
        <f aca="false">0.5*(B151-B150)*(T151*AL151+T150*AL150)</f>
        <v>4.6563679667123E-012</v>
      </c>
      <c r="AO151" s="37" t="n">
        <f aca="false">0.5*(B151-B150)*(U151*AL151+U150*AL150)</f>
        <v>3.5427642294225E-012</v>
      </c>
      <c r="AP151" s="37" t="n">
        <f aca="false">0.5*(B151-B150)*(V151*AL151+V150*AL150)</f>
        <v>9.75570197210841E-011</v>
      </c>
      <c r="AQ151" s="37" t="n">
        <f aca="false">0.5*(B151-B150)*(W151*AL151+W150*AL150)</f>
        <v>4.27532507472249E-011</v>
      </c>
      <c r="AR151" s="37" t="n">
        <f aca="false">0.5*(B151-B150)*(X151*AL151+X150*AL150)</f>
        <v>3.74155668613185E-012</v>
      </c>
      <c r="AS151" s="37" t="n">
        <f aca="false">0.5*(B151-B150)*(Y151*AL151+Y150*AL150)</f>
        <v>6.49129076444348E-012</v>
      </c>
      <c r="AT151" s="37" t="n">
        <f aca="false">0.5*(B151-B150)*(Z151*AL151+Z150*AL150)</f>
        <v>2.67868413442499E-012</v>
      </c>
      <c r="AU151" s="37" t="n">
        <f aca="false">0.5*(B151-B150)*(AA151*AL151+AA150*AL150)</f>
        <v>1.62571961905464E-010</v>
      </c>
      <c r="AV151" s="37" t="n">
        <f aca="false">0.5*(B151-B150)*(S151+S150)</f>
        <v>7.76693014862541E-012</v>
      </c>
      <c r="AW151" s="37" t="n">
        <f aca="false">0.5*(B151-B150)*(T151+T150)</f>
        <v>3.14207881726669E-011</v>
      </c>
      <c r="AX151" s="37" t="n">
        <f aca="false">0.5*(B151-B150)*(U151+U150)</f>
        <v>2.39062817187497E-011</v>
      </c>
      <c r="AY151" s="37" t="n">
        <f aca="false">0.5*(B151-B150)*(V151+V150)</f>
        <v>6.58667548040357E-010</v>
      </c>
      <c r="AZ151" s="37" t="n">
        <f aca="false">0.5*(B151-B150)*(W151+W150)</f>
        <v>2.88655218953366E-010</v>
      </c>
      <c r="BA151" s="37" t="n">
        <f aca="false">0.5*(B151-B150)*(X151+X150)</f>
        <v>2.52496332713239E-011</v>
      </c>
      <c r="BB151" s="37" t="n">
        <f aca="false">0.5*(B151-B150)*(Y151+Y150)</f>
        <v>4.3826958749377E-011</v>
      </c>
      <c r="BC151" s="37" t="n">
        <f aca="false">0.5*(B151-B150)*(Z151+Z150)</f>
        <v>1.80755220420588E-011</v>
      </c>
      <c r="BD151" s="37" t="n">
        <f aca="false">0.5*(B151-B150)*(AA151+AA150)</f>
        <v>1.09756888109652E-009</v>
      </c>
      <c r="BE151" s="37" t="n">
        <f aca="false">IF(B151&gt;2000,AK151,-999)</f>
        <v>-999</v>
      </c>
      <c r="BF151" s="37" t="n">
        <f aca="false">IF(AND(B151&lt;1000,AK151&gt;=-3),B151,1000000000)</f>
        <v>263.651347711281</v>
      </c>
    </row>
    <row r="152" customFormat="false" ht="15" hidden="false" customHeight="false" outlineLevel="0" collapsed="false">
      <c r="A152" s="5" t="n">
        <v>113</v>
      </c>
      <c r="B152" s="47" t="n">
        <f aca="false">20*10^(A152/100)</f>
        <v>269.792576518331</v>
      </c>
      <c r="C152" s="37" t="n">
        <f aca="false">2*PI()*B152</f>
        <v>1695.1567527661</v>
      </c>
      <c r="D152" s="37" t="n">
        <f aca="false">SQRT(L_Rp0^2+L_Rp1^2*C152)</f>
        <v>78666346.3726101</v>
      </c>
      <c r="E152" s="5" t="str">
        <f aca="false">COMPLEX(D152,C152*L_Mp)</f>
        <v>78666346.3726101+25042074.6522786i</v>
      </c>
      <c r="F152" s="5" t="str">
        <f aca="false">IMDIV(1,E152)</f>
        <v>1.15422715156079e-08-3.67428307375109e-09i</v>
      </c>
      <c r="G152" s="5" t="str">
        <f aca="false">COMPLEX(0,C152*L_Cf)</f>
        <v>1.79248890003817e-12i</v>
      </c>
      <c r="H152" s="5" t="str">
        <f aca="false">COMPLEX(0,C152*L_Cbv)</f>
        <v>1.79248890003817e-11i</v>
      </c>
      <c r="I152" s="5" t="str">
        <f aca="false">COMPLEX(L_Rsq+L_Rh,C152*(L_Md+L_Mh)-1/(C152*L_Cd))</f>
        <v>552400610.124532-679563972262.7i</v>
      </c>
      <c r="J152" s="5" t="str">
        <f aca="false">IMDIV(1,I152)</f>
        <v>1.19617072711564e-15+1.47153083455105e-12i</v>
      </c>
      <c r="K152" s="5" t="str">
        <f aca="false">IMSUM(F152,G152,H152)</f>
        <v>1.15422715156079e-08-3.65456569585067e-09i</v>
      </c>
      <c r="L152" s="5" t="str">
        <f aca="false">IMSUM(IMPRODUCT(IMSUM(F152,G152),H152),IMPRODUCT(IMSUM(J152,L_Yv),K152))</f>
        <v>9.43051417552659e-20+2.16565241289309e-19i</v>
      </c>
      <c r="M152" s="37" t="n">
        <f aca="false">IMABS(IMDIV(IMPRODUCT(J152,F152,H152),L152))^2</f>
        <v>1.829645967265E-024</v>
      </c>
      <c r="N152" s="5" t="str">
        <f aca="false">IMDIV(IMPRODUCT(L_Yv,K152,E152),H152)</f>
        <v>0.000173065962019751-0.111521609526216i</v>
      </c>
      <c r="O152" s="37" t="n">
        <f aca="false">IMABS(IMSUM(1,IMPRODUCT(E152,G152),N152))^2</f>
        <v>1.01266201134525</v>
      </c>
      <c r="P152" s="37" t="n">
        <f aca="false">IMABS(N152)^2</f>
        <v>0.012437099343145</v>
      </c>
      <c r="Q152" s="37" t="n">
        <f aca="false">p_Rb^2/(1+(C152*p_Rb*L_Ctot)^2)</f>
        <v>57365756068428400</v>
      </c>
      <c r="R152" s="37" t="n">
        <f aca="false">M152*L_Kt^2*Q152</f>
        <v>2.10647936776605E-005</v>
      </c>
      <c r="S152" s="37" t="n">
        <f aca="false">L_kT4*D152</f>
        <v>1.29529016411445E-012</v>
      </c>
      <c r="T152" s="37" t="n">
        <f aca="false">L_kT4*L_Rsq*O152</f>
        <v>5.23089689416596E-012</v>
      </c>
      <c r="U152" s="37" t="n">
        <f aca="false">L_kT4*L_Rh*O152</f>
        <v>3.97989045043902E-012</v>
      </c>
      <c r="V152" s="37" t="n">
        <f aca="false">L_kT4*p_Rv*P152</f>
        <v>1.02392275681555E-010</v>
      </c>
      <c r="W152" s="37" t="n">
        <f aca="false">L_kT4/p_Rb*Q152/R152</f>
        <v>4.48408255688565E-011</v>
      </c>
      <c r="X152" s="37" t="n">
        <f aca="false">p_en^2*(1+p_fc/B152)/R152</f>
        <v>4.164385802395E-012</v>
      </c>
      <c r="Y152" s="37" t="n">
        <f aca="false">p_in^2*Q152/R152</f>
        <v>6.80825040898283E-012</v>
      </c>
      <c r="Z152" s="37" t="n">
        <f aca="false">p_eo^2/L_G^2/R152</f>
        <v>3.00955844469897E-012</v>
      </c>
      <c r="AA152" s="37" t="n">
        <f aca="false">SUM(S152:Z152)</f>
        <v>1.71721373415208E-010</v>
      </c>
      <c r="AB152" s="47" t="n">
        <f aca="false">10*LOG10(AA152/L_PREF^2)</f>
        <v>-3.67235638050604</v>
      </c>
      <c r="AC152" s="47" t="n">
        <f aca="false">10*LOG10(S152/L_PREF^2)</f>
        <v>-24.8969292363818</v>
      </c>
      <c r="AD152" s="47" t="n">
        <f aca="false">10*LOG10(T152/L_PREF^2)</f>
        <v>-18.8348383156359</v>
      </c>
      <c r="AE152" s="47" t="n">
        <f aca="false">10*LOG10(U152/L_PREF^2)</f>
        <v>-20.0218887338106</v>
      </c>
      <c r="AF152" s="47" t="n">
        <f aca="false">10*LOG10(V152/L_PREF^2)</f>
        <v>-5.9179279597143</v>
      </c>
      <c r="AG152" s="47" t="n">
        <f aca="false">10*LOG10(W152/L_PREF^2)</f>
        <v>-9.50386391492934</v>
      </c>
      <c r="AH152" s="47" t="n">
        <f aca="false">10*LOG10(X152/L_PREF^2)</f>
        <v>-19.8250903415667</v>
      </c>
      <c r="AI152" s="47" t="n">
        <f aca="false">10*LOG10(Y152/L_PREF^2)</f>
        <v>-17.6902447050885</v>
      </c>
      <c r="AJ152" s="47" t="n">
        <f aca="false">10*LOG10(Z152/L_PREF^2)</f>
        <v>-21.2355720972005</v>
      </c>
      <c r="AK152" s="47" t="n">
        <f aca="false">10*LOG10(R152/$R$6)</f>
        <v>-0.0521369492254694</v>
      </c>
      <c r="AL152" s="37" t="n">
        <f aca="false">(12194^2*B152^4/((B152^2+20.6^2)*SQRT((B152^2+107.7^2)*(B152^2+737.9^2))*(B152^2+12194^2))*1.2589254)^2</f>
        <v>0.159178021341488</v>
      </c>
      <c r="AM152" s="37" t="n">
        <f aca="false">0.5*(B152-B151)*(S152*AL152+S151*AL151)</f>
        <v>1.23637718906099E-012</v>
      </c>
      <c r="AN152" s="37" t="n">
        <f aca="false">0.5*(B152-B151)*(T152*AL152+T151*AL151)</f>
        <v>4.99580984572788E-012</v>
      </c>
      <c r="AO152" s="37" t="n">
        <f aca="false">0.5*(B152-B151)*(U152*AL152+U151*AL151)</f>
        <v>3.80102615278022E-012</v>
      </c>
      <c r="AP152" s="37" t="n">
        <f aca="false">0.5*(B152-B151)*(V152*AL152+V151*AL151)</f>
        <v>1.0001373569841E-010</v>
      </c>
      <c r="AQ152" s="37" t="n">
        <f aca="false">0.5*(B152-B151)*(W152*AL152+W151*AL151)</f>
        <v>4.38092312024877E-011</v>
      </c>
      <c r="AR152" s="37" t="n">
        <f aca="false">0.5*(B152-B151)*(X152*AL152+X151*AL151)</f>
        <v>3.9893052088101E-012</v>
      </c>
      <c r="AS152" s="37" t="n">
        <f aca="false">0.5*(B152-B151)*(Y152*AL152+Y151*AL151)</f>
        <v>6.6516218751047E-012</v>
      </c>
      <c r="AT152" s="37" t="n">
        <f aca="false">0.5*(B152-B151)*(Z152*AL152+Z151*AL151)</f>
        <v>2.87419087528841E-012</v>
      </c>
      <c r="AU152" s="37" t="n">
        <f aca="false">0.5*(B152-B151)*(AA152*AL152+AA151*AL151)</f>
        <v>1.6737129804767E-010</v>
      </c>
      <c r="AV152" s="37" t="n">
        <f aca="false">0.5*(B152-B151)*(S152+S151)</f>
        <v>7.95238027164314E-012</v>
      </c>
      <c r="AW152" s="37" t="n">
        <f aca="false">0.5*(B152-B151)*(T152+T151)</f>
        <v>3.21335019905197E-011</v>
      </c>
      <c r="AX152" s="37" t="n">
        <f aca="false">0.5*(B152-B151)*(U152+U151)</f>
        <v>2.44485449242684E-011</v>
      </c>
      <c r="AY152" s="37" t="n">
        <f aca="false">0.5*(B152-B151)*(V152+V151)</f>
        <v>6.43646551253902E-010</v>
      </c>
      <c r="AZ152" s="37" t="n">
        <f aca="false">0.5*(B152-B151)*(W152+W151)</f>
        <v>2.81939421862802E-010</v>
      </c>
      <c r="BA152" s="37" t="n">
        <f aca="false">0.5*(B152-B151)*(X152+X151)</f>
        <v>2.56614692230131E-011</v>
      </c>
      <c r="BB152" s="37" t="n">
        <f aca="false">0.5*(B152-B151)*(Y152+Y151)</f>
        <v>4.28072891133158E-011</v>
      </c>
      <c r="BC152" s="37" t="n">
        <f aca="false">0.5*(B152-B151)*(Z152+Z151)</f>
        <v>1.84870387855414E-011</v>
      </c>
      <c r="BD152" s="37" t="n">
        <f aca="false">0.5*(B152-B151)*(AA152+AA151)</f>
        <v>1.07707619742501E-009</v>
      </c>
      <c r="BE152" s="37" t="n">
        <f aca="false">IF(B152&gt;2000,AK152,-999)</f>
        <v>-999</v>
      </c>
      <c r="BF152" s="37" t="n">
        <f aca="false">IF(AND(B152&lt;1000,AK152&gt;=-3),B152,1000000000)</f>
        <v>269.792576518331</v>
      </c>
    </row>
    <row r="153" customFormat="false" ht="15" hidden="false" customHeight="false" outlineLevel="0" collapsed="false">
      <c r="A153" s="5" t="n">
        <v>114</v>
      </c>
      <c r="B153" s="47" t="n">
        <f aca="false">20*10^(A153/100)</f>
        <v>276.076852920577</v>
      </c>
      <c r="C153" s="37" t="n">
        <f aca="false">2*PI()*B153</f>
        <v>1734.64202592295</v>
      </c>
      <c r="D153" s="37" t="n">
        <f aca="false">SQRT(L_Rp0^2+L_Rp1^2*C153)</f>
        <v>78712728.1119863</v>
      </c>
      <c r="E153" s="5" t="str">
        <f aca="false">COMPLEX(D153,C153*L_Mp)</f>
        <v>78712728.1119862+25625379.5038482i</v>
      </c>
      <c r="F153" s="5" t="str">
        <f aca="false">IMDIV(1,E153)</f>
        <v>1.14869623241173e-08-3.73964638200727e-09i</v>
      </c>
      <c r="G153" s="5" t="str">
        <f aca="false">COMPLEX(0,C153*L_Cf)</f>
        <v>1.8342413301501e-12i</v>
      </c>
      <c r="H153" s="5" t="str">
        <f aca="false">COMPLEX(0,C153*L_Cbv)</f>
        <v>1.8342413301501e-11i</v>
      </c>
      <c r="I153" s="5" t="str">
        <f aca="false">COMPLEX(L_Rsq+L_Rh,C153*(L_Md+L_Mh)-1/(C153*L_Cd))</f>
        <v>552400610.124532-664094913542.069i</v>
      </c>
      <c r="J153" s="5" t="str">
        <f aca="false">IMDIV(1,I153)</f>
        <v>1.25254558737705e-15+1.50580781105426e-12i</v>
      </c>
      <c r="K153" s="5" t="str">
        <f aca="false">IMSUM(F153,G153,H153)</f>
        <v>1.14869623241173e-08-3.71946972737562e-09i</v>
      </c>
      <c r="L153" s="5" t="str">
        <f aca="false">IMSUM(IMPRODUCT(IMSUM(F153,G153),H153),IMPRODUCT(IMSUM(J153,L_Yv),K153))</f>
        <v>9.7149614288336e-20+2.20552169860526e-19i</v>
      </c>
      <c r="M153" s="37" t="n">
        <f aca="false">IMABS(IMDIV(IMPRODUCT(J153,F153,H153),L153))^2</f>
        <v>1.91679731043992E-024</v>
      </c>
      <c r="N153" s="5" t="str">
        <f aca="false">IMDIV(IMPRODUCT(L_Yv,K153,E153),H153)</f>
        <v>0.000173168001846447-0.108980530439379i</v>
      </c>
      <c r="O153" s="37" t="n">
        <f aca="false">IMABS(IMSUM(1,IMPRODUCT(E153,G153),N153))^2</f>
        <v>1.01209765370842</v>
      </c>
      <c r="P153" s="37" t="n">
        <f aca="false">IMABS(N153)^2</f>
        <v>0.0118767860020053</v>
      </c>
      <c r="Q153" s="37" t="n">
        <f aca="false">p_Rb^2/(1+(C153*p_Rb*L_Ctot)^2)</f>
        <v>54783871878308900</v>
      </c>
      <c r="R153" s="37" t="n">
        <f aca="false">M153*L_Kt^2*Q153</f>
        <v>2.10749396375068E-005</v>
      </c>
      <c r="S153" s="37" t="n">
        <f aca="false">L_kT4*D153</f>
        <v>1.29605386820875E-012</v>
      </c>
      <c r="T153" s="37" t="n">
        <f aca="false">L_kT4*L_Rsq*O153</f>
        <v>5.22798170965563E-012</v>
      </c>
      <c r="U153" s="37" t="n">
        <f aca="false">L_kT4*L_Rh*O153</f>
        <v>3.97767245317609E-012</v>
      </c>
      <c r="V153" s="37" t="n">
        <f aca="false">L_kT4*p_Rv*P153</f>
        <v>9.77793224107709E-011</v>
      </c>
      <c r="W153" s="37" t="n">
        <f aca="false">L_kT4/p_Rb*Q153/R153</f>
        <v>4.28020402700075E-011</v>
      </c>
      <c r="X153" s="37" t="n">
        <f aca="false">p_en^2*(1+p_fc/B153)/R153</f>
        <v>4.13675921364174E-012</v>
      </c>
      <c r="Y153" s="37" t="n">
        <f aca="false">p_in^2*Q153/R153</f>
        <v>6.49869855152644E-012</v>
      </c>
      <c r="Z153" s="37" t="n">
        <f aca="false">p_eo^2/L_G^2/R153</f>
        <v>3.00810957416078E-012</v>
      </c>
      <c r="AA153" s="37" t="n">
        <f aca="false">SUM(S153:Z153)</f>
        <v>1.64726638051148E-010</v>
      </c>
      <c r="AB153" s="47" t="n">
        <f aca="false">10*LOG10(AA153/L_PREF^2)</f>
        <v>-3.8529615643765</v>
      </c>
      <c r="AC153" s="47" t="n">
        <f aca="false">10*LOG10(S153/L_PREF^2)</f>
        <v>-24.8943693872886</v>
      </c>
      <c r="AD153" s="47" t="n">
        <f aca="false">10*LOG10(T153/L_PREF^2)</f>
        <v>-18.8372593181684</v>
      </c>
      <c r="AE153" s="47" t="n">
        <f aca="false">10*LOG10(U153/L_PREF^2)</f>
        <v>-20.0243097363431</v>
      </c>
      <c r="AF153" s="47" t="n">
        <f aca="false">10*LOG10(V153/L_PREF^2)</f>
        <v>-6.11812967955094</v>
      </c>
      <c r="AG153" s="47" t="n">
        <f aca="false">10*LOG10(W153/L_PREF^2)</f>
        <v>-9.70595520051078</v>
      </c>
      <c r="AH153" s="47" t="n">
        <f aca="false">10*LOG10(X153/L_PREF^2)</f>
        <v>-19.8539974846727</v>
      </c>
      <c r="AI153" s="47" t="n">
        <f aca="false">10*LOG10(Y153/L_PREF^2)</f>
        <v>-17.8923359906699</v>
      </c>
      <c r="AJ153" s="47" t="n">
        <f aca="false">10*LOG10(Z153/L_PREF^2)</f>
        <v>-21.237663393995</v>
      </c>
      <c r="AK153" s="47" t="n">
        <f aca="false">10*LOG10(R153/$R$6)</f>
        <v>-0.0500456524310496</v>
      </c>
      <c r="AL153" s="37" t="n">
        <f aca="false">(12194^2*B153^4/((B153^2+20.6^2)*SQRT((B153^2+107.7^2)*(B153^2+737.9^2))*(B153^2+12194^2))*1.2589254)^2</f>
        <v>0.166869885499801</v>
      </c>
      <c r="AM153" s="37" t="n">
        <f aca="false">0.5*(B153-B152)*(S153*AL153+S152*AL152)</f>
        <v>1.327409121767E-012</v>
      </c>
      <c r="AN153" s="37" t="n">
        <f aca="false">0.5*(B153-B152)*(T153*AL153+T152*AL152)</f>
        <v>5.35746040497996E-012</v>
      </c>
      <c r="AO153" s="37" t="n">
        <f aca="false">0.5*(B153-B152)*(U153*AL153+U152*AL152)</f>
        <v>4.07618539148908E-012</v>
      </c>
      <c r="AP153" s="37" t="n">
        <f aca="false">0.5*(B153-B152)*(V153*AL153+V152*AL152)</f>
        <v>1.02480913402057E-010</v>
      </c>
      <c r="AQ153" s="37" t="n">
        <f aca="false">0.5*(B153-B152)*(W153*AL153+W152*AL152)</f>
        <v>4.48698763171402E-011</v>
      </c>
      <c r="AR153" s="37" t="n">
        <f aca="false">0.5*(B153-B152)*(X153*AL153+X152*AL152)</f>
        <v>4.25187614667427E-012</v>
      </c>
      <c r="AS153" s="37" t="n">
        <f aca="false">0.5*(B153-B152)*(Y153*AL153+Y152*AL152)</f>
        <v>6.81266122806063E-012</v>
      </c>
      <c r="AT153" s="37" t="n">
        <f aca="false">0.5*(B153-B152)*(Z153*AL153+Z152*AL152)</f>
        <v>3.08249557461631E-012</v>
      </c>
      <c r="AU153" s="37" t="n">
        <f aca="false">0.5*(B153-B152)*(AA153*AL153+AA152*AL152)</f>
        <v>1.72258877586785E-010</v>
      </c>
      <c r="AV153" s="37" t="n">
        <f aca="false">0.5*(B153-B152)*(S153+S152)</f>
        <v>8.14236107621523E-012</v>
      </c>
      <c r="AW153" s="37" t="n">
        <f aca="false">0.5*(B153-B152)*(T153+T152)</f>
        <v>3.28632420019773E-011</v>
      </c>
      <c r="AX153" s="37" t="n">
        <f aca="false">0.5*(B153-B152)*(U153+U152)</f>
        <v>2.50037623872895E-011</v>
      </c>
      <c r="AY153" s="37" t="n">
        <f aca="false">0.5*(B153-B152)*(V153+V152)</f>
        <v>6.28966825145767E-010</v>
      </c>
      <c r="AZ153" s="37" t="n">
        <f aca="false">0.5*(B153-B152)*(W153+W152)</f>
        <v>2.75385996808205E-010</v>
      </c>
      <c r="BA153" s="37" t="n">
        <f aca="false">0.5*(B153-B152)*(X153+X152)</f>
        <v>2.60833448679521E-011</v>
      </c>
      <c r="BB153" s="37" t="n">
        <f aca="false">0.5*(B153-B152)*(Y153+Y152)</f>
        <v>4.18122726692121E-011</v>
      </c>
      <c r="BC153" s="37" t="n">
        <f aca="false">0.5*(B153-B152)*(Z153+Z152)</f>
        <v>1.89083445637362E-011</v>
      </c>
      <c r="BD153" s="37" t="n">
        <f aca="false">0.5*(B153-B152)*(AA153+AA152)</f>
        <v>1.05716614952035E-009</v>
      </c>
      <c r="BE153" s="37" t="n">
        <f aca="false">IF(B153&gt;2000,AK153,-999)</f>
        <v>-999</v>
      </c>
      <c r="BF153" s="37" t="n">
        <f aca="false">IF(AND(B153&lt;1000,AK153&gt;=-3),B153,1000000000)</f>
        <v>276.076852920577</v>
      </c>
    </row>
    <row r="154" customFormat="false" ht="15" hidden="false" customHeight="false" outlineLevel="0" collapsed="false">
      <c r="A154" s="5" t="n">
        <v>115</v>
      </c>
      <c r="B154" s="47" t="n">
        <f aca="false">20*10^(A154/100)</f>
        <v>282.507508924551</v>
      </c>
      <c r="C154" s="37" t="n">
        <f aca="false">2*PI()*B154</f>
        <v>1775.04702924264</v>
      </c>
      <c r="D154" s="37" t="n">
        <f aca="false">SQRT(L_Rp0^2+L_Rp1^2*C154)</f>
        <v>78760161.9449773</v>
      </c>
      <c r="E154" s="5" t="str">
        <f aca="false">COMPLEX(D154,C154*L_Mp)</f>
        <v>78760161.9449773+26222271.2708227i</v>
      </c>
      <c r="F154" s="5" t="str">
        <f aca="false">IMDIV(1,E154)</f>
        <v>1.14298046308636e-08-3.80541926529299e-09i</v>
      </c>
      <c r="G154" s="5" t="str">
        <f aca="false">COMPLEX(0,C154*L_Cf)</f>
        <v>1.87696629929432e-12i</v>
      </c>
      <c r="H154" s="5" t="str">
        <f aca="false">COMPLEX(0,C154*L_Cbv)</f>
        <v>1.87696629929433e-11i</v>
      </c>
      <c r="I154" s="5" t="str">
        <f aca="false">COMPLEX(L_Rsq+L_Rh,C154*(L_Md+L_Mh)-1/(C154*L_Cd))</f>
        <v>552400610.124532-648977966734.932i</v>
      </c>
      <c r="J154" s="5" t="str">
        <f aca="false">IMDIV(1,I154)</f>
        <v>1.31157741624711e-15+1.54088324525858e-12i</v>
      </c>
      <c r="K154" s="5" t="str">
        <f aca="false">IMSUM(F154,G154,H154)</f>
        <v>1.14298046308636e-08-3.78477263600075e-09i</v>
      </c>
      <c r="L154" s="5" t="str">
        <f aca="false">IMSUM(IMPRODUCT(IMSUM(F154,G154),H154),IMPRODUCT(IMSUM(J154,L_Yv),K154))</f>
        <v>1.00097700208796e-19+2.24571066154452e-19i</v>
      </c>
      <c r="M154" s="37" t="n">
        <f aca="false">IMABS(IMDIV(IMPRODUCT(J154,F154,H154),L154))^2</f>
        <v>2.00805832425584E-024</v>
      </c>
      <c r="N154" s="5" t="str">
        <f aca="false">IMDIV(IMPRODUCT(L_Yv,K154,E154),H154)</f>
        <v>0.00017327235627879-0.106497234272307i</v>
      </c>
      <c r="O154" s="37" t="n">
        <f aca="false">IMABS(IMSUM(1,IMPRODUCT(E154,G154),N154))^2</f>
        <v>1.011558319216</v>
      </c>
      <c r="P154" s="37" t="n">
        <f aca="false">IMABS(N154)^2</f>
        <v>0.0113416909309601</v>
      </c>
      <c r="Q154" s="37" t="n">
        <f aca="false">p_Rb^2/(1+(C154*p_Rb*L_Ctot)^2)</f>
        <v>52318191606333200</v>
      </c>
      <c r="R154" s="37" t="n">
        <f aca="false">M154*L_Kt^2*Q154</f>
        <v>2.10846536749883E-005</v>
      </c>
      <c r="S154" s="37" t="n">
        <f aca="false">L_kT4*D154</f>
        <v>1.29683489567669E-012</v>
      </c>
      <c r="T154" s="37" t="n">
        <f aca="false">L_kT4*L_Rsq*O154</f>
        <v>5.22519578198213E-012</v>
      </c>
      <c r="U154" s="37" t="n">
        <f aca="false">L_kT4*L_Rh*O154</f>
        <v>3.97555280005203E-012</v>
      </c>
      <c r="V154" s="37" t="n">
        <f aca="false">L_kT4*p_Rv*P154</f>
        <v>9.33739863658756E-011</v>
      </c>
      <c r="W154" s="37" t="n">
        <f aca="false">L_kT4/p_Rb*Q154/R154</f>
        <v>4.08567991675717E-011</v>
      </c>
      <c r="X154" s="37" t="n">
        <f aca="false">p_en^2*(1+p_fc/B154)/R154</f>
        <v>4.10982634270565E-012</v>
      </c>
      <c r="Y154" s="37" t="n">
        <f aca="false">p_in^2*Q154/R154</f>
        <v>6.20334965098285E-012</v>
      </c>
      <c r="Z154" s="37" t="n">
        <f aca="false">p_eo^2/L_G^2/R154</f>
        <v>3.00672368992467E-012</v>
      </c>
      <c r="AA154" s="37" t="n">
        <f aca="false">SUM(S154:Z154)</f>
        <v>1.58048268694771E-010</v>
      </c>
      <c r="AB154" s="47" t="n">
        <f aca="false">10*LOG10(AA154/L_PREF^2)</f>
        <v>-4.03270248510324</v>
      </c>
      <c r="AC154" s="47" t="n">
        <f aca="false">10*LOG10(S154/L_PREF^2)</f>
        <v>-24.8917530318589</v>
      </c>
      <c r="AD154" s="47" t="n">
        <f aca="false">10*LOG10(T154/L_PREF^2)</f>
        <v>-18.8395742373309</v>
      </c>
      <c r="AE154" s="47" t="n">
        <f aca="false">10*LOG10(U154/L_PREF^2)</f>
        <v>-20.0266246555057</v>
      </c>
      <c r="AF154" s="47" t="n">
        <f aca="false">10*LOG10(V154/L_PREF^2)</f>
        <v>-6.31834091022272</v>
      </c>
      <c r="AG154" s="47" t="n">
        <f aca="false">10*LOG10(W154/L_PREF^2)</f>
        <v>-9.90795651506129</v>
      </c>
      <c r="AH154" s="47" t="n">
        <f aca="false">10*LOG10(X154/L_PREF^2)</f>
        <v>-19.8823651981638</v>
      </c>
      <c r="AI154" s="47" t="n">
        <f aca="false">10*LOG10(Y154/L_PREF^2)</f>
        <v>-18.0943373052205</v>
      </c>
      <c r="AJ154" s="47" t="n">
        <f aca="false">10*LOG10(Z154/L_PREF^2)</f>
        <v>-21.2396647192538</v>
      </c>
      <c r="AK154" s="47" t="n">
        <f aca="false">10*LOG10(R154/$R$6)</f>
        <v>-0.0480443271722268</v>
      </c>
      <c r="AL154" s="37" t="n">
        <f aca="false">(12194^2*B154^4/((B154^2+20.6^2)*SQRT((B154^2+107.7^2)*(B154^2+737.9^2))*(B154^2+12194^2))*1.2589254)^2</f>
        <v>0.174846499082515</v>
      </c>
      <c r="AM154" s="37" t="n">
        <f aca="false">0.5*(B154-B153)*(S154*AL154+S153*AL153)</f>
        <v>1.42445268863127E-012</v>
      </c>
      <c r="AN154" s="37" t="n">
        <f aca="false">0.5*(B154-B153)*(T154*AL154+T153*AL153)</f>
        <v>5.74257548611113E-012</v>
      </c>
      <c r="AO154" s="37" t="n">
        <f aca="false">0.5*(B154-B153)*(U154*AL154+U153*AL153)</f>
        <v>4.36919744367147E-012</v>
      </c>
      <c r="AP154" s="37" t="n">
        <f aca="false">0.5*(B154-B153)*(V154*AL154+V153*AL153)</f>
        <v>1.04956469562415E-010</v>
      </c>
      <c r="AQ154" s="37" t="n">
        <f aca="false">0.5*(B154-B153)*(W154*AL154+W153*AL153)</f>
        <v>4.59343039902966E-011</v>
      </c>
      <c r="AR154" s="37" t="n">
        <f aca="false">0.5*(B154-B153)*(X154*AL154+X153*AL153)</f>
        <v>4.53004116712271E-012</v>
      </c>
      <c r="AS154" s="37" t="n">
        <f aca="false">0.5*(B154-B153)*(Y154*AL154+Y153*AL153)</f>
        <v>6.9742748925988E-012</v>
      </c>
      <c r="AT154" s="37" t="n">
        <f aca="false">0.5*(B154-B153)*(Z154*AL154+Z153*AL153)</f>
        <v>3.30432188612524E-012</v>
      </c>
      <c r="AU154" s="37" t="n">
        <f aca="false">0.5*(B154-B153)*(AA154*AL154+AA153*AL153)</f>
        <v>1.77235637116972E-010</v>
      </c>
      <c r="AV154" s="37" t="n">
        <f aca="false">0.5*(B154-B153)*(S154+S153)</f>
        <v>8.33698784855816E-012</v>
      </c>
      <c r="AW154" s="37" t="n">
        <f aca="false">0.5*(B154-B153)*(T154+T153)</f>
        <v>3.36103942986024E-011</v>
      </c>
      <c r="AX154" s="37" t="n">
        <f aca="false">0.5*(B154-B153)*(U154+U153)</f>
        <v>2.5572227862814E-011</v>
      </c>
      <c r="AY154" s="37" t="n">
        <f aca="false">0.5*(B154-B153)*(V154+V153)</f>
        <v>6.14620586382006E-010</v>
      </c>
      <c r="AZ154" s="37" t="n">
        <f aca="false">0.5*(B154-B153)*(W154+W153)</f>
        <v>2.68990609057377E-010</v>
      </c>
      <c r="BA154" s="37" t="n">
        <f aca="false">0.5*(B154-B153)*(X154+X153)</f>
        <v>2.65154774601048E-011</v>
      </c>
      <c r="BB154" s="37" t="n">
        <f aca="false">0.5*(B154-B153)*(Y154+Y153)</f>
        <v>4.08412512681159E-011</v>
      </c>
      <c r="BC154" s="37" t="n">
        <f aca="false">0.5*(B154-B153)*(Z154+Z153)</f>
        <v>1.93396618212964E-011</v>
      </c>
      <c r="BD154" s="37" t="n">
        <f aca="false">0.5*(B154-B153)*(AA154+AA153)</f>
        <v>1.03782719599887E-009</v>
      </c>
      <c r="BE154" s="37" t="n">
        <f aca="false">IF(B154&gt;2000,AK154,-999)</f>
        <v>-999</v>
      </c>
      <c r="BF154" s="37" t="n">
        <f aca="false">IF(AND(B154&lt;1000,AK154&gt;=-3),B154,1000000000)</f>
        <v>282.507508924551</v>
      </c>
    </row>
    <row r="155" customFormat="false" ht="15" hidden="false" customHeight="false" outlineLevel="0" collapsed="false">
      <c r="A155" s="5" t="n">
        <v>116</v>
      </c>
      <c r="B155" s="47" t="n">
        <f aca="false">20*10^(A155/100)</f>
        <v>289.087954149185</v>
      </c>
      <c r="C155" s="37" t="n">
        <f aca="false">2*PI()*B155</f>
        <v>1816.39318599277</v>
      </c>
      <c r="D155" s="37" t="n">
        <f aca="false">SQRT(L_Rp0^2+L_Rp1^2*C155)</f>
        <v>78808671.0988624</v>
      </c>
      <c r="E155" s="5" t="str">
        <f aca="false">COMPLEX(D155,C155*L_Mp)</f>
        <v>78808671.0988624+26833066.4331178i</v>
      </c>
      <c r="F155" s="5" t="str">
        <f aca="false">IMDIV(1,E155)</f>
        <v>1.13707569989551e-08-3.87155719914438e-09i</v>
      </c>
      <c r="G155" s="5" t="str">
        <f aca="false">COMPLEX(0,C155*L_Cf)</f>
        <v>1.92068646081502e-12i</v>
      </c>
      <c r="H155" s="5" t="str">
        <f aca="false">COMPLEX(0,C155*L_Cbv)</f>
        <v>1.92068646081502e-11i</v>
      </c>
      <c r="I155" s="5" t="str">
        <f aca="false">COMPLEX(L_Rsq+L_Rh,C155*(L_Md+L_Mh)-1/(C155*L_Cd))</f>
        <v>552400610.124532-634205116635.998i</v>
      </c>
      <c r="J155" s="5" t="str">
        <f aca="false">IMDIV(1,I155)</f>
        <v>1.37339144276478e-15+1.57677573880515e-12i</v>
      </c>
      <c r="K155" s="5" t="str">
        <f aca="false">IMSUM(F155,G155,H155)</f>
        <v>1.13707569989551e-08-3.85042964807541e-09i</v>
      </c>
      <c r="L155" s="5" t="str">
        <f aca="false">IMSUM(IMPRODUCT(IMSUM(F155,G155),H155),IMPRODUCT(IMSUM(J155,L_Yv),K155))</f>
        <v>1.03151979133199e-19+2.28619576495628e-19i</v>
      </c>
      <c r="M155" s="37" t="n">
        <f aca="false">IMABS(IMDIV(IMPRODUCT(J155,F155,H155),L155))^2</f>
        <v>2.10362280146953E-024</v>
      </c>
      <c r="N155" s="5" t="str">
        <f aca="false">IMDIV(IMPRODUCT(L_Yv,K155,E155),H155)</f>
        <v>0.000173379076417437-0.104070404348505i</v>
      </c>
      <c r="O155" s="37" t="n">
        <f aca="false">IMABS(IMSUM(1,IMPRODUCT(E155,G155),N155))^2</f>
        <v>1.01104286355921</v>
      </c>
      <c r="P155" s="37" t="n">
        <f aca="false">IMABS(N155)^2</f>
        <v>0.0108306791215655</v>
      </c>
      <c r="Q155" s="37" t="n">
        <f aca="false">p_Rb^2/(1+(C155*p_Rb*L_Ctot)^2)</f>
        <v>49963485215746500</v>
      </c>
      <c r="R155" s="37" t="n">
        <f aca="false">M155*L_Kt^2*Q155</f>
        <v>2.10939552196633E-005</v>
      </c>
      <c r="S155" s="37" t="n">
        <f aca="false">L_kT4*D155</f>
        <v>1.29763362896983E-012</v>
      </c>
      <c r="T155" s="37" t="n">
        <f aca="false">L_kT4*L_Rsq*O155</f>
        <v>5.22253320022832E-012</v>
      </c>
      <c r="U155" s="37" t="n">
        <f aca="false">L_kT4*L_Rh*O155</f>
        <v>3.97352699378785E-012</v>
      </c>
      <c r="V155" s="37" t="n">
        <f aca="false">L_kT4*p_Rv*P155</f>
        <v>8.91669232380166E-011</v>
      </c>
      <c r="W155" s="37" t="n">
        <f aca="false">L_kT4/p_Rb*Q155/R155</f>
        <v>3.90007351192329E-011</v>
      </c>
      <c r="X155" s="37" t="n">
        <f aca="false">p_en^2*(1+p_fc/B155)/R155</f>
        <v>4.0835675515756E-012</v>
      </c>
      <c r="Y155" s="37" t="n">
        <f aca="false">p_in^2*Q155/R155</f>
        <v>5.92154063752487E-012</v>
      </c>
      <c r="Z155" s="37" t="n">
        <f aca="false">p_eo^2/L_G^2/R155</f>
        <v>3.00539785157733E-012</v>
      </c>
      <c r="AA155" s="37" t="n">
        <f aca="false">SUM(S155:Z155)</f>
        <v>1.51671858220913E-010</v>
      </c>
      <c r="AB155" s="47" t="n">
        <f aca="false">10*LOG10(AA155/L_PREF^2)</f>
        <v>-4.21154983732661</v>
      </c>
      <c r="AC155" s="47" t="n">
        <f aca="false">10*LOG10(S155/L_PREF^2)</f>
        <v>-24.8890789930769</v>
      </c>
      <c r="AD155" s="47" t="n">
        <f aca="false">10*LOG10(T155/L_PREF^2)</f>
        <v>-18.8417878180819</v>
      </c>
      <c r="AE155" s="47" t="n">
        <f aca="false">10*LOG10(U155/L_PREF^2)</f>
        <v>-20.0288382362566</v>
      </c>
      <c r="AF155" s="47" t="n">
        <f aca="false">10*LOG10(V155/L_PREF^2)</f>
        <v>-6.51856210037729</v>
      </c>
      <c r="AG155" s="47" t="n">
        <f aca="false">10*LOG10(W155/L_PREF^2)</f>
        <v>-10.1098719827024</v>
      </c>
      <c r="AH155" s="47" t="n">
        <f aca="false">10*LOG10(X155/L_PREF^2)</f>
        <v>-19.9102024711695</v>
      </c>
      <c r="AI155" s="47" t="n">
        <f aca="false">10*LOG10(Y155/L_PREF^2)</f>
        <v>-18.2962527728616</v>
      </c>
      <c r="AJ155" s="47" t="n">
        <f aca="false">10*LOG10(Z155/L_PREF^2)</f>
        <v>-21.2415801971213</v>
      </c>
      <c r="AK155" s="47" t="n">
        <f aca="false">10*LOG10(R155/$R$6)</f>
        <v>-0.0461288493047075</v>
      </c>
      <c r="AL155" s="37" t="n">
        <f aca="false">(12194^2*B155^4/((B155^2+20.6^2)*SQRT((B155^2+107.7^2)*(B155^2+737.9^2))*(B155^2+12194^2))*1.2589254)^2</f>
        <v>0.183113552026776</v>
      </c>
      <c r="AM155" s="37" t="n">
        <f aca="false">0.5*(B155-B154)*(S155*AL155+S154*AL154)</f>
        <v>1.52785219572033E-012</v>
      </c>
      <c r="AN155" s="37" t="n">
        <f aca="false">0.5*(B155-B154)*(T155*AL155+T154*AL154)</f>
        <v>6.15246555155251E-012</v>
      </c>
      <c r="AO155" s="37" t="n">
        <f aca="false">0.5*(B155-B154)*(U155*AL155+U154*AL154)</f>
        <v>4.68105936528559E-012</v>
      </c>
      <c r="AP155" s="37" t="n">
        <f aca="false">0.5*(B155-B154)*(V155*AL155+V154*AL154)</f>
        <v>1.07438227242779E-010</v>
      </c>
      <c r="AQ155" s="37" t="n">
        <f aca="false">0.5*(B155-B154)*(W155*AL155+W154*AL154)</f>
        <v>4.70015914978665E-011</v>
      </c>
      <c r="AR155" s="37" t="n">
        <f aca="false">0.5*(B155-B154)*(X155*AL155+X154*AL154)</f>
        <v>4.82460248711436E-012</v>
      </c>
      <c r="AS155" s="37" t="n">
        <f aca="false">0.5*(B155-B154)*(Y155*AL155+Y154*AL154)</f>
        <v>7.1363227701241E-012</v>
      </c>
      <c r="AT155" s="37" t="n">
        <f aca="false">0.5*(B155-B154)*(Z155*AL155+Z154*AL154)</f>
        <v>3.54042491509005E-012</v>
      </c>
      <c r="AU155" s="37" t="n">
        <f aca="false">0.5*(B155-B154)*(AA155*AL155+AA154*AL154)</f>
        <v>1.82302546025533E-010</v>
      </c>
      <c r="AV155" s="37" t="n">
        <f aca="false">0.5*(B155-B154)*(S155+S154)</f>
        <v>8.5363790067375E-012</v>
      </c>
      <c r="AW155" s="37" t="n">
        <f aca="false">0.5*(B155-B154)*(T155+T154)</f>
        <v>3.43753541446317E-011</v>
      </c>
      <c r="AX155" s="37" t="n">
        <f aca="false">0.5*(B155-B154)*(U155+U154)</f>
        <v>2.61542420848066E-011</v>
      </c>
      <c r="AY155" s="37" t="n">
        <f aca="false">0.5*(B155-B154)*(V155+V154)</f>
        <v>6.00600228451696E-010</v>
      </c>
      <c r="AZ155" s="37" t="n">
        <f aca="false">0.5*(B155-B154)*(W155+W154)</f>
        <v>2.62749065074349E-010</v>
      </c>
      <c r="BA155" s="37" t="n">
        <f aca="false">0.5*(B155-B154)*(X155+X154)</f>
        <v>2.69580898625867E-011</v>
      </c>
      <c r="BB155" s="37" t="n">
        <f aca="false">0.5*(B155-B154)*(Y155+Y154)</f>
        <v>3.98935881991146E-011</v>
      </c>
      <c r="BC155" s="37" t="n">
        <f aca="false">0.5*(B155-B154)*(Z155+Z154)</f>
        <v>1.97812182438498E-011</v>
      </c>
      <c r="BD155" s="37" t="n">
        <f aca="false">0.5*(B155-B154)*(AA155+AA154)</f>
        <v>1.01904816506777E-009</v>
      </c>
      <c r="BE155" s="37" t="n">
        <f aca="false">IF(B155&gt;2000,AK155,-999)</f>
        <v>-999</v>
      </c>
      <c r="BF155" s="37" t="n">
        <f aca="false">IF(AND(B155&lt;1000,AK155&gt;=-3),B155,1000000000)</f>
        <v>289.087954149185</v>
      </c>
    </row>
    <row r="156" customFormat="false" ht="15" hidden="false" customHeight="false" outlineLevel="0" collapsed="false">
      <c r="A156" s="5" t="n">
        <v>117</v>
      </c>
      <c r="B156" s="47" t="n">
        <f aca="false">20*10^(A156/100)</f>
        <v>295.821677633641</v>
      </c>
      <c r="C156" s="37" t="n">
        <f aca="false">2*PI()*B156</f>
        <v>1858.70241845291</v>
      </c>
      <c r="D156" s="37" t="n">
        <f aca="false">SQRT(L_Rp0^2+L_Rp1^2*C156)</f>
        <v>78858279.2853198</v>
      </c>
      <c r="E156" s="5" t="str">
        <f aca="false">COMPLEX(D156,C156*L_Mp)</f>
        <v>78858279.2853198+27458088.8424134i</v>
      </c>
      <c r="F156" s="5" t="str">
        <f aca="false">IMDIV(1,E156)</f>
        <v>1.13097788017213e-08-3.93801277354928e-09i</v>
      </c>
      <c r="G156" s="5" t="str">
        <f aca="false">COMPLEX(0,C156*L_Cf)</f>
        <v>1.96542499572054e-12i</v>
      </c>
      <c r="H156" s="5" t="str">
        <f aca="false">COMPLEX(0,C156*L_Cbv)</f>
        <v>1.96542499572054e-11i</v>
      </c>
      <c r="I156" s="5" t="str">
        <f aca="false">COMPLEX(L_Rsq+L_Rh,C156*(L_Md+L_Mh)-1/(C156*L_Cd))</f>
        <v>552400610.124532-619768530484.601i</v>
      </c>
      <c r="J156" s="5" t="str">
        <f aca="false">IMDIV(1,I156)</f>
        <v>1.43811879879337e-15+1.61350432684988e-12i</v>
      </c>
      <c r="K156" s="5" t="str">
        <f aca="false">IMSUM(F156,G156,H156)</f>
        <v>1.13097788017213e-08-3.91639309859635e-09i</v>
      </c>
      <c r="L156" s="5" t="str">
        <f aca="false">IMSUM(IMPRODUCT(IMSUM(F156,G156),H156),IMPRODUCT(IMSUM(J156,L_Yv),K156))</f>
        <v>1.06314998051045e-19+2.32695178126294e-19i</v>
      </c>
      <c r="M156" s="37" t="n">
        <f aca="false">IMABS(IMDIV(IMPRODUCT(J156,F156,H156),L156))^2</f>
        <v>2.20369368376343E-024</v>
      </c>
      <c r="N156" s="5" t="str">
        <f aca="false">IMDIV(IMPRODUCT(L_Yv,K156,E156),H156)</f>
        <v>0.00017348821442786-0.101698753930624i</v>
      </c>
      <c r="O156" s="37" t="n">
        <f aca="false">IMABS(IMSUM(1,IMPRODUCT(E156,G156),N156))^2</f>
        <v>1.01055019307238</v>
      </c>
      <c r="P156" s="37" t="n">
        <f aca="false">IMABS(N156)^2</f>
        <v>0.0103426666492022</v>
      </c>
      <c r="Q156" s="37" t="n">
        <f aca="false">p_Rb^2/(1+(C156*p_Rb*L_Ctot)^2)</f>
        <v>47714758060127000</v>
      </c>
      <c r="R156" s="37" t="n">
        <f aca="false">M156*L_Kt^2*Q156</f>
        <v>2.11028629283197E-005</v>
      </c>
      <c r="S156" s="37" t="n">
        <f aca="false">L_kT4*D156</f>
        <v>1.29845045851563E-012</v>
      </c>
      <c r="T156" s="37" t="n">
        <f aca="false">L_kT4*L_Rsq*O156</f>
        <v>5.21998831507357E-012</v>
      </c>
      <c r="U156" s="37" t="n">
        <f aca="false">L_kT4*L_Rh*O156</f>
        <v>3.97159073613839E-012</v>
      </c>
      <c r="V156" s="37" t="n">
        <f aca="false">L_kT4*p_Rv*P156</f>
        <v>8.51492092817634E-011</v>
      </c>
      <c r="W156" s="37" t="n">
        <f aca="false">L_kT4/p_Rb*Q156/R156</f>
        <v>3.72296913474744E-011</v>
      </c>
      <c r="X156" s="37" t="n">
        <f aca="false">p_en^2*(1+p_fc/B156)/R156</f>
        <v>4.0579638650651E-012</v>
      </c>
      <c r="Y156" s="37" t="n">
        <f aca="false">p_in^2*Q156/R156</f>
        <v>5.65264038133121E-012</v>
      </c>
      <c r="Z156" s="37" t="n">
        <f aca="false">p_eo^2/L_G^2/R156</f>
        <v>3.0041292460545E-012</v>
      </c>
      <c r="AA156" s="37" t="n">
        <f aca="false">SUM(S156:Z156)</f>
        <v>1.45583663631416E-010</v>
      </c>
      <c r="AB156" s="47" t="n">
        <f aca="false">10*LOG10(AA156/L_PREF^2)</f>
        <v>-4.38947347070582</v>
      </c>
      <c r="AC156" s="47" t="n">
        <f aca="false">10*LOG10(S156/L_PREF^2)</f>
        <v>-24.8863460725385</v>
      </c>
      <c r="AD156" s="47" t="n">
        <f aca="false">10*LOG10(T156/L_PREF^2)</f>
        <v>-18.8439046049136</v>
      </c>
      <c r="AE156" s="47" t="n">
        <f aca="false">10*LOG10(U156/L_PREF^2)</f>
        <v>-20.0309550230883</v>
      </c>
      <c r="AF156" s="47" t="n">
        <f aca="false">10*LOG10(V156/L_PREF^2)</f>
        <v>-6.71879371984849</v>
      </c>
      <c r="AG156" s="47" t="n">
        <f aca="false">10*LOG10(W156/L_PREF^2)</f>
        <v>-10.3117055561036</v>
      </c>
      <c r="AH156" s="47" t="n">
        <f aca="false">10*LOG10(X156/L_PREF^2)</f>
        <v>-19.9375181587379</v>
      </c>
      <c r="AI156" s="47" t="n">
        <f aca="false">10*LOG10(Y156/L_PREF^2)</f>
        <v>-18.4980863462627</v>
      </c>
      <c r="AJ156" s="47" t="n">
        <f aca="false">10*LOG10(Z156/L_PREF^2)</f>
        <v>-21.2434137802885</v>
      </c>
      <c r="AK156" s="47" t="n">
        <f aca="false">10*LOG10(R156/$R$6)</f>
        <v>-0.0442952661374769</v>
      </c>
      <c r="AL156" s="37" t="n">
        <f aca="false">(12194^2*B156^4/((B156^2+20.6^2)*SQRT((B156^2+107.7^2)*(B156^2+737.9^2))*(B156^2+12194^2))*1.2589254)^2</f>
        <v>0.191676515747859</v>
      </c>
      <c r="AM156" s="37" t="n">
        <f aca="false">0.5*(B156-B155)*(S156*AL156+S155*AL155)</f>
        <v>1.63796733835391E-012</v>
      </c>
      <c r="AN156" s="37" t="n">
        <f aca="false">0.5*(B156-B155)*(T156*AL156+T155*AL155)</f>
        <v>6.58849652043305E-012</v>
      </c>
      <c r="AO156" s="37" t="n">
        <f aca="false">0.5*(B156-B155)*(U156*AL156+U155*AL155)</f>
        <v>5.0128104061212E-012</v>
      </c>
      <c r="AP156" s="37" t="n">
        <f aca="false">0.5*(B156-B155)*(V156*AL156+V155*AL155)</f>
        <v>1.09923914142059E-010</v>
      </c>
      <c r="AQ156" s="37" t="n">
        <f aca="false">0.5*(B156-B155)*(W156*AL156+W155*AL155)</f>
        <v>4.80707747674722E-011</v>
      </c>
      <c r="AR156" s="37" t="n">
        <f aca="false">0.5*(B156-B155)*(X156*AL156+X155*AL155)</f>
        <v>5.13639314645201E-012</v>
      </c>
      <c r="AS156" s="37" t="n">
        <f aca="false">0.5*(B156-B155)*(Y156*AL156+Y155*AL155)</f>
        <v>7.29865848406836E-012</v>
      </c>
      <c r="AT156" s="37" t="n">
        <f aca="false">0.5*(B156-B155)*(Z156*AL156+Z155*AL155)</f>
        <v>3.79159169643642E-012</v>
      </c>
      <c r="AU156" s="37" t="n">
        <f aca="false">0.5*(B156-B155)*(AA156*AL156+AA155*AL155)</f>
        <v>1.87460606501396E-010</v>
      </c>
      <c r="AV156" s="37" t="n">
        <f aca="false">0.5*(B156-B155)*(S156+S155)</f>
        <v>8.74065619376174E-012</v>
      </c>
      <c r="AW156" s="37" t="n">
        <f aca="false">0.5*(B156-B155)*(T156+T155)</f>
        <v>3.5158526182263E-011</v>
      </c>
      <c r="AX156" s="37" t="n">
        <f aca="false">0.5*(B156-B155)*(U156+U155)</f>
        <v>2.67501129223862E-011</v>
      </c>
      <c r="AY156" s="37" t="n">
        <f aca="false">0.5*(B156-B155)*(V156+V155)</f>
        <v>5.86898317633998E-010</v>
      </c>
      <c r="AZ156" s="37" t="n">
        <f aca="false">0.5*(B156-B155)*(W156+W155)</f>
        <v>2.56657306464484E-010</v>
      </c>
      <c r="BA156" s="37" t="n">
        <f aca="false">0.5*(B156-B155)*(X156+X155)</f>
        <v>2.74114106498351E-011</v>
      </c>
      <c r="BB156" s="37" t="n">
        <f aca="false">0.5*(B156-B155)*(Y156+Y155)</f>
        <v>3.89686672700083E-011</v>
      </c>
      <c r="BC156" s="37" t="n">
        <f aca="false">0.5*(B156-B155)*(Z156+Z155)</f>
        <v>2.02332468738992E-011</v>
      </c>
      <c r="BD156" s="37" t="n">
        <f aca="false">0.5*(B156-B155)*(AA156+AA155)</f>
        <v>1.00081824419063E-009</v>
      </c>
      <c r="BE156" s="37" t="n">
        <f aca="false">IF(B156&gt;2000,AK156,-999)</f>
        <v>-999</v>
      </c>
      <c r="BF156" s="37" t="n">
        <f aca="false">IF(AND(B156&lt;1000,AK156&gt;=-3),B156,1000000000)</f>
        <v>295.821677633641</v>
      </c>
    </row>
    <row r="157" customFormat="false" ht="15" hidden="false" customHeight="false" outlineLevel="0" collapsed="false">
      <c r="A157" s="5" t="n">
        <v>118</v>
      </c>
      <c r="B157" s="47" t="n">
        <f aca="false">20*10^(A157/100)</f>
        <v>302.712249687242</v>
      </c>
      <c r="C157" s="37" t="n">
        <f aca="false">2*PI()*B157</f>
        <v>1901.99715953815</v>
      </c>
      <c r="D157" s="37" t="n">
        <f aca="false">SQRT(L_Rp0^2+L_Rp1^2*C157)</f>
        <v>78909010.7092863</v>
      </c>
      <c r="E157" s="5" t="str">
        <f aca="false">COMPLEX(D157,C157*L_Mp)</f>
        <v>78909010.7092863+28097669.893864i</v>
      </c>
      <c r="F157" s="5" t="str">
        <f aca="false">IMDIV(1,E157)</f>
        <v>1.12468303926217e-08-4.00473564278221e-09i</v>
      </c>
      <c r="G157" s="5" t="str">
        <f aca="false">COMPLEX(0,C157*L_Cf)</f>
        <v>2.01120562497426e-12i</v>
      </c>
      <c r="H157" s="5" t="str">
        <f aca="false">COMPLEX(0,C157*L_Cbv)</f>
        <v>2.01120562497426e-11i</v>
      </c>
      <c r="I157" s="5" t="str">
        <f aca="false">COMPLEX(L_Rsq+L_Rh,C157*(L_Md+L_Mh)-1/(C157*L_Cd))</f>
        <v>552400610.124532-605660553811.673i</v>
      </c>
      <c r="J157" s="5" t="str">
        <f aca="false">IMDIV(1,I157)</f>
        <v>1.50589679730483e-15+1.65108848817755e-12i</v>
      </c>
      <c r="K157" s="5" t="str">
        <f aca="false">IMSUM(F157,G157,H157)</f>
        <v>1.12468303926217e-08-3.98261238090749e-09i</v>
      </c>
      <c r="L157" s="5" t="str">
        <f aca="false">IMSUM(IMPRODUCT(IMSUM(F157,G157),H157),IMPRODUCT(IMSUM(J157,L_Yv),K157))</f>
        <v>1.09589261838427e-19+2.36795175512421e-19i</v>
      </c>
      <c r="M157" s="37" t="n">
        <f aca="false">IMABS(IMDIV(IMPRODUCT(J157,F157,H157),L157))^2</f>
        <v>2.30848349423235E-024</v>
      </c>
      <c r="N157" s="5" t="str">
        <f aca="false">IMDIV(IMPRODUCT(L_Yv,K157,E157),H157)</f>
        <v>0.000173599823560398-0.0993810255382172i</v>
      </c>
      <c r="O157" s="37" t="n">
        <f aca="false">IMABS(IMSUM(1,IMPRODUCT(E157,G157),N157))^2</f>
        <v>1.01007926241309</v>
      </c>
      <c r="P157" s="37" t="n">
        <f aca="false">IMABS(N157)^2</f>
        <v>0.00987661837392653</v>
      </c>
      <c r="Q157" s="37" t="n">
        <f aca="false">p_Rb^2/(1+(C157*p_Rb*L_Ctot)^2)</f>
        <v>45567240289084300</v>
      </c>
      <c r="R157" s="37" t="n">
        <f aca="false">M157*L_Kt^2*Q157</f>
        <v>2.11113947158207E-005</v>
      </c>
      <c r="S157" s="37" t="n">
        <f aca="false">L_kT4*D157</f>
        <v>1.2992857828634E-012</v>
      </c>
      <c r="T157" s="37" t="n">
        <f aca="false">L_kT4*L_Rsq*O157</f>
        <v>5.21755572681072E-012</v>
      </c>
      <c r="U157" s="37" t="n">
        <f aca="false">L_kT4*L_Rh*O157</f>
        <v>3.96973991877512E-012</v>
      </c>
      <c r="V157" s="37" t="n">
        <f aca="false">L_kT4*p_Rv*P157</f>
        <v>8.131232238665E-011</v>
      </c>
      <c r="W157" s="37" t="n">
        <f aca="false">L_kT4/p_Rb*Q157/R157</f>
        <v>3.55397107563784E-011</v>
      </c>
      <c r="X157" s="37" t="n">
        <f aca="false">p_en^2*(1+p_fc/B157)/R157</f>
        <v>4.03299694228341E-012</v>
      </c>
      <c r="Y157" s="37" t="n">
        <f aca="false">p_in^2*Q157/R157</f>
        <v>5.39604807053991E-012</v>
      </c>
      <c r="Z157" s="37" t="n">
        <f aca="false">p_eo^2/L_G^2/R157</f>
        <v>3.00291518167373E-012</v>
      </c>
      <c r="AA157" s="37" t="n">
        <f aca="false">SUM(S157:Z157)</f>
        <v>1.39770574765975E-010</v>
      </c>
      <c r="AB157" s="47" t="n">
        <f aca="false">10*LOG10(AA157/L_PREF^2)</f>
        <v>-4.56644240246235</v>
      </c>
      <c r="AC157" s="47" t="n">
        <f aca="false">10*LOG10(S157/L_PREF^2)</f>
        <v>-24.8835530502019</v>
      </c>
      <c r="AD157" s="47" t="n">
        <f aca="false">10*LOG10(T157/L_PREF^2)</f>
        <v>-18.8459289502466</v>
      </c>
      <c r="AE157" s="47" t="n">
        <f aca="false">10*LOG10(U157/L_PREF^2)</f>
        <v>-20.0329793684213</v>
      </c>
      <c r="AF157" s="47" t="n">
        <f aca="false">10*LOG10(V157/L_PREF^2)</f>
        <v>-6.91903626065893</v>
      </c>
      <c r="AG157" s="47" t="n">
        <f aca="false">10*LOG10(W157/L_PREF^2)</f>
        <v>-10.5134610239498</v>
      </c>
      <c r="AH157" s="47" t="n">
        <f aca="false">10*LOG10(X157/L_PREF^2)</f>
        <v>-19.9643209859134</v>
      </c>
      <c r="AI157" s="47" t="n">
        <f aca="false">10*LOG10(Y157/L_PREF^2)</f>
        <v>-18.6998418141089</v>
      </c>
      <c r="AJ157" s="47" t="n">
        <f aca="false">10*LOG10(Z157/L_PREF^2)</f>
        <v>-21.2451692574613</v>
      </c>
      <c r="AK157" s="47" t="n">
        <f aca="false">10*LOG10(R157/$R$6)</f>
        <v>-0.0425397889647543</v>
      </c>
      <c r="AL157" s="37" t="n">
        <f aca="false">(12194^2*B157^4/((B157^2+20.6^2)*SQRT((B157^2+107.7^2)*(B157^2+737.9^2))*(B157^2+12194^2))*1.2589254)^2</f>
        <v>0.200540610544118</v>
      </c>
      <c r="AM157" s="37" t="n">
        <f aca="false">0.5*(B157-B156)*(S157*AL157+S156*AL156)</f>
        <v>1.7551734864977E-012</v>
      </c>
      <c r="AN157" s="37" t="n">
        <f aca="false">0.5*(B157-B156)*(T157*AL157+T156*AL156)</f>
        <v>7.05209045090788E-012</v>
      </c>
      <c r="AO157" s="37" t="n">
        <f aca="false">0.5*(B157-B156)*(U157*AL157+U156*AL156)</f>
        <v>5.36553252894417E-012</v>
      </c>
      <c r="AP157" s="37" t="n">
        <f aca="false">0.5*(B157-B156)*(V157*AL157+V156*AL156)</f>
        <v>1.12411161242832E-010</v>
      </c>
      <c r="AQ157" s="37" t="n">
        <f aca="false">0.5*(B157-B156)*(W157*AL157+W156*AL156)</f>
        <v>4.9140847803619E-011</v>
      </c>
      <c r="AR157" s="37" t="n">
        <f aca="false">0.5*(B157-B156)*(X157*AL157+X156*AL156)</f>
        <v>5.46627717993027E-012</v>
      </c>
      <c r="AS157" s="37" t="n">
        <f aca="false">0.5*(B157-B156)*(Y157*AL157+Y156*AL156)</f>
        <v>7.46112929261315E-012</v>
      </c>
      <c r="AT157" s="37" t="n">
        <f aca="false">0.5*(B157-B156)*(Z157*AL157+Z156*AL156)</f>
        <v>4.05864158393773E-012</v>
      </c>
      <c r="AU157" s="37" t="n">
        <f aca="false">0.5*(B157-B156)*(AA157*AL157+AA156*AL156)</f>
        <v>1.92710853569282E-010</v>
      </c>
      <c r="AV157" s="37" t="n">
        <f aca="false">0.5*(B157-B156)*(S157+S156)</f>
        <v>8.94994437373531E-012</v>
      </c>
      <c r="AW157" s="37" t="n">
        <f aca="false">0.5*(B157-B156)*(T157+T156)</f>
        <v>3.59603246416142E-011</v>
      </c>
      <c r="AX157" s="37" t="n">
        <f aca="false">0.5*(B157-B156)*(U157+U156)</f>
        <v>2.73601555395725E-011</v>
      </c>
      <c r="AY157" s="37" t="n">
        <f aca="false">0.5*(B157-B156)*(V157+V156)</f>
        <v>5.73507589056921E-010</v>
      </c>
      <c r="AZ157" s="37" t="n">
        <f aca="false">0.5*(B157-B156)*(W157+W156)</f>
        <v>2.50711404246999E-010</v>
      </c>
      <c r="BA157" s="37" t="n">
        <f aca="false">0.5*(B157-B156)*(X157+X156)</f>
        <v>2.78756742129448E-011</v>
      </c>
      <c r="BB157" s="37" t="n">
        <f aca="false">0.5*(B157-B156)*(Y157+Y156)</f>
        <v>3.80658919376988E-011</v>
      </c>
      <c r="BC157" s="37" t="n">
        <f aca="false">0.5*(B157-B156)*(Z157+Z156)</f>
        <v>2.06959862292192E-011</v>
      </c>
      <c r="BD157" s="37" t="n">
        <f aca="false">0.5*(B157-B156)*(AA157+AA156)</f>
        <v>9.83126970238705E-010</v>
      </c>
      <c r="BE157" s="37" t="n">
        <f aca="false">IF(B157&gt;2000,AK157,-999)</f>
        <v>-999</v>
      </c>
      <c r="BF157" s="37" t="n">
        <f aca="false">IF(AND(B157&lt;1000,AK157&gt;=-3),B157,1000000000)</f>
        <v>302.712249687242</v>
      </c>
    </row>
    <row r="158" customFormat="false" ht="15" hidden="false" customHeight="false" outlineLevel="0" collapsed="false">
      <c r="A158" s="5" t="n">
        <v>119</v>
      </c>
      <c r="B158" s="47" t="n">
        <f aca="false">20*10^(A158/100)</f>
        <v>309.763323782496</v>
      </c>
      <c r="C158" s="37" t="n">
        <f aca="false">2*PI()*B158</f>
        <v>1946.30036469329</v>
      </c>
      <c r="D158" s="37" t="n">
        <f aca="false">SQRT(L_Rp0^2+L_Rp1^2*C158)</f>
        <v>78960890.0779245</v>
      </c>
      <c r="E158" s="5" t="str">
        <f aca="false">COMPLEX(D158,C158*L_Mp)</f>
        <v>78960890.0779245+28752148.7018089i</v>
      </c>
      <c r="F158" s="5" t="str">
        <f aca="false">IMDIV(1,E158)</f>
        <v>1.11818732844207e-08-4.07167248394951e-09i</v>
      </c>
      <c r="G158" s="5" t="str">
        <f aca="false">COMPLEX(0,C158*L_Cf)</f>
        <v>2.05805262207179e-12i</v>
      </c>
      <c r="H158" s="5" t="str">
        <f aca="false">COMPLEX(0,C158*L_Cbv)</f>
        <v>2.05805262207179e-11i</v>
      </c>
      <c r="I158" s="5" t="str">
        <f aca="false">COMPLEX(L_Rsq+L_Rh,C158*(L_Md+L_Mh)-1/(C158*L_Cd))</f>
        <v>552400610.124532-591873706381.242i</v>
      </c>
      <c r="J158" s="5" t="str">
        <f aca="false">IMDIV(1,I158)</f>
        <v>1.57686922378815e-15+1.68954815555255e-12i</v>
      </c>
      <c r="K158" s="5" t="str">
        <f aca="false">IMSUM(F158,G158,H158)</f>
        <v>1.11818732844207e-08-4.04903390510672e-09i</v>
      </c>
      <c r="L158" s="5" t="str">
        <f aca="false">IMSUM(IMPRODUCT(IMSUM(F158,G158),H158),IMPRODUCT(IMSUM(J158,L_Yv),K158))</f>
        <v>1.12977223198977e-19+2.40916697102916e-19i</v>
      </c>
      <c r="M158" s="37" t="n">
        <f aca="false">IMABS(IMDIV(IMPRODUCT(J158,F158,H158),L158))^2</f>
        <v>2.41821479038702E-024</v>
      </c>
      <c r="N158" s="5" t="str">
        <f aca="false">IMDIV(IMPRODUCT(L_Yv,K158,E158),H158)</f>
        <v>0.000173713958171548-0.0971159902810163i</v>
      </c>
      <c r="O158" s="37" t="n">
        <f aca="false">IMABS(IMSUM(1,IMPRODUCT(E158,G158),N158))^2</f>
        <v>1.00962907234466</v>
      </c>
      <c r="P158" s="37" t="n">
        <f aca="false">IMABS(N158)^2</f>
        <v>0.00943154574480173</v>
      </c>
      <c r="Q158" s="37" t="n">
        <f aca="false">p_Rb^2/(1+(C158*p_Rb*L_Ctot)^2)</f>
        <v>43516376730778900</v>
      </c>
      <c r="R158" s="37" t="n">
        <f aca="false">M158*L_Kt^2*Q158</f>
        <v>2.11195677851115E-005</v>
      </c>
      <c r="S158" s="37" t="n">
        <f aca="false">L_kT4*D158</f>
        <v>1.30014000883189E-012</v>
      </c>
      <c r="T158" s="37" t="n">
        <f aca="false">L_kT4*L_Rsq*O158</f>
        <v>5.21523027389123E-012</v>
      </c>
      <c r="U158" s="37" t="n">
        <f aca="false">L_kT4*L_Rh*O158</f>
        <v>3.9679706145708E-012</v>
      </c>
      <c r="V158" s="37" t="n">
        <f aca="false">L_kT4*p_Rv*P158</f>
        <v>7.7648124000651E-011</v>
      </c>
      <c r="W158" s="37" t="n">
        <f aca="false">L_kT4/p_Rb*Q158/R158</f>
        <v>3.39270258361795E-011</v>
      </c>
      <c r="X158" s="37" t="n">
        <f aca="false">p_en^2*(1+p_fc/B158)/R158</f>
        <v>4.00864904956964E-012</v>
      </c>
      <c r="Y158" s="37" t="n">
        <f aca="false">p_in^2*Q158/R158</f>
        <v>5.15119167844148E-012</v>
      </c>
      <c r="Z158" s="37" t="n">
        <f aca="false">p_eo^2/L_G^2/R158</f>
        <v>3.00175308242511E-012</v>
      </c>
      <c r="AA158" s="37" t="n">
        <f aca="false">SUM(S158:Z158)</f>
        <v>1.34220084544561E-010</v>
      </c>
      <c r="AB158" s="47" t="n">
        <f aca="false">10*LOG10(AA158/L_PREF^2)</f>
        <v>-4.74242483287679</v>
      </c>
      <c r="AC158" s="47" t="n">
        <f aca="false">10*LOG10(S158/L_PREF^2)</f>
        <v>-24.8806986841419</v>
      </c>
      <c r="AD158" s="47" t="n">
        <f aca="false">10*LOG10(T158/L_PREF^2)</f>
        <v>-18.8478650225239</v>
      </c>
      <c r="AE158" s="47" t="n">
        <f aca="false">10*LOG10(U158/L_PREF^2)</f>
        <v>-20.0349154406986</v>
      </c>
      <c r="AF158" s="47" t="n">
        <f aca="false">10*LOG10(V158/L_PREF^2)</f>
        <v>-7.11929023806944</v>
      </c>
      <c r="AG158" s="47" t="n">
        <f aca="false">10*LOG10(W158/L_PREF^2)</f>
        <v>-10.7151420181399</v>
      </c>
      <c r="AH158" s="47" t="n">
        <f aca="false">10*LOG10(X158/L_PREF^2)</f>
        <v>-19.9906195515901</v>
      </c>
      <c r="AI158" s="47" t="n">
        <f aca="false">10*LOG10(Y158/L_PREF^2)</f>
        <v>-18.9015228082991</v>
      </c>
      <c r="AJ158" s="47" t="n">
        <f aca="false">10*LOG10(Z158/L_PREF^2)</f>
        <v>-21.2468502605582</v>
      </c>
      <c r="AK158" s="47" t="n">
        <f aca="false">10*LOG10(R158/$R$6)</f>
        <v>-0.0408587858678147</v>
      </c>
      <c r="AL158" s="37" t="n">
        <f aca="false">(12194^2*B158^4/((B158^2+20.6^2)*SQRT((B158^2+107.7^2)*(B158^2+737.9^2))*(B158^2+12194^2))*1.2589254)^2</f>
        <v>0.209710771462289</v>
      </c>
      <c r="AM158" s="37" t="n">
        <f aca="false">0.5*(B158-B157)*(S158*AL158+S157*AL157)</f>
        <v>1.87986193344622E-012</v>
      </c>
      <c r="AN158" s="37" t="n">
        <f aca="false">0.5*(B158-B157)*(T158*AL158+T157*AL157)</f>
        <v>7.54472605082238E-012</v>
      </c>
      <c r="AO158" s="37" t="n">
        <f aca="false">0.5*(B158-B157)*(U158*AL158+U157*AL157)</f>
        <v>5.74035079803158E-012</v>
      </c>
      <c r="AP158" s="37" t="n">
        <f aca="false">0.5*(B158-B157)*(V158*AL158+V157*AL157)</f>
        <v>1.14897501859594E-010</v>
      </c>
      <c r="AQ158" s="37" t="n">
        <f aca="false">0.5*(B158-B157)*(W158*AL158+W157*AL157)</f>
        <v>5.02107622864851E-011</v>
      </c>
      <c r="AR158" s="37" t="n">
        <f aca="false">0.5*(B158-B157)*(X158*AL158+X157*AL157)</f>
        <v>5.81514967825568E-012</v>
      </c>
      <c r="AS158" s="37" t="n">
        <f aca="false">0.5*(B158-B157)*(Y158*AL158+Y157*AL157)</f>
        <v>7.62357602777337E-012</v>
      </c>
      <c r="AT158" s="37" t="n">
        <f aca="false">0.5*(B158-B157)*(Z158*AL158+Z157*AL157)</f>
        <v>4.34242654006296E-012</v>
      </c>
      <c r="AU158" s="37" t="n">
        <f aca="false">0.5*(B158-B157)*(AA158*AL158+AA157*AL157)</f>
        <v>1.98054355174471E-010</v>
      </c>
      <c r="AV158" s="37" t="n">
        <f aca="false">0.5*(B158-B157)*(S158+S157)</f>
        <v>9.16437193117976E-012</v>
      </c>
      <c r="AW158" s="37" t="n">
        <f aca="false">0.5*(B158-B157)*(T158+T157)</f>
        <v>3.67811735554424E-011</v>
      </c>
      <c r="AX158" s="37" t="n">
        <f aca="false">0.5*(B158-B157)*(U158+U157)</f>
        <v>2.79846925586527E-011</v>
      </c>
      <c r="AY158" s="37" t="n">
        <f aca="false">0.5*(B158-B157)*(V158+V157)</f>
        <v>5.60420942845807E-010</v>
      </c>
      <c r="AZ158" s="37" t="n">
        <f aca="false">0.5*(B158-B157)*(W158+W157)</f>
        <v>2.44907553434832E-010</v>
      </c>
      <c r="BA158" s="37" t="n">
        <f aca="false">0.5*(B158-B157)*(X158+X157)</f>
        <v>2.83511208681817E-011</v>
      </c>
      <c r="BB158" s="37" t="n">
        <f aca="false">0.5*(B158-B157)*(Y158+Y157)</f>
        <v>3.71846844852414E-011</v>
      </c>
      <c r="BC158" s="37" t="n">
        <f aca="false">0.5*(B158-B157)*(Z158+Z157)</f>
        <v>2.11696804237925E-011</v>
      </c>
      <c r="BD158" s="37" t="n">
        <f aca="false">0.5*(B158-B157)*(AA158+AA157)</f>
        <v>9.65964220103129E-010</v>
      </c>
      <c r="BE158" s="37" t="n">
        <f aca="false">IF(B158&gt;2000,AK158,-999)</f>
        <v>-999</v>
      </c>
      <c r="BF158" s="37" t="n">
        <f aca="false">IF(AND(B158&lt;1000,AK158&gt;=-3),B158,1000000000)</f>
        <v>309.763323782496</v>
      </c>
    </row>
    <row r="159" customFormat="false" ht="15" hidden="false" customHeight="false" outlineLevel="0" collapsed="false">
      <c r="A159" s="5" t="n">
        <v>120</v>
      </c>
      <c r="B159" s="47" t="n">
        <f aca="false">20*10^(A159/100)</f>
        <v>316.978638492223</v>
      </c>
      <c r="C159" s="37" t="n">
        <f aca="false">2*PI()*B159</f>
        <v>1991.63552406412</v>
      </c>
      <c r="D159" s="37" t="n">
        <f aca="false">SQRT(L_Rp0^2+L_Rp1^2*C159)</f>
        <v>79013942.6096971</v>
      </c>
      <c r="E159" s="5" t="str">
        <f aca="false">COMPLEX(D159,C159*L_Mp)</f>
        <v>79013942.6096971+29421872.2795753i</v>
      </c>
      <c r="F159" s="5" t="str">
        <f aca="false">IMDIV(1,E159)</f>
        <v>1.11148703373834e-08-4.13876696529254e-09i</v>
      </c>
      <c r="G159" s="5" t="str">
        <f aca="false">COMPLEX(0,C159*L_Cf)</f>
        <v>2.1059908259111e-12i</v>
      </c>
      <c r="H159" s="5" t="str">
        <f aca="false">COMPLEX(0,C159*L_Cbv)</f>
        <v>2.1059908259111e-11i</v>
      </c>
      <c r="I159" s="5" t="str">
        <f aca="false">COMPLEX(L_Rsq+L_Rh,C159*(L_Md+L_Mh)-1/(C159*L_Cd))</f>
        <v>552400610.124532-578400678224.308i</v>
      </c>
      <c r="J159" s="5" t="str">
        <f aca="false">IMDIV(1,I159)</f>
        <v>1.65118664140128e-15+1.72890372631217e-12i</v>
      </c>
      <c r="K159" s="5" t="str">
        <f aca="false">IMSUM(F159,G159,H159)</f>
        <v>1.11148703373834e-08-4.11560106620752e-09i</v>
      </c>
      <c r="L159" s="5" t="str">
        <f aca="false">IMSUM(IMPRODUCT(IMSUM(F159,G159),H159),IMPRODUCT(IMSUM(J159,L_Yv),K159))</f>
        <v>1.16481272040881e-19+2.45056692603071e-19i</v>
      </c>
      <c r="M159" s="37" t="n">
        <f aca="false">IMABS(IMDIV(IMPRODUCT(J159,F159,H159),L159))^2</f>
        <v>2.53312063865532E-024</v>
      </c>
      <c r="N159" s="5" t="str">
        <f aca="false">IMDIV(IMPRODUCT(L_Yv,K159,E159),H159)</f>
        <v>0.000173830673741265-0.0949024472073426i</v>
      </c>
      <c r="O159" s="37" t="n">
        <f aca="false">IMABS(IMSUM(1,IMPRODUCT(E159,G159),N159))^2</f>
        <v>1.00919866761643</v>
      </c>
      <c r="P159" s="37" t="n">
        <f aca="false">IMABS(N159)^2</f>
        <v>0.00900650470304559</v>
      </c>
      <c r="Q159" s="37" t="n">
        <f aca="false">p_Rb^2/(1+(C159*p_Rb*L_Ctot)^2)</f>
        <v>41557817229803100</v>
      </c>
      <c r="R159" s="37" t="n">
        <f aca="false">M159*L_Kt^2*Q159</f>
        <v>2.11273986563982E-005</v>
      </c>
      <c r="S159" s="37" t="n">
        <f aca="false">L_kT4*D159</f>
        <v>1.30101355165872E-012</v>
      </c>
      <c r="T159" s="37" t="n">
        <f aca="false">L_kT4*L_Rsq*O159</f>
        <v>5.2130070219761E-012</v>
      </c>
      <c r="U159" s="37" t="n">
        <f aca="false">L_kT4*L_Rh*O159</f>
        <v>3.96627906926892E-012</v>
      </c>
      <c r="V159" s="37" t="n">
        <f aca="false">L_kT4*p_Rv*P159</f>
        <v>7.41488418671962E-011</v>
      </c>
      <c r="W159" s="37" t="n">
        <f aca="false">L_kT4/p_Rb*Q159/R159</f>
        <v>3.23880491196989E-011</v>
      </c>
      <c r="X159" s="37" t="n">
        <f aca="false">p_en^2*(1+p_fc/B159)/R159</f>
        <v>3.98490303480263E-012</v>
      </c>
      <c r="Y159" s="37" t="n">
        <f aca="false">p_in^2*Q159/R159</f>
        <v>4.91752651446487E-012</v>
      </c>
      <c r="Z159" s="37" t="n">
        <f aca="false">p_eo^2/L_G^2/R159</f>
        <v>3.00064048250662E-012</v>
      </c>
      <c r="AA159" s="37" t="n">
        <f aca="false">SUM(S159:Z159)</f>
        <v>1.28920260661573E-010</v>
      </c>
      <c r="AB159" s="47" t="n">
        <f aca="false">10*LOG10(AA159/L_PREF^2)</f>
        <v>-4.9173881639452</v>
      </c>
      <c r="AC159" s="47" t="n">
        <f aca="false">10*LOG10(S159/L_PREF^2)</f>
        <v>-24.8777817103083</v>
      </c>
      <c r="AD159" s="47" t="n">
        <f aca="false">10*LOG10(T159/L_PREF^2)</f>
        <v>-18.8497168140125</v>
      </c>
      <c r="AE159" s="47" t="n">
        <f aca="false">10*LOG10(U159/L_PREF^2)</f>
        <v>-20.0367672321872</v>
      </c>
      <c r="AF159" s="47" t="n">
        <f aca="false">10*LOG10(V159/L_PREF^2)</f>
        <v>-7.31955619168065</v>
      </c>
      <c r="AG159" s="47" t="n">
        <f aca="false">10*LOG10(W159/L_PREF^2)</f>
        <v>-10.9167520207253</v>
      </c>
      <c r="AH159" s="47" t="n">
        <f aca="false">10*LOG10(X159/L_PREF^2)</f>
        <v>-20.0164223321503</v>
      </c>
      <c r="AI159" s="47" t="n">
        <f aca="false">10*LOG10(Y159/L_PREF^2)</f>
        <v>-19.1031328108845</v>
      </c>
      <c r="AJ159" s="47" t="n">
        <f aca="false">10*LOG10(Z159/L_PREF^2)</f>
        <v>-21.2484602716495</v>
      </c>
      <c r="AK159" s="47" t="n">
        <f aca="false">10*LOG10(R159/$R$6)</f>
        <v>-0.0392487747765043</v>
      </c>
      <c r="AL159" s="37" t="n">
        <f aca="false">(12194^2*B159^4/((B159^2+20.6^2)*SQRT((B159^2+107.7^2)*(B159^2+737.9^2))*(B159^2+12194^2))*1.2589254)^2</f>
        <v>0.2191916127233</v>
      </c>
      <c r="AM159" s="37" t="n">
        <f aca="false">0.5*(B159-B158)*(S159*AL159+S158*AL158)</f>
        <v>2.01244010325505E-012</v>
      </c>
      <c r="AN159" s="37" t="n">
        <f aca="false">0.5*(B159-B158)*(T159*AL159+T158*AL158)</f>
        <v>8.06793899826919E-012</v>
      </c>
      <c r="AO159" s="37" t="n">
        <f aca="false">0.5*(B159-B158)*(U159*AL159+U158*AL158)</f>
        <v>6.13843362306529E-012</v>
      </c>
      <c r="AP159" s="37" t="n">
        <f aca="false">0.5*(B159-B158)*(V159*AL159+V158*AL158)</f>
        <v>1.1738037114258E-010</v>
      </c>
      <c r="AQ159" s="37" t="n">
        <f aca="false">0.5*(B159-B158)*(W159*AL159+W158*AL158)</f>
        <v>5.12794273679585E-011</v>
      </c>
      <c r="AR159" s="37" t="n">
        <f aca="false">0.5*(B159-B158)*(X159*AL159+X158*AL158)</f>
        <v>6.1839367275868E-012</v>
      </c>
      <c r="AS159" s="37" t="n">
        <f aca="false">0.5*(B159-B158)*(Y159*AL159+Y158*AL158)</f>
        <v>7.78583306442927E-012</v>
      </c>
      <c r="AT159" s="37" t="n">
        <f aca="false">0.5*(B159-B158)*(Z159*AL159+Z158*AL158)</f>
        <v>4.64383131581315E-012</v>
      </c>
      <c r="AU159" s="37" t="n">
        <f aca="false">0.5*(B159-B158)*(AA159*AL159+AA158*AL158)</f>
        <v>2.03492212342957E-010</v>
      </c>
      <c r="AV159" s="37" t="n">
        <f aca="false">0.5*(B159-B158)*(S159+S158)</f>
        <v>9.3840707736326E-012</v>
      </c>
      <c r="AW159" s="37" t="n">
        <f aca="false">0.5*(B159-B158)*(T159+T158)</f>
        <v>3.76215069786948E-011</v>
      </c>
      <c r="AX159" s="37" t="n">
        <f aca="false">0.5*(B159-B158)*(U159+U158)</f>
        <v>2.86240542272256E-011</v>
      </c>
      <c r="AY159" s="37" t="n">
        <f aca="false">0.5*(B159-B158)*(V159+V158)</f>
        <v>5.4763144035906E-010</v>
      </c>
      <c r="AZ159" s="37" t="n">
        <f aca="false">0.5*(B159-B158)*(W159+W158)</f>
        <v>2.3924206790288E-010</v>
      </c>
      <c r="BA159" s="37" t="n">
        <f aca="false">0.5*(B159-B158)*(X159+X158)</f>
        <v>2.88379969686678E-011</v>
      </c>
      <c r="BB159" s="37" t="n">
        <f aca="false">0.5*(B159-B158)*(Y159+Y158)</f>
        <v>3.63244852426837E-011</v>
      </c>
      <c r="BC159" s="37" t="n">
        <f aca="false">0.5*(B159-B158)*(Z159+Z158)</f>
        <v>2.16545792913096E-011</v>
      </c>
      <c r="BD159" s="37" t="n">
        <f aca="false">0.5*(B159-B158)*(AA159+AA158)</f>
        <v>9.49320201744155E-010</v>
      </c>
      <c r="BE159" s="37" t="n">
        <f aca="false">IF(B159&gt;2000,AK159,-999)</f>
        <v>-999</v>
      </c>
      <c r="BF159" s="37" t="n">
        <f aca="false">IF(AND(B159&lt;1000,AK159&gt;=-3),B159,1000000000)</f>
        <v>316.978638492223</v>
      </c>
    </row>
    <row r="160" customFormat="false" ht="15" hidden="false" customHeight="false" outlineLevel="0" collapsed="false">
      <c r="A160" s="5" t="n">
        <v>121</v>
      </c>
      <c r="B160" s="47" t="n">
        <f aca="false">20*10^(A160/100)</f>
        <v>324.362019471786</v>
      </c>
      <c r="C160" s="37" t="n">
        <f aca="false">2*PI()*B160</f>
        <v>2038.02667495222</v>
      </c>
      <c r="D160" s="37" t="n">
        <f aca="false">SQRT(L_Rp0^2+L_Rp1^2*C160)</f>
        <v>79068194.0435472</v>
      </c>
      <c r="E160" s="5" t="str">
        <f aca="false">COMPLEX(D160,C160*L_Mp)</f>
        <v>79068194.0435472+30107195.7234687i</v>
      </c>
      <c r="F160" s="5" t="str">
        <f aca="false">IMDIV(1,E160)</f>
        <v>1.10457859561528e-08-4.20595972532617e-09i</v>
      </c>
      <c r="G160" s="5" t="str">
        <f aca="false">COMPLEX(0,C160*L_Cf)</f>
        <v>2.15504565396238e-12i</v>
      </c>
      <c r="H160" s="5" t="str">
        <f aca="false">COMPLEX(0,C160*L_Cbv)</f>
        <v>2.15504565396238e-11i</v>
      </c>
      <c r="I160" s="5" t="str">
        <f aca="false">COMPLEX(L_Rsq+L_Rh,C160*(L_Md+L_Mh)-1/(C160*L_Cd))</f>
        <v>552400610.124532-565234325763.007i</v>
      </c>
      <c r="J160" s="5" t="str">
        <f aca="false">IMDIV(1,I160)</f>
        <v>1.72900671051506e-15+1.76917607320777e-12i</v>
      </c>
      <c r="K160" s="5" t="str">
        <f aca="false">IMSUM(F160,G160,H160)</f>
        <v>1.10457859561528e-08-4.18225422313258e-09i</v>
      </c>
      <c r="L160" s="5" t="str">
        <f aca="false">IMSUM(IMPRODUCT(IMSUM(F160,G160),H160),IMPRODUCT(IMSUM(J160,L_Yv),K160))</f>
        <v>1.20103724304328e-19+2.49211930825576e-19i</v>
      </c>
      <c r="M160" s="37" t="n">
        <f aca="false">IMABS(IMDIV(IMPRODUCT(J160,F160,H160),L160))^2</f>
        <v>2.65344511140741E-024</v>
      </c>
      <c r="N160" s="5" t="str">
        <f aca="false">IMDIV(IMPRODUCT(L_Yv,K160,E160),H160)</f>
        <v>0.000173950026895843-0.0927392226673616i</v>
      </c>
      <c r="O160" s="37" t="n">
        <f aca="false">IMABS(IMSUM(1,IMPRODUCT(E160,G160),N160))^2</f>
        <v>1.00878713493751</v>
      </c>
      <c r="P160" s="37" t="n">
        <f aca="false">IMABS(N160)^2</f>
        <v>0.00860059367955834</v>
      </c>
      <c r="Q160" s="37" t="n">
        <f aca="false">p_Rb^2/(1+(C160*p_Rb*L_Ctot)^2)</f>
        <v>39687407419927500</v>
      </c>
      <c r="R160" s="37" t="n">
        <f aca="false">M160*L_Kt^2*Q160</f>
        <v>2.11349031954953E-005</v>
      </c>
      <c r="S160" s="37" t="n">
        <f aca="false">L_kT4*D160</f>
        <v>1.30190683515154E-012</v>
      </c>
      <c r="T160" s="37" t="n">
        <f aca="false">L_kT4*L_Rsq*O160</f>
        <v>5.21088125346905E-012</v>
      </c>
      <c r="U160" s="37" t="n">
        <f aca="false">L_kT4*L_Rh*O160</f>
        <v>3.96466169352013E-012</v>
      </c>
      <c r="V160" s="37" t="n">
        <f aca="false">L_kT4*p_Rv*P160</f>
        <v>7.0807053539197E-011</v>
      </c>
      <c r="W160" s="37" t="n">
        <f aca="false">L_kT4/p_Rb*Q160/R160</f>
        <v>3.09193641572541E-011</v>
      </c>
      <c r="X160" s="37" t="n">
        <f aca="false">p_en^2*(1+p_fc/B160)/R160</f>
        <v>3.96174230300774E-012</v>
      </c>
      <c r="Y160" s="37" t="n">
        <f aca="false">p_in^2*Q160/R160</f>
        <v>4.69453385388423E-012</v>
      </c>
      <c r="Z160" s="37" t="n">
        <f aca="false">p_eo^2/L_G^2/R160</f>
        <v>2.99957502109386E-012</v>
      </c>
      <c r="AA160" s="37" t="n">
        <f aca="false">SUM(S160:Z160)</f>
        <v>1.23859718656578E-010</v>
      </c>
      <c r="AB160" s="47" t="n">
        <f aca="false">10*LOG10(AA160/L_PREF^2)</f>
        <v>-5.0912990213943</v>
      </c>
      <c r="AC160" s="47" t="n">
        <f aca="false">10*LOG10(S160/L_PREF^2)</f>
        <v>-24.8748008422886</v>
      </c>
      <c r="AD160" s="47" t="n">
        <f aca="false">10*LOG10(T160/L_PREF^2)</f>
        <v>-18.8514881483185</v>
      </c>
      <c r="AE160" s="47" t="n">
        <f aca="false">10*LOG10(U160/L_PREF^2)</f>
        <v>-20.0385385664932</v>
      </c>
      <c r="AF160" s="47" t="n">
        <f aca="false">10*LOG10(V160/L_PREF^2)</f>
        <v>-7.51983468658419</v>
      </c>
      <c r="AG160" s="47" t="n">
        <f aca="false">10*LOG10(W160/L_PREF^2)</f>
        <v>-11.1182943705953</v>
      </c>
      <c r="AH160" s="47" t="n">
        <f aca="false">10*LOG10(X160/L_PREF^2)</f>
        <v>-20.0417376849029</v>
      </c>
      <c r="AI160" s="47" t="n">
        <f aca="false">10*LOG10(Y160/L_PREF^2)</f>
        <v>-19.3046751607545</v>
      </c>
      <c r="AJ160" s="47" t="n">
        <f aca="false">10*LOG10(Z160/L_PREF^2)</f>
        <v>-21.2500026296426</v>
      </c>
      <c r="AK160" s="47" t="n">
        <f aca="false">10*LOG10(R160/$R$6)</f>
        <v>-0.0377064167834227</v>
      </c>
      <c r="AL160" s="37" t="n">
        <f aca="false">(12194^2*B160^4/((B160^2+20.6^2)*SQRT((B160^2+107.7^2)*(B160^2+737.9^2))*(B160^2+12194^2))*1.2589254)^2</f>
        <v>0.22898739083308</v>
      </c>
      <c r="AM160" s="37" t="n">
        <f aca="false">0.5*(B160-B159)*(S160*AL160+S159*AL159)</f>
        <v>2.1533317123078E-012</v>
      </c>
      <c r="AN160" s="37" t="n">
        <f aca="false">0.5*(B160-B159)*(T160*AL160+T159*AL159)</f>
        <v>8.62332205342316E-012</v>
      </c>
      <c r="AO160" s="37" t="n">
        <f aca="false">0.5*(B160-B159)*(U160*AL160+U159*AL159)</f>
        <v>6.56099284422068E-012</v>
      </c>
      <c r="AP160" s="37" t="n">
        <f aca="false">0.5*(B160-B159)*(V160*AL160+V159*AL159)</f>
        <v>1.19857106092887E-010</v>
      </c>
      <c r="AQ160" s="37" t="n">
        <f aca="false">0.5*(B160-B159)*(W160*AL160+W159*AL159)</f>
        <v>5.23457096886731E-011</v>
      </c>
      <c r="AR160" s="37" t="n">
        <f aca="false">0.5*(B160-B159)*(X160*AL160+X159*AL159)</f>
        <v>6.57359521760431E-012</v>
      </c>
      <c r="AS160" s="37" t="n">
        <f aca="false">0.5*(B160-B159)*(Y160*AL160+Y159*AL159)</f>
        <v>7.94772832291305E-012</v>
      </c>
      <c r="AT160" s="37" t="n">
        <f aca="false">0.5*(B160-B159)*(Z160*AL160+Z159*AL159)</f>
        <v>4.96377350978222E-012</v>
      </c>
      <c r="AU160" s="37" t="n">
        <f aca="false">0.5*(B160-B159)*(AA160*AL160+AA159*AL159)</f>
        <v>2.09025559441811E-010</v>
      </c>
      <c r="AV160" s="37" t="n">
        <f aca="false">0.5*(B160-B159)*(S160+S159)</f>
        <v>9.60917643764619E-012</v>
      </c>
      <c r="AW160" s="37" t="n">
        <f aca="false">0.5*(B160-B159)*(T160+T159)</f>
        <v>3.84817692130073E-011</v>
      </c>
      <c r="AX160" s="37" t="n">
        <f aca="false">0.5*(B160-B159)*(U160+U159)</f>
        <v>2.927857858901E-011</v>
      </c>
      <c r="AY160" s="37" t="n">
        <f aca="false">0.5*(B160-B159)*(V160+V159)</f>
        <v>5.35132300509565E-010</v>
      </c>
      <c r="AZ160" s="37" t="n">
        <f aca="false">0.5*(B160-B159)*(W160+W159)</f>
        <v>2.33711375527204E-010</v>
      </c>
      <c r="BA160" s="37" t="n">
        <f aca="false">0.5*(B160-B159)*(X160+X159)</f>
        <v>2.93365550192622E-011</v>
      </c>
      <c r="BB160" s="37" t="n">
        <f aca="false">0.5*(B160-B159)*(Y160+Y159)</f>
        <v>3.54847518490414E-011</v>
      </c>
      <c r="BC160" s="37" t="n">
        <f aca="false">0.5*(B160-B159)*(Z160+Z159)</f>
        <v>2.21509385112823E-011</v>
      </c>
      <c r="BD160" s="37" t="n">
        <f aca="false">0.5*(B160-B159)*(AA160+AA159)</f>
        <v>9.33185445656018E-010</v>
      </c>
      <c r="BE160" s="37" t="n">
        <f aca="false">IF(B160&gt;2000,AK160,-999)</f>
        <v>-999</v>
      </c>
      <c r="BF160" s="37" t="n">
        <f aca="false">IF(AND(B160&lt;1000,AK160&gt;=-3),B160,1000000000)</f>
        <v>324.362019471786</v>
      </c>
    </row>
    <row r="161" customFormat="false" ht="15" hidden="false" customHeight="false" outlineLevel="0" collapsed="false">
      <c r="A161" s="5" t="n">
        <v>122</v>
      </c>
      <c r="B161" s="47" t="n">
        <f aca="false">20*10^(A161/100)</f>
        <v>331.917381487512</v>
      </c>
      <c r="C161" s="37" t="n">
        <f aca="false">2*PI()*B161</f>
        <v>2085.49841455986</v>
      </c>
      <c r="D161" s="37" t="n">
        <f aca="false">SQRT(L_Rp0^2+L_Rp1^2*C161)</f>
        <v>79123670.6481833</v>
      </c>
      <c r="E161" s="5" t="str">
        <f aca="false">COMPLEX(D161,C161*L_Mp)</f>
        <v>79123670.6481833+30808482.4010507i</v>
      </c>
      <c r="F161" s="5" t="str">
        <f aca="false">IMDIV(1,E161)</f>
        <v>1.09745862948534e-08-4.27318836391177e-09i</v>
      </c>
      <c r="G161" s="5" t="str">
        <f aca="false">COMPLEX(0,C161*L_Cf)</f>
        <v>2.2052431157448e-12i</v>
      </c>
      <c r="H161" s="5" t="str">
        <f aca="false">COMPLEX(0,C161*L_Cbv)</f>
        <v>2.2052431157448e-11i</v>
      </c>
      <c r="I161" s="5" t="str">
        <f aca="false">COMPLEX(L_Rsq+L_Rh,C161*(L_Md+L_Mh)-1/(C161*L_Cd))</f>
        <v>552400610.124532-552367668022.986i</v>
      </c>
      <c r="J161" s="5" t="str">
        <f aca="false">IMDIV(1,I161)</f>
        <v>1.81049452332871e-15+1.81038655550004e-12i</v>
      </c>
      <c r="K161" s="5" t="str">
        <f aca="false">IMSUM(F161,G161,H161)</f>
        <v>1.09745862948534e-08-4.24893068963858e-09i</v>
      </c>
      <c r="L161" s="5" t="str">
        <f aca="false">IMSUM(IMPRODUCT(IMSUM(F161,G161),H161),IMPRODUCT(IMSUM(J161,L_Yv),K161))</f>
        <v>1.23846810259839e-19+2.53378998184084e-19i</v>
      </c>
      <c r="M161" s="37" t="n">
        <f aca="false">IMABS(IMDIV(IMPRODUCT(J161,F161,H161),L161))^2</f>
        <v>2.77944380758239E-024</v>
      </c>
      <c r="N161" s="5" t="str">
        <f aca="false">IMDIV(IMPRODUCT(L_Yv,K161,E161),H161)</f>
        <v>0.000174072075425897-0.0906251696907869i</v>
      </c>
      <c r="O161" s="37" t="n">
        <f aca="false">IMABS(IMSUM(1,IMPRODUCT(E161,G161),N161))^2</f>
        <v>1.00839360103927</v>
      </c>
      <c r="P161" s="37" t="n">
        <f aca="false">IMABS(N161)^2</f>
        <v>0.00821295168257137</v>
      </c>
      <c r="Q161" s="37" t="n">
        <f aca="false">p_Rb^2/(1+(C161*p_Rb*L_Ctot)^2)</f>
        <v>37901179912143000</v>
      </c>
      <c r="R161" s="37" t="n">
        <f aca="false">M161*L_Kt^2*Q161</f>
        <v>2.11420966413585E-005</v>
      </c>
      <c r="S161" s="37" t="n">
        <f aca="false">L_kT4*D161</f>
        <v>1.30282029184092E-012</v>
      </c>
      <c r="T161" s="37" t="n">
        <f aca="false">L_kT4*L_Rsq*O161</f>
        <v>5.20884845750849E-012</v>
      </c>
      <c r="U161" s="37" t="n">
        <f aca="false">L_kT4*L_Rh*O161</f>
        <v>3.96311505526769E-012</v>
      </c>
      <c r="V161" s="37" t="n">
        <f aca="false">L_kT4*p_Rv*P161</f>
        <v>6.7615670635022E-011</v>
      </c>
      <c r="W161" s="37" t="n">
        <f aca="false">L_kT4/p_Rb*Q161/R161</f>
        <v>2.95177169788706E-011</v>
      </c>
      <c r="X161" s="37" t="n">
        <f aca="false">p_en^2*(1+p_fc/B161)/R161</f>
        <v>3.93915079318398E-012</v>
      </c>
      <c r="Y161" s="37" t="n">
        <f aca="false">p_in^2*Q161/R161</f>
        <v>4.48171964151373E-012</v>
      </c>
      <c r="Z161" s="37" t="n">
        <f aca="false">p_eo^2/L_G^2/R161</f>
        <v>2.99855443733187E-012</v>
      </c>
      <c r="AA161" s="37" t="n">
        <f aca="false">SUM(S161:Z161)</f>
        <v>1.19027596290539E-010</v>
      </c>
      <c r="AB161" s="47" t="n">
        <f aca="false">10*LOG10(AA161/L_PREF^2)</f>
        <v>-5.26412328025715</v>
      </c>
      <c r="AC161" s="47" t="n">
        <f aca="false">10*LOG10(S161/L_PREF^2)</f>
        <v>-24.8717547710759</v>
      </c>
      <c r="AD161" s="47" t="n">
        <f aca="false">10*LOG10(T161/L_PREF^2)</f>
        <v>-18.8531826876284</v>
      </c>
      <c r="AE161" s="47" t="n">
        <f aca="false">10*LOG10(U161/L_PREF^2)</f>
        <v>-20.0402331058031</v>
      </c>
      <c r="AF161" s="47" t="n">
        <f aca="false">10*LOG10(V161/L_PREF^2)</f>
        <v>-7.72012631457117</v>
      </c>
      <c r="AG161" s="47" t="n">
        <f aca="false">10*LOG10(W161/L_PREF^2)</f>
        <v>-11.3197722699203</v>
      </c>
      <c r="AH161" s="47" t="n">
        <f aca="false">10*LOG10(X161/L_PREF^2)</f>
        <v>-20.0665738513313</v>
      </c>
      <c r="AI161" s="47" t="n">
        <f aca="false">10*LOG10(Y161/L_PREF^2)</f>
        <v>-19.5061530600795</v>
      </c>
      <c r="AJ161" s="47" t="n">
        <f aca="false">10*LOG10(Z161/L_PREF^2)</f>
        <v>-21.2514805367251</v>
      </c>
      <c r="AK161" s="47" t="n">
        <f aca="false">10*LOG10(R161/$R$6)</f>
        <v>-0.0362285097008859</v>
      </c>
      <c r="AL161" s="37" t="n">
        <f aca="false">(12194^2*B161^4/((B161^2+20.6^2)*SQRT((B161^2+107.7^2)*(B161^2+737.9^2))*(B161^2+12194^2))*1.2589254)^2</f>
        <v>0.239101966528523</v>
      </c>
      <c r="AM161" s="37" t="n">
        <f aca="false">0.5*(B161-B160)*(S161*AL161+S160*AL160)</f>
        <v>2.30297688037248E-012</v>
      </c>
      <c r="AN161" s="37" t="n">
        <f aca="false">0.5*(B161-B160)*(T161*AL161+T160*AL160)</f>
        <v>9.21252494305251E-012</v>
      </c>
      <c r="AO161" s="37" t="n">
        <f aca="false">0.5*(B161-B160)*(U161*AL161+U160*AL160)</f>
        <v>7.00928364429787E-012</v>
      </c>
      <c r="AP161" s="37" t="n">
        <f aca="false">0.5*(B161-B160)*(V161*AL161+V160*AL160)</f>
        <v>1.22324946144035E-010</v>
      </c>
      <c r="AQ161" s="37" t="n">
        <f aca="false">0.5*(B161-B160)*(W161*AL161+W160*AL160)</f>
        <v>5.34084336395723E-011</v>
      </c>
      <c r="AR161" s="37" t="n">
        <f aca="false">0.5*(B161-B160)*(X161*AL161+X160*AL160)</f>
        <v>6.98511250820064E-012</v>
      </c>
      <c r="AS161" s="37" t="n">
        <f aca="false">0.5*(B161-B160)*(Y161*AL161+Y160*AL160)</f>
        <v>8.10908330872247E-012</v>
      </c>
      <c r="AT161" s="37" t="n">
        <f aca="false">0.5*(B161-B160)*(Z161*AL161+Z160*AL160)</f>
        <v>5.30320349568573E-012</v>
      </c>
      <c r="AU161" s="37" t="n">
        <f aca="false">0.5*(B161-B160)*(AA161*AL161+AA160*AL160)</f>
        <v>2.14655564563939E-010</v>
      </c>
      <c r="AV161" s="37" t="n">
        <f aca="false">0.5*(B161-B160)*(S161+S160)</f>
        <v>9.83982819830516E-012</v>
      </c>
      <c r="AW161" s="37" t="n">
        <f aca="false">0.5*(B161-B160)*(T161+T160)</f>
        <v>3.93624150362264E-011</v>
      </c>
      <c r="AX161" s="37" t="n">
        <f aca="false">0.5*(B161-B160)*(U161+U160)</f>
        <v>2.99486116584741E-011</v>
      </c>
      <c r="AY161" s="37" t="n">
        <f aca="false">0.5*(B161-B160)*(V161+V160)</f>
        <v>5.22916896169615E-010</v>
      </c>
      <c r="AZ161" s="37" t="n">
        <f aca="false">0.5*(B161-B160)*(W161+W160)</f>
        <v>2.28312013578618E-010</v>
      </c>
      <c r="BA161" s="37" t="n">
        <f aca="false">0.5*(B161-B160)*(X161+X160)</f>
        <v>2.98470537946399E-011</v>
      </c>
      <c r="BB161" s="37" t="n">
        <f aca="false">0.5*(B161-B160)*(Y161+Y160)</f>
        <v>3.46649585529019E-011</v>
      </c>
      <c r="BC161" s="37" t="n">
        <f aca="false">0.5*(B161-B160)*(Z161+Z160)</f>
        <v>2.26590197377988E-011</v>
      </c>
      <c r="BD161" s="37" t="n">
        <f aca="false">0.5*(B161-B160)*(AA161+AA160)</f>
        <v>9.17550796726579E-010</v>
      </c>
      <c r="BE161" s="37" t="n">
        <f aca="false">IF(B161&gt;2000,AK161,-999)</f>
        <v>-999</v>
      </c>
      <c r="BF161" s="37" t="n">
        <f aca="false">IF(AND(B161&lt;1000,AK161&gt;=-3),B161,1000000000)</f>
        <v>331.917381487512</v>
      </c>
    </row>
    <row r="162" customFormat="false" ht="15" hidden="false" customHeight="false" outlineLevel="0" collapsed="false">
      <c r="A162" s="5" t="n">
        <v>123</v>
      </c>
      <c r="B162" s="47" t="n">
        <f aca="false">20*10^(A162/100)</f>
        <v>339.648730492349</v>
      </c>
      <c r="C162" s="37" t="n">
        <f aca="false">2*PI()*B162</f>
        <v>2134.07591303173</v>
      </c>
      <c r="D162" s="37" t="n">
        <f aca="false">SQRT(L_Rp0^2+L_Rp1^2*C162)</f>
        <v>79180399.231467</v>
      </c>
      <c r="E162" s="5" t="str">
        <f aca="false">COMPLEX(D162,C162*L_Mp)</f>
        <v>79180399.231467+31526104.1438001i</v>
      </c>
      <c r="F162" s="5" t="str">
        <f aca="false">IMDIV(1,E162)</f>
        <v>1.09012394698574e-08-4.34038744637511e-09i</v>
      </c>
      <c r="G162" s="5" t="str">
        <f aca="false">COMPLEX(0,C162*L_Cf)</f>
        <v>2.25660982661703e-12i</v>
      </c>
      <c r="H162" s="5" t="str">
        <f aca="false">COMPLEX(0,C162*L_Cbv)</f>
        <v>2.25660982661703e-11i</v>
      </c>
      <c r="I162" s="5" t="str">
        <f aca="false">COMPLEX(L_Rsq+L_Rh,C162*(L_Md+L_Mh)-1/(C162*L_Cd))</f>
        <v>552400610.124532-539793882932.002i</v>
      </c>
      <c r="J162" s="5" t="str">
        <f aca="false">IMDIV(1,I162)</f>
        <v>1.89582295426814e-15+1.85255703031413e-12i</v>
      </c>
      <c r="K162" s="5" t="str">
        <f aca="false">IMSUM(F162,G162,H162)</f>
        <v>1.09012394698574e-08-4.31556473828232e-09i</v>
      </c>
      <c r="L162" s="5" t="str">
        <f aca="false">IMSUM(IMPRODUCT(IMSUM(F162,G162),H162),IMPRODUCT(IMSUM(J162,L_Yv),K162))</f>
        <v>1.27712662304469e-19+2.57554297895622e-19i</v>
      </c>
      <c r="M162" s="37" t="n">
        <f aca="false">IMABS(IMDIV(IMPRODUCT(J162,F162,H162),L162))^2</f>
        <v>2.91138439804474E-024</v>
      </c>
      <c r="N162" s="5" t="str">
        <f aca="false">IMDIV(IMPRODUCT(L_Yv,K162,E162),H162)</f>
        <v>0.000174196878309229-0.0885591673787488i</v>
      </c>
      <c r="O162" s="37" t="n">
        <f aca="false">IMABS(IMSUM(1,IMPRODUCT(E162,G162),N162))^2</f>
        <v>1.00801723082296</v>
      </c>
      <c r="P162" s="37" t="n">
        <f aca="false">IMABS(N162)^2</f>
        <v>0.00784275647136966</v>
      </c>
      <c r="Q162" s="37" t="n">
        <f aca="false">p_Rb^2/(1+(C162*p_Rb*L_Ctot)^2)</f>
        <v>36195345879304400</v>
      </c>
      <c r="R162" s="37" t="n">
        <f aca="false">M162*L_Kt^2*Q162</f>
        <v>2.1148993632804E-005</v>
      </c>
      <c r="S162" s="37" t="n">
        <f aca="false">L_kT4*D162</f>
        <v>1.30375436313494E-012</v>
      </c>
      <c r="T162" s="37" t="n">
        <f aca="false">L_kT4*L_Rsq*O162</f>
        <v>5.20690432039907E-012</v>
      </c>
      <c r="U162" s="37" t="n">
        <f aca="false">L_kT4*L_Rh*O162</f>
        <v>3.96163587246736E-012</v>
      </c>
      <c r="V162" s="37" t="n">
        <f aca="false">L_kT4*p_Rv*P162</f>
        <v>6.4567923803101E-011</v>
      </c>
      <c r="W162" s="37" t="n">
        <f aca="false">L_kT4/p_Rb*Q162/R162</f>
        <v>2.81800080147406E-011</v>
      </c>
      <c r="X162" s="37" t="n">
        <f aca="false">p_en^2*(1+p_fc/B162)/R162</f>
        <v>3.91711295628186E-012</v>
      </c>
      <c r="Y162" s="37" t="n">
        <f aca="false">p_in^2*Q162/R162</f>
        <v>4.27861326497851E-012</v>
      </c>
      <c r="Z162" s="37" t="n">
        <f aca="false">p_eo^2/L_G^2/R162</f>
        <v>2.99757656553985E-012</v>
      </c>
      <c r="AA162" s="37" t="n">
        <f aca="false">SUM(S162:Z162)</f>
        <v>1.14413529160643E-010</v>
      </c>
      <c r="AB162" s="47" t="n">
        <f aca="false">10*LOG10(AA162/L_PREF^2)</f>
        <v>-5.43582609419844</v>
      </c>
      <c r="AC162" s="47" t="n">
        <f aca="false">10*LOG10(S162/L_PREF^2)</f>
        <v>-24.8686421648417</v>
      </c>
      <c r="AD162" s="47" t="n">
        <f aca="false">10*LOG10(T162/L_PREF^2)</f>
        <v>-18.8548039396809</v>
      </c>
      <c r="AE162" s="47" t="n">
        <f aca="false">10*LOG10(U162/L_PREF^2)</f>
        <v>-20.0418543578557</v>
      </c>
      <c r="AF162" s="47" t="n">
        <f aca="false">10*LOG10(V162/L_PREF^2)</f>
        <v>-7.92043169539643</v>
      </c>
      <c r="AG162" s="47" t="n">
        <f aca="false">10*LOG10(W162/L_PREF^2)</f>
        <v>-11.5211887903592</v>
      </c>
      <c r="AH162" s="47" t="n">
        <f aca="false">10*LOG10(X162/L_PREF^2)</f>
        <v>-20.0909389601635</v>
      </c>
      <c r="AI162" s="47" t="n">
        <f aca="false">10*LOG10(Y162/L_PREF^2)</f>
        <v>-19.7075695805184</v>
      </c>
      <c r="AJ162" s="47" t="n">
        <f aca="false">10*LOG10(Z162/L_PREF^2)</f>
        <v>-21.2528970645723</v>
      </c>
      <c r="AK162" s="47" t="n">
        <f aca="false">10*LOG10(R162/$R$6)</f>
        <v>-0.0348119818536958</v>
      </c>
      <c r="AL162" s="37" t="n">
        <f aca="false">(12194^2*B162^4/((B162^2+20.6^2)*SQRT((B162^2+107.7^2)*(B162^2+737.9^2))*(B162^2+12194^2))*1.2589254)^2</f>
        <v>0.249538765735534</v>
      </c>
      <c r="AM162" s="37" t="n">
        <f aca="false">0.5*(B162-B161)*(S162*AL162+S161*AL161)</f>
        <v>2.46183218652845E-012</v>
      </c>
      <c r="AN162" s="37" t="n">
        <f aca="false">0.5*(B162-B161)*(T162*AL162+T161*AL161)</f>
        <v>9.83725399936034E-012</v>
      </c>
      <c r="AO162" s="37" t="n">
        <f aca="false">0.5*(B162-B161)*(U162*AL162+U161*AL161)</f>
        <v>7.4846042739368E-012</v>
      </c>
      <c r="AP162" s="37" t="n">
        <f aca="false">0.5*(B162-B161)*(V162*AL162+V161*AL161)</f>
        <v>1.24781034364067E-010</v>
      </c>
      <c r="AQ162" s="37" t="n">
        <f aca="false">0.5*(B162-B161)*(W162*AL162+W161*AL161)</f>
        <v>5.44663818910948E-011</v>
      </c>
      <c r="AR162" s="37" t="n">
        <f aca="false">0.5*(B162-B161)*(X162*AL162+X161*AL161)</f>
        <v>7.41950594520675E-012</v>
      </c>
      <c r="AS162" s="37" t="n">
        <f aca="false">0.5*(B162-B161)*(Y162*AL162+Y161*AL161)</f>
        <v>8.2697131928679E-012</v>
      </c>
      <c r="AT162" s="37" t="n">
        <f aca="false">0.5*(B162-B161)*(Z162*AL162+Z161*AL161)</f>
        <v>5.66310420774599E-012</v>
      </c>
      <c r="AU162" s="37" t="n">
        <f aca="false">0.5*(B162-B161)*(AA162*AL162+AA161*AL161)</f>
        <v>2.20383430060808E-010</v>
      </c>
      <c r="AV162" s="37" t="n">
        <f aca="false">0.5*(B162-B161)*(S162+S161)</f>
        <v>1.00761691823902E-011</v>
      </c>
      <c r="AW162" s="37" t="n">
        <f aca="false">0.5*(B162-B161)*(T162+T161)</f>
        <v>4.02639099370507E-011</v>
      </c>
      <c r="AX162" s="37" t="n">
        <f aca="false">0.5*(B162-B161)*(U162+U161)</f>
        <v>3.06345075993618E-011</v>
      </c>
      <c r="AY162" s="37" t="n">
        <f aca="false">0.5*(B162-B161)*(V162+V161)</f>
        <v>5.10978750657465E-010</v>
      </c>
      <c r="AZ162" s="37" t="n">
        <f aca="false">0.5*(B162-B161)*(W162+W161)</f>
        <v>2.23040624355351E-010</v>
      </c>
      <c r="BA162" s="37" t="n">
        <f aca="false">0.5*(B162-B161)*(X162+X161)</f>
        <v>3.03697584605839E-011</v>
      </c>
      <c r="BB162" s="37" t="n">
        <f aca="false">0.5*(B162-B161)*(Y162+Y161)</f>
        <v>3.38645955493238E-011</v>
      </c>
      <c r="BC162" s="37" t="n">
        <f aca="false">0.5*(B162-B161)*(Z162+Z161)</f>
        <v>2.31790907309616E-011</v>
      </c>
      <c r="BD162" s="37" t="n">
        <f aca="false">0.5*(B162-B161)*(AA162+AA161)</f>
        <v>9.02407406472488E-010</v>
      </c>
      <c r="BE162" s="37" t="n">
        <f aca="false">IF(B162&gt;2000,AK162,-999)</f>
        <v>-999</v>
      </c>
      <c r="BF162" s="37" t="n">
        <f aca="false">IF(AND(B162&lt;1000,AK162&gt;=-3),B162,1000000000)</f>
        <v>339.648730492349</v>
      </c>
    </row>
    <row r="163" customFormat="false" ht="15" hidden="false" customHeight="false" outlineLevel="0" collapsed="false">
      <c r="A163" s="5" t="n">
        <v>124</v>
      </c>
      <c r="B163" s="47" t="n">
        <f aca="false">20*10^(A163/100)</f>
        <v>347.560165749875</v>
      </c>
      <c r="C163" s="37" t="n">
        <f aca="false">2*PI()*B163</f>
        <v>2183.78492680052</v>
      </c>
      <c r="D163" s="37" t="n">
        <f aca="false">SQRT(L_Rp0^2+L_Rp1^2*C163)</f>
        <v>79238407.1499024</v>
      </c>
      <c r="E163" s="5" t="str">
        <f aca="false">COMPLEX(D163,C163*L_Mp)</f>
        <v>79238407.1499024+32260441.4442639i</v>
      </c>
      <c r="F163" s="5" t="str">
        <f aca="false">IMDIV(1,E163)</f>
        <v>1.08257157795208e-08-4.40748852178188e-09i</v>
      </c>
      <c r="G163" s="5" t="str">
        <f aca="false">COMPLEX(0,C163*L_Cf)</f>
        <v>2.30917302188909e-12i</v>
      </c>
      <c r="H163" s="5" t="str">
        <f aca="false">COMPLEX(0,C163*L_Cbv)</f>
        <v>2.30917302188909e-11i</v>
      </c>
      <c r="I163" s="5" t="str">
        <f aca="false">COMPLEX(L_Rsq+L_Rh,C163*(L_Md+L_Mh)-1/(C163*L_Cd))</f>
        <v>552400610.124532-527506303702.765i</v>
      </c>
      <c r="J163" s="5" t="str">
        <f aca="false">IMDIV(1,I163)</f>
        <v>1.98517302691221e-15+1.89570986426103e-12i</v>
      </c>
      <c r="K163" s="5" t="str">
        <f aca="false">IMSUM(F163,G163,H163)</f>
        <v>1.08257157795208e-08-4.3820876185411e-09i</v>
      </c>
      <c r="L163" s="5" t="str">
        <f aca="false">IMSUM(IMPRODUCT(IMSUM(F163,G163),H163),IMPRODUCT(IMSUM(J163,L_Yv),K163))</f>
        <v>1.31703302289924e-19+2.61734049958785e-19i</v>
      </c>
      <c r="M163" s="37" t="n">
        <f aca="false">IMABS(IMDIV(IMPRODUCT(J163,F163,H163),L163))^2</f>
        <v>3.04954719685597E-024</v>
      </c>
      <c r="N163" s="5" t="str">
        <f aca="false">IMDIV(IMPRODUCT(L_Yv,K163,E163),H163)</f>
        <v>0.000174324495729822-0.0865401203094742i</v>
      </c>
      <c r="O163" s="37" t="n">
        <f aca="false">IMABS(IMSUM(1,IMPRODUCT(E163,G163),N163))^2</f>
        <v>1.0076572255881</v>
      </c>
      <c r="P163" s="37" t="n">
        <f aca="false">IMABS(N163)^2</f>
        <v>0.00748922281220808</v>
      </c>
      <c r="Q163" s="37" t="n">
        <f aca="false">p_Rb^2/(1+(C163*p_Rb*L_Ctot)^2)</f>
        <v>34566287019527800</v>
      </c>
      <c r="R163" s="37" t="n">
        <f aca="false">M163*L_Kt^2*Q163</f>
        <v>2.11556082344404E-005</v>
      </c>
      <c r="S163" s="37" t="n">
        <f aca="false">L_kT4*D163</f>
        <v>1.30470949947538E-012</v>
      </c>
      <c r="T163" s="37" t="n">
        <f aca="false">L_kT4*L_Rsq*O163</f>
        <v>5.20504471646036E-012</v>
      </c>
      <c r="U163" s="37" t="n">
        <f aca="false">L_kT4*L_Rh*O163</f>
        <v>3.96022100612473E-012</v>
      </c>
      <c r="V163" s="37" t="n">
        <f aca="false">L_kT4*p_Rv*P163</f>
        <v>6.16573483632149E-011</v>
      </c>
      <c r="W163" s="37" t="n">
        <f aca="false">L_kT4/p_Rb*Q163/R163</f>
        <v>2.69032844467783E-011</v>
      </c>
      <c r="X163" s="37" t="n">
        <f aca="false">p_en^2*(1+p_fc/B163)/R163</f>
        <v>3.89561373426375E-012</v>
      </c>
      <c r="Y163" s="37" t="n">
        <f aca="false">p_in^2*Q163/R163</f>
        <v>4.08476639343977E-012</v>
      </c>
      <c r="Z163" s="37" t="n">
        <f aca="false">p_eo^2/L_G^2/R163</f>
        <v>2.9966393306168E-012</v>
      </c>
      <c r="AA163" s="37" t="n">
        <f aca="false">SUM(S163:Z163)</f>
        <v>1.10007627490374E-010</v>
      </c>
      <c r="AB163" s="47" t="n">
        <f aca="false">10*LOG10(AA163/L_PREF^2)</f>
        <v>-5.60637192877582</v>
      </c>
      <c r="AC163" s="47" t="n">
        <f aca="false">10*LOG10(S163/L_PREF^2)</f>
        <v>-24.8654616687144</v>
      </c>
      <c r="AD163" s="47" t="n">
        <f aca="false">10*LOG10(T163/L_PREF^2)</f>
        <v>-18.8563552644806</v>
      </c>
      <c r="AE163" s="47" t="n">
        <f aca="false">10*LOG10(U163/L_PREF^2)</f>
        <v>-20.0434056826553</v>
      </c>
      <c r="AF163" s="47" t="n">
        <f aca="false">10*LOG10(V163/L_PREF^2)</f>
        <v>-8.12075147810423</v>
      </c>
      <c r="AG163" s="47" t="n">
        <f aca="false">10*LOG10(W163/L_PREF^2)</f>
        <v>-11.7225468790409</v>
      </c>
      <c r="AH163" s="47" t="n">
        <f aca="false">10*LOG10(X163/L_PREF^2)</f>
        <v>-20.114841030275</v>
      </c>
      <c r="AI163" s="47" t="n">
        <f aca="false">10*LOG10(Y163/L_PREF^2)</f>
        <v>-19.9089276692001</v>
      </c>
      <c r="AJ163" s="47" t="n">
        <f aca="false">10*LOG10(Z163/L_PREF^2)</f>
        <v>-21.2542551603289</v>
      </c>
      <c r="AK163" s="47" t="n">
        <f aca="false">10*LOG10(R163/$R$6)</f>
        <v>-0.0334538860970676</v>
      </c>
      <c r="AL163" s="37" t="n">
        <f aca="false">(12194^2*B163^4/((B163^2+20.6^2)*SQRT((B163^2+107.7^2)*(B163^2+737.9^2))*(B163^2+12194^2))*1.2589254)^2</f>
        <v>0.260300739743651</v>
      </c>
      <c r="AM163" s="37" t="n">
        <f aca="false">0.5*(B163-B162)*(S163*AL163+S162*AL162)</f>
        <v>2.63037066543131E-012</v>
      </c>
      <c r="AN163" s="37" t="n">
        <f aca="false">0.5*(B163-B162)*(T163*AL163+T162*AL162)</f>
        <v>1.04992715353135E-011</v>
      </c>
      <c r="AO163" s="37" t="n">
        <f aca="false">0.5*(B163-B162)*(U163*AL163+U162*AL162)</f>
        <v>7.98829557634076E-012</v>
      </c>
      <c r="AP163" s="37" t="n">
        <f aca="false">0.5*(B163-B162)*(V163*AL163+V162*AL162)</f>
        <v>1.27222419330517E-010</v>
      </c>
      <c r="AQ163" s="37" t="n">
        <f aca="false">0.5*(B163-B162)*(W163*AL163+W162*AL162)</f>
        <v>5.5518296212298E-011</v>
      </c>
      <c r="AR163" s="37" t="n">
        <f aca="false">0.5*(B163-B162)*(X163*AL163+X162*AL162)</f>
        <v>7.87782221605229E-012</v>
      </c>
      <c r="AS163" s="37" t="n">
        <f aca="false">0.5*(B163-B162)*(Y163*AL163+Y162*AL162)</f>
        <v>8.42942693624109E-012</v>
      </c>
      <c r="AT163" s="37" t="n">
        <f aca="false">0.5*(B163-B162)*(Z163*AL163+Z162*AL162)</f>
        <v>6.04449077361015E-012</v>
      </c>
      <c r="AU163" s="37" t="n">
        <f aca="false">0.5*(B163-B162)*(AA163*AL163+AA162*AL162)</f>
        <v>2.26210393245804E-010</v>
      </c>
      <c r="AV163" s="37" t="n">
        <f aca="false">0.5*(B163-B162)*(S163+S162)</f>
        <v>1.03183464853191E-011</v>
      </c>
      <c r="AW163" s="37" t="n">
        <f aca="false">0.5*(B163-B162)*(T163+T162)</f>
        <v>4.11867303548878E-011</v>
      </c>
      <c r="AX163" s="37" t="n">
        <f aca="false">0.5*(B163-B162)*(U163+U162)</f>
        <v>3.13366289071849E-011</v>
      </c>
      <c r="AY163" s="37" t="n">
        <f aca="false">0.5*(B163-B162)*(V163+V162)</f>
        <v>4.99311534303716E-010</v>
      </c>
      <c r="AZ163" s="37" t="n">
        <f aca="false">0.5*(B163-B162)*(W163+W162)</f>
        <v>2.17893951040344E-010</v>
      </c>
      <c r="BA163" s="37" t="n">
        <f aca="false">0.5*(B163-B162)*(X163+X162)</f>
        <v>3.09049406984992E-011</v>
      </c>
      <c r="BB163" s="37" t="n">
        <f aca="false">0.5*(B163-B162)*(Y163+Y162)</f>
        <v>3.30831683508439E-011</v>
      </c>
      <c r="BC163" s="37" t="n">
        <f aca="false">0.5*(B163-B162)*(Z163+Z162)</f>
        <v>2.37114254910388E-011</v>
      </c>
      <c r="BD163" s="37" t="n">
        <f aca="false">0.5*(B163-B162)*(AA163+AA162)</f>
        <v>8.87746725631833E-010</v>
      </c>
      <c r="BE163" s="37" t="n">
        <f aca="false">IF(B163&gt;2000,AK163,-999)</f>
        <v>-999</v>
      </c>
      <c r="BF163" s="37" t="n">
        <f aca="false">IF(AND(B163&lt;1000,AK163&gt;=-3),B163,1000000000)</f>
        <v>347.560165749875</v>
      </c>
    </row>
    <row r="164" customFormat="false" ht="15" hidden="false" customHeight="false" outlineLevel="0" collapsed="false">
      <c r="A164" s="5" t="n">
        <v>125</v>
      </c>
      <c r="B164" s="47" t="n">
        <f aca="false">20*10^(A164/100)</f>
        <v>355.655882007785</v>
      </c>
      <c r="C164" s="37" t="n">
        <f aca="false">2*PI()*B164</f>
        <v>2234.65181224331</v>
      </c>
      <c r="D164" s="37" t="n">
        <f aca="false">SQRT(L_Rp0^2+L_Rp1^2*C164)</f>
        <v>79297722.3182249</v>
      </c>
      <c r="E164" s="5" t="str">
        <f aca="false">COMPLEX(D164,C164*L_Mp)</f>
        <v>79297722.3182249+33011883.6577988i</v>
      </c>
      <c r="F164" s="5" t="str">
        <f aca="false">IMDIV(1,E164)</f>
        <v>1.07479879300716e-08-4.47442015647155e-09i</v>
      </c>
      <c r="G164" s="5" t="str">
        <f aca="false">COMPLEX(0,C164*L_Cf)</f>
        <v>2.36296057126288e-12i</v>
      </c>
      <c r="H164" s="5" t="str">
        <f aca="false">COMPLEX(0,C164*L_Cbv)</f>
        <v>2.36296057126288e-11i</v>
      </c>
      <c r="I164" s="5" t="str">
        <f aca="false">COMPLEX(L_Rsq+L_Rh,C164*(L_Md+L_Mh)-1/(C164*L_Cd))</f>
        <v>552400610.124532-515498415298.122i</v>
      </c>
      <c r="J164" s="5" t="str">
        <f aca="false">IMDIV(1,I164)</f>
        <v>2.0787342982273e-15+1.93986794533129e-12i</v>
      </c>
      <c r="K164" s="5" t="str">
        <f aca="false">IMSUM(F164,G164,H164)</f>
        <v>1.07479879300716e-08-4.44842759018766e-09i</v>
      </c>
      <c r="L164" s="5" t="str">
        <f aca="false">IMSUM(IMPRODUCT(IMSUM(F164,G164),H164),IMPRODUCT(IMSUM(J164,L_Yv),K164))</f>
        <v>1.35820628424071e-19+2.65914291974658e-19i</v>
      </c>
      <c r="M164" s="37" t="n">
        <f aca="false">IMABS(IMDIV(IMPRODUCT(J164,F164,H164),L164))^2</f>
        <v>3.19422575970167E-024</v>
      </c>
      <c r="N164" s="5" t="str">
        <f aca="false">IMDIV(IMPRODUCT(L_Yv,K164,E164),H164)</f>
        <v>0.000174454989100087-0.0845669579574813i</v>
      </c>
      <c r="O164" s="37" t="n">
        <f aca="false">IMABS(IMSUM(1,IMPRODUCT(E164,G164),N164))^2</f>
        <v>1.00731282133825</v>
      </c>
      <c r="P164" s="37" t="n">
        <f aca="false">IMABS(N164)^2</f>
        <v>0.00715160081272564</v>
      </c>
      <c r="Q164" s="37" t="n">
        <f aca="false">p_Rb^2/(1+(C164*p_Rb*L_Ctot)^2)</f>
        <v>33010547881293800</v>
      </c>
      <c r="R164" s="37" t="n">
        <f aca="false">M164*L_Kt^2*Q164</f>
        <v>2.1161953961815E-005</v>
      </c>
      <c r="S164" s="37" t="n">
        <f aca="false">L_kT4*D164</f>
        <v>1.30568616049567E-012</v>
      </c>
      <c r="T164" s="37" t="n">
        <f aca="false">L_kT4*L_Rsq*O164</f>
        <v>5.20326569927522E-012</v>
      </c>
      <c r="U164" s="37" t="n">
        <f aca="false">L_kT4*L_Rh*O164</f>
        <v>3.9588674536366E-012</v>
      </c>
      <c r="V164" s="37" t="n">
        <f aca="false">L_kT4*p_Rv*P164</f>
        <v>5.8877770594045E-011</v>
      </c>
      <c r="W164" s="37" t="n">
        <f aca="false">L_kT4/p_Rb*Q164/R164</f>
        <v>2.56847329659485E-011</v>
      </c>
      <c r="X164" s="37" t="n">
        <f aca="false">p_en^2*(1+p_fc/B164)/R164</f>
        <v>3.87463854018604E-012</v>
      </c>
      <c r="Y164" s="37" t="n">
        <f aca="false">p_in^2*Q164/R164</f>
        <v>3.89975187792898E-012</v>
      </c>
      <c r="Z164" s="37" t="n">
        <f aca="false">p_eo^2/L_G^2/R164</f>
        <v>2.99574074364007E-012</v>
      </c>
      <c r="AA164" s="37" t="n">
        <f aca="false">SUM(S164:Z164)</f>
        <v>1.05800454035156E-010</v>
      </c>
      <c r="AB164" s="47" t="n">
        <f aca="false">10*LOG10(AA164/L_PREF^2)</f>
        <v>-5.77572459880783</v>
      </c>
      <c r="AC164" s="47" t="n">
        <f aca="false">10*LOG10(S164/L_PREF^2)</f>
        <v>-24.8622119045649</v>
      </c>
      <c r="AD164" s="47" t="n">
        <f aca="false">10*LOG10(T164/L_PREF^2)</f>
        <v>-18.8578398807601</v>
      </c>
      <c r="AE164" s="47" t="n">
        <f aca="false">10*LOG10(U164/L_PREF^2)</f>
        <v>-20.0448902989348</v>
      </c>
      <c r="AF164" s="47" t="n">
        <f aca="false">10*LOG10(V164/L_PREF^2)</f>
        <v>-8.32108634241638</v>
      </c>
      <c r="AG164" s="47" t="n">
        <f aca="false">10*LOG10(W164/L_PREF^2)</f>
        <v>-11.923849364328</v>
      </c>
      <c r="AH164" s="47" t="n">
        <f aca="false">10*LOG10(X164/L_PREF^2)</f>
        <v>-20.138287973436</v>
      </c>
      <c r="AI164" s="47" t="n">
        <f aca="false">10*LOG10(Y164/L_PREF^2)</f>
        <v>-20.1102301544871</v>
      </c>
      <c r="AJ164" s="47" t="n">
        <f aca="false">10*LOG10(Z164/L_PREF^2)</f>
        <v>-21.2555576523725</v>
      </c>
      <c r="AK164" s="47" t="n">
        <f aca="false">10*LOG10(R164/$R$6)</f>
        <v>-0.0321513940535267</v>
      </c>
      <c r="AL164" s="37" t="n">
        <f aca="false">(12194^2*B164^4/((B164^2+20.6^2)*SQRT((B164^2+107.7^2)*(B164^2+737.9^2))*(B164^2+12194^2))*1.2589254)^2</f>
        <v>0.271390324829816</v>
      </c>
      <c r="AM164" s="37" t="n">
        <f aca="false">0.5*(B164-B163)*(S164*AL164+S163*AL163)</f>
        <v>2.80908173953711E-012</v>
      </c>
      <c r="AN164" s="37" t="n">
        <f aca="false">0.5*(B164-B163)*(T164*AL164+T163*AL163)</f>
        <v>1.1200394939402E-011</v>
      </c>
      <c r="AO164" s="37" t="n">
        <f aca="false">0.5*(B164-B163)*(U164*AL164+U163*AL163)</f>
        <v>8.5217402985304E-012</v>
      </c>
      <c r="AP164" s="37" t="n">
        <f aca="false">0.5*(B164-B163)*(V164*AL164+V163*AL163)</f>
        <v>1.29646057727952E-010</v>
      </c>
      <c r="AQ164" s="37" t="n">
        <f aca="false">0.5*(B164-B163)*(W164*AL164+W163*AL163)</f>
        <v>5.65628786011506E-011</v>
      </c>
      <c r="AR164" s="37" t="n">
        <f aca="false">0.5*(B164-B163)*(X164*AL164+X163*AL163)</f>
        <v>8.36113653690415E-012</v>
      </c>
      <c r="AS164" s="37" t="n">
        <f aca="false">0.5*(B164-B163)*(Y164*AL164+Y163*AL163)</f>
        <v>8.58802746122922E-012</v>
      </c>
      <c r="AT164" s="37" t="n">
        <f aca="false">0.5*(B164-B163)*(Z164*AL164+Z163*AL163)</f>
        <v>6.44840998492984E-012</v>
      </c>
      <c r="AU164" s="37" t="n">
        <f aca="false">0.5*(B164-B163)*(AA164*AL164+AA163*AL163)</f>
        <v>2.32137727289635E-010</v>
      </c>
      <c r="AV164" s="37" t="n">
        <f aca="false">0.5*(B164-B163)*(S164+S163)</f>
        <v>1.0566511292002E-011</v>
      </c>
      <c r="AW164" s="37" t="n">
        <f aca="false">0.5*(B164-B163)*(T164+T163)</f>
        <v>4.21313639250196E-011</v>
      </c>
      <c r="AX164" s="37" t="n">
        <f aca="false">0.5*(B164-B163)*(U164+U163)</f>
        <v>3.20553465957566E-011</v>
      </c>
      <c r="AY164" s="37" t="n">
        <f aca="false">0.5*(B164-B163)*(V164+V163)</f>
        <v>4.87909061095671E-010</v>
      </c>
      <c r="AZ164" s="37" t="n">
        <f aca="false">0.5*(B164-B163)*(W164+W163)</f>
        <v>2.1286883376972E-010</v>
      </c>
      <c r="BA164" s="37" t="n">
        <f aca="false">0.5*(B164-B163)*(X164+X163)</f>
        <v>3.14528788331607E-011</v>
      </c>
      <c r="BB164" s="37" t="n">
        <f aca="false">0.5*(B164-B163)*(Y164+Y163)</f>
        <v>3.23201971905476E-011</v>
      </c>
      <c r="BC164" s="37" t="n">
        <f aca="false">0.5*(B164-B163)*(Z164+Z163)</f>
        <v>2.42563043953671E-011</v>
      </c>
      <c r="BD164" s="37" t="n">
        <f aca="false">0.5*(B164-B163)*(AA164+AA163)</f>
        <v>8.73560497097245E-010</v>
      </c>
      <c r="BE164" s="37" t="n">
        <f aca="false">IF(B164&gt;2000,AK164,-999)</f>
        <v>-999</v>
      </c>
      <c r="BF164" s="37" t="n">
        <f aca="false">IF(AND(B164&lt;1000,AK164&gt;=-3),B164,1000000000)</f>
        <v>355.655882007785</v>
      </c>
    </row>
    <row r="165" customFormat="false" ht="15" hidden="false" customHeight="false" outlineLevel="0" collapsed="false">
      <c r="A165" s="5" t="n">
        <v>126</v>
      </c>
      <c r="B165" s="47" t="n">
        <f aca="false">20*10^(A165/100)</f>
        <v>363.940171721997</v>
      </c>
      <c r="C165" s="37" t="n">
        <f aca="false">2*PI()*B165</f>
        <v>2286.70353965607</v>
      </c>
      <c r="D165" s="37" t="n">
        <f aca="false">SQRT(L_Rp0^2+L_Rp1^2*C165)</f>
        <v>79358373.2190876</v>
      </c>
      <c r="E165" s="5" t="str">
        <f aca="false">COMPLEX(D165,C165*L_Mp)</f>
        <v>79358373.2190876+33780829.2090131i</v>
      </c>
      <c r="F165" s="5" t="str">
        <f aca="false">IMDIV(1,E165)</f>
        <v>1.06680312666951e-08-4.54110798392676e-09i</v>
      </c>
      <c r="G165" s="5" t="str">
        <f aca="false">COMPLEX(0,C165*L_Cf)</f>
        <v>2.41800099360904e-12i</v>
      </c>
      <c r="H165" s="5" t="str">
        <f aca="false">COMPLEX(0,C165*L_Cbv)</f>
        <v>2.41800099360904e-11i</v>
      </c>
      <c r="I165" s="5" t="str">
        <f aca="false">COMPLEX(L_Rsq+L_Rh,C165*(L_Md+L_Mh)-1/(C165*L_Cd))</f>
        <v>552400610.124532-503763850976.699i</v>
      </c>
      <c r="J165" s="5" t="str">
        <f aca="false">IMDIV(1,I165)</f>
        <v>2.17670526092728e-15+1.98505469506771e-12i</v>
      </c>
      <c r="K165" s="5" t="str">
        <f aca="false">IMSUM(F165,G165,H165)</f>
        <v>1.06680312666951e-08-4.51450997299706e-09i</v>
      </c>
      <c r="L165" s="5" t="str">
        <f aca="false">IMSUM(IMPRODUCT(IMSUM(F165,G165),H165),IMPRODUCT(IMSUM(J165,L_Yv),K165))</f>
        <v>1.40066401795158e-19+2.7009088087669e-19i</v>
      </c>
      <c r="M165" s="37" t="n">
        <f aca="false">IMABS(IMDIV(IMPRODUCT(J165,F165,H165),L165))^2</f>
        <v>3.34572751077696E-024</v>
      </c>
      <c r="N165" s="5" t="str">
        <f aca="false">IMDIV(IMPRODUCT(L_Yv,K165,E165),H165)</f>
        <v>0.000174588421082036-0.0826386341259732i</v>
      </c>
      <c r="O165" s="37" t="n">
        <f aca="false">IMABS(IMSUM(1,IMPRODUCT(E165,G165),N165))^2</f>
        <v>1.00698328716022</v>
      </c>
      <c r="P165" s="37" t="n">
        <f aca="false">IMABS(N165)^2</f>
        <v>0.00682917433132324</v>
      </c>
      <c r="Q165" s="37" t="n">
        <f aca="false">p_Rb^2/(1+(C165*p_Rb*L_Ctot)^2)</f>
        <v>31524828533978300</v>
      </c>
      <c r="R165" s="37" t="n">
        <f aca="false">M165*L_Kt^2*Q165</f>
        <v>2.11680438057998E-005</v>
      </c>
      <c r="S165" s="37" t="n">
        <f aca="false">L_kT4*D165</f>
        <v>1.30668481518036E-012</v>
      </c>
      <c r="T165" s="37" t="n">
        <f aca="false">L_kT4*L_Rsq*O165</f>
        <v>5.20156349331801E-012</v>
      </c>
      <c r="U165" s="37" t="n">
        <f aca="false">L_kT4*L_Rh*O165</f>
        <v>3.95757234242128E-012</v>
      </c>
      <c r="V165" s="37" t="n">
        <f aca="false">L_kT4*p_Rv*P165</f>
        <v>5.6223294637882E-011</v>
      </c>
      <c r="W165" s="37" t="n">
        <f aca="false">L_kT4/p_Rb*Q165/R165</f>
        <v>2.45216729116829E-011</v>
      </c>
      <c r="X165" s="37" t="n">
        <f aca="false">p_en^2*(1+p_fc/B165)/R165</f>
        <v>3.85417323924332E-012</v>
      </c>
      <c r="Y165" s="37" t="n">
        <f aca="false">p_in^2*Q165/R165</f>
        <v>3.72316270969508E-012</v>
      </c>
      <c r="Z165" s="37" t="n">
        <f aca="false">p_eo^2/L_G^2/R165</f>
        <v>2.9948788976464E-012</v>
      </c>
      <c r="AA165" s="37" t="n">
        <f aca="false">SUM(S165:Z165)</f>
        <v>1.01783003047069E-010</v>
      </c>
      <c r="AB165" s="47" t="n">
        <f aca="false">10*LOG10(AA165/L_PREF^2)</f>
        <v>-5.94384731000836</v>
      </c>
      <c r="AC165" s="47" t="n">
        <f aca="false">10*LOG10(S165/L_PREF^2)</f>
        <v>-24.8588914707976</v>
      </c>
      <c r="AD165" s="47" t="n">
        <f aca="false">10*LOG10(T165/L_PREF^2)</f>
        <v>-18.8592608722001</v>
      </c>
      <c r="AE165" s="47" t="n">
        <f aca="false">10*LOG10(U165/L_PREF^2)</f>
        <v>-20.0463112903748</v>
      </c>
      <c r="AF165" s="47" t="n">
        <f aca="false">10*LOG10(V165/L_PREF^2)</f>
        <v>-8.52143700018687</v>
      </c>
      <c r="AG165" s="47" t="n">
        <f aca="false">10*LOG10(W165/L_PREF^2)</f>
        <v>-12.12509896137</v>
      </c>
      <c r="AH165" s="47" t="n">
        <f aca="false">10*LOG10(X165/L_PREF^2)</f>
        <v>-20.1612875969132</v>
      </c>
      <c r="AI165" s="47" t="n">
        <f aca="false">10*LOG10(Y165/L_PREF^2)</f>
        <v>-20.3114797515292</v>
      </c>
      <c r="AJ165" s="47" t="n">
        <f aca="false">10*LOG10(Z165/L_PREF^2)</f>
        <v>-21.2568072558669</v>
      </c>
      <c r="AK165" s="47" t="n">
        <f aca="false">10*LOG10(R165/$R$6)</f>
        <v>-0.0309017905590863</v>
      </c>
      <c r="AL165" s="37" t="n">
        <f aca="false">(12194^2*B165^4/((B165^2+20.6^2)*SQRT((B165^2+107.7^2)*(B165^2+737.9^2))*(B165^2+12194^2))*1.2589254)^2</f>
        <v>0.282809401592105</v>
      </c>
      <c r="AM165" s="37" t="n">
        <f aca="false">0.5*(B165-B164)*(S165*AL165+S164*AL164)</f>
        <v>2.99847108313405E-012</v>
      </c>
      <c r="AN165" s="37" t="n">
        <f aca="false">0.5*(B165-B164)*(T165*AL165+T164*AL164)</f>
        <v>1.19424954738559E-011</v>
      </c>
      <c r="AO165" s="37" t="n">
        <f aca="false">0.5*(B165-B164)*(U165*AL165+U164*AL164)</f>
        <v>9.08636217697589E-012</v>
      </c>
      <c r="AP165" s="37" t="n">
        <f aca="false">0.5*(B165-B164)*(V165*AL165+V164*AL164)</f>
        <v>1.32048817714441E-010</v>
      </c>
      <c r="AQ165" s="37" t="n">
        <f aca="false">0.5*(B165-B164)*(W165*AL165+W164*AL164)</f>
        <v>5.75987927457657E-011</v>
      </c>
      <c r="AR165" s="37" t="n">
        <f aca="false">0.5*(B165-B164)*(X165*AL165+X164*AL164)</f>
        <v>8.87055166365264E-012</v>
      </c>
      <c r="AS165" s="37" t="n">
        <f aca="false">0.5*(B165-B164)*(Y165*AL165+Y164*AL164)</f>
        <v>8.74531187357611E-012</v>
      </c>
      <c r="AT165" s="37" t="n">
        <f aca="false">0.5*(B165-B164)*(Z165*AL165+Z164*AL164)</f>
        <v>6.87593959635442E-012</v>
      </c>
      <c r="AU165" s="37" t="n">
        <f aca="false">0.5*(B165-B164)*(AA165*AL165+AA164*AL164)</f>
        <v>2.38166742327756E-010</v>
      </c>
      <c r="AV165" s="37" t="n">
        <f aca="false">0.5*(B165-B164)*(S165+S164)</f>
        <v>1.08208190017496E-011</v>
      </c>
      <c r="AW165" s="37" t="n">
        <f aca="false">0.5*(B165-B164)*(T165+T164)</f>
        <v>4.30983097291669E-011</v>
      </c>
      <c r="AX165" s="37" t="n">
        <f aca="false">0.5*(B165-B164)*(U165+U164)</f>
        <v>3.27910403878308E-011</v>
      </c>
      <c r="AY165" s="37" t="n">
        <f aca="false">0.5*(B165-B164)*(V165+V164)</f>
        <v>4.76765285397854E-010</v>
      </c>
      <c r="AZ165" s="37" t="n">
        <f aca="false">0.5*(B165-B164)*(W165+W164)</f>
        <v>2.0796220589981E-010</v>
      </c>
      <c r="BA165" s="37" t="n">
        <f aca="false">0.5*(B165-B164)*(X165+X164)</f>
        <v>3.2013857963704E-011</v>
      </c>
      <c r="BB165" s="37" t="n">
        <f aca="false">0.5*(B165-B164)*(Y165+Y164)</f>
        <v>3.15752164552856E-011</v>
      </c>
      <c r="BC165" s="37" t="n">
        <f aca="false">0.5*(B165-B164)*(Z165+Z164)</f>
        <v>2.48140143380332E-011</v>
      </c>
      <c r="BD165" s="37" t="n">
        <f aca="false">0.5*(B165-B164)*(AA165+AA164)</f>
        <v>8.59840749173434E-010</v>
      </c>
      <c r="BE165" s="37" t="n">
        <f aca="false">IF(B165&gt;2000,AK165,-999)</f>
        <v>-999</v>
      </c>
      <c r="BF165" s="37" t="n">
        <f aca="false">IF(AND(B165&lt;1000,AK165&gt;=-3),B165,1000000000)</f>
        <v>363.940171721997</v>
      </c>
    </row>
    <row r="166" customFormat="false" ht="15" hidden="false" customHeight="false" outlineLevel="0" collapsed="false">
      <c r="A166" s="5" t="n">
        <v>127</v>
      </c>
      <c r="B166" s="47" t="n">
        <f aca="false">20*10^(A166/100)</f>
        <v>372.417427332574</v>
      </c>
      <c r="C166" s="37" t="n">
        <f aca="false">2*PI()*B166</f>
        <v>2339.96770755365</v>
      </c>
      <c r="D166" s="37" t="n">
        <f aca="false">SQRT(L_Rp0^2+L_Rp1^2*C166)</f>
        <v>79420388.9128434</v>
      </c>
      <c r="E166" s="5" t="str">
        <f aca="false">COMPLEX(D166,C166*L_Mp)</f>
        <v>79420388.9128434+34567685.8030161i</v>
      </c>
      <c r="F166" s="5" t="str">
        <f aca="false">IMDIV(1,E166)</f>
        <v>1.05858240087226e-08-4.60747477201501e-09i</v>
      </c>
      <c r="G166" s="5" t="str">
        <f aca="false">COMPLEX(0,C166*L_Cf)</f>
        <v>2.47432347208803e-12i</v>
      </c>
      <c r="H166" s="5" t="str">
        <f aca="false">COMPLEX(0,C166*L_Cbv)</f>
        <v>2.47432347208803e-11i</v>
      </c>
      <c r="I166" s="5" t="str">
        <f aca="false">COMPLEX(L_Rsq+L_Rh,C166*(L_Md+L_Mh)-1/(C166*L_Cd))</f>
        <v>552400610.124532-492296388917.166i</v>
      </c>
      <c r="J166" s="5" t="str">
        <f aca="false">IMDIV(1,I166)</f>
        <v>2.2792937648149e-15+2.0312940810236e-12i</v>
      </c>
      <c r="K166" s="5" t="str">
        <f aca="false">IMSUM(F166,G166,H166)</f>
        <v>1.05858240087226e-08-4.58025721382204e-09i</v>
      </c>
      <c r="L166" s="5" t="str">
        <f aca="false">IMSUM(IMPRODUCT(IMSUM(F166,G166),H166),IMPRODUCT(IMSUM(J166,L_Yv),K166))</f>
        <v>1.44442232576163e-19+2.74259495634076e-19i</v>
      </c>
      <c r="M166" s="37" t="n">
        <f aca="false">IMABS(IMDIV(IMPRODUCT(J166,F166,H166),L166))^2</f>
        <v>3.5043743994958E-024</v>
      </c>
      <c r="N166" s="5" t="str">
        <f aca="false">IMDIV(IMPRODUCT(L_Yv,K166,E166),H166)</f>
        <v>0.000174724855608309-0.0807541263921309i</v>
      </c>
      <c r="O166" s="37" t="n">
        <f aca="false">IMABS(IMSUM(1,IMPRODUCT(E166,G166),N166))^2</f>
        <v>1.00666792367359</v>
      </c>
      <c r="P166" s="37" t="n">
        <f aca="false">IMABS(N166)^2</f>
        <v>0.00652125945813142</v>
      </c>
      <c r="Q166" s="37" t="n">
        <f aca="false">p_Rb^2/(1+(C166*p_Rb*L_Ctot)^2)</f>
        <v>30105977568262200</v>
      </c>
      <c r="R166" s="37" t="n">
        <f aca="false">M166*L_Kt^2*Q166</f>
        <v>2.11738902562322E-005</v>
      </c>
      <c r="S166" s="37" t="n">
        <f aca="false">L_kT4*D166</f>
        <v>1.30770594202616E-012</v>
      </c>
      <c r="T166" s="37" t="n">
        <f aca="false">L_kT4*L_Rsq*O166</f>
        <v>5.19993448594508E-012</v>
      </c>
      <c r="U166" s="37" t="n">
        <f aca="false">L_kT4*L_Rh*O166</f>
        <v>3.95633292382474E-012</v>
      </c>
      <c r="V166" s="37" t="n">
        <f aca="false">L_kT4*p_Rv*P166</f>
        <v>5.36882899947226E-011</v>
      </c>
      <c r="W166" s="37" t="n">
        <f aca="false">L_kT4/p_Rb*Q166/R166</f>
        <v>2.34115497712504E-011</v>
      </c>
      <c r="X166" s="37" t="n">
        <f aca="false">p_en^2*(1+p_fc/B166)/R166</f>
        <v>3.83420413071956E-012</v>
      </c>
      <c r="Y166" s="37" t="n">
        <f aca="false">p_in^2*Q166/R166</f>
        <v>3.55461103320409E-012</v>
      </c>
      <c r="Z166" s="37" t="n">
        <f aca="false">p_eo^2/L_G^2/R166</f>
        <v>2.99405196358686E-012</v>
      </c>
      <c r="AA166" s="37" t="n">
        <f aca="false">SUM(S166:Z166)</f>
        <v>9.79466802452795E-011</v>
      </c>
      <c r="AB166" s="47" t="n">
        <f aca="false">10*LOG10(AA166/L_PREF^2)</f>
        <v>-6.11070270502966</v>
      </c>
      <c r="AC166" s="47" t="n">
        <f aca="false">10*LOG10(S166/L_PREF^2)</f>
        <v>-24.8554989421499</v>
      </c>
      <c r="AD166" s="47" t="n">
        <f aca="false">10*LOG10(T166/L_PREF^2)</f>
        <v>-18.8606211934158</v>
      </c>
      <c r="AE166" s="47" t="n">
        <f aca="false">10*LOG10(U166/L_PREF^2)</f>
        <v>-20.0476716115905</v>
      </c>
      <c r="AF166" s="47" t="n">
        <f aca="false">10*LOG10(V166/L_PREF^2)</f>
        <v>-8.72180419692583</v>
      </c>
      <c r="AG166" s="47" t="n">
        <f aca="false">10*LOG10(W166/L_PREF^2)</f>
        <v>-12.3262982774562</v>
      </c>
      <c r="AH166" s="47" t="n">
        <f aca="false">10*LOG10(X166/L_PREF^2)</f>
        <v>-20.1838476059366</v>
      </c>
      <c r="AI166" s="47" t="n">
        <f aca="false">10*LOG10(Y166/L_PREF^2)</f>
        <v>-20.5126790676154</v>
      </c>
      <c r="AJ166" s="47" t="n">
        <f aca="false">10*LOG10(Z166/L_PREF^2)</f>
        <v>-21.2580065781151</v>
      </c>
      <c r="AK166" s="47" t="n">
        <f aca="false">10*LOG10(R166/$R$6)</f>
        <v>-0.029702468310884</v>
      </c>
      <c r="AL166" s="37" t="n">
        <f aca="false">(12194^2*B166^4/((B166^2+20.6^2)*SQRT((B166^2+107.7^2)*(B166^2+737.9^2))*(B166^2+12194^2))*1.2589254)^2</f>
        <v>0.294559254282104</v>
      </c>
      <c r="AM166" s="37" t="n">
        <f aca="false">0.5*(B166-B165)*(S166*AL166+S165*AL165)</f>
        <v>3.19906041433807E-012</v>
      </c>
      <c r="AN166" s="37" t="n">
        <f aca="false">0.5*(B166-B165)*(T166*AL166+T165*AL165)</f>
        <v>1.27274967617616E-011</v>
      </c>
      <c r="AO166" s="37" t="n">
        <f aca="false">0.5*(B166-B165)*(U166*AL166+U165*AL165)</f>
        <v>9.68362478653007E-012</v>
      </c>
      <c r="AP166" s="37" t="n">
        <f aca="false">0.5*(B166-B165)*(V166*AL166+V165*AL165)</f>
        <v>1.34427483099031E-010</v>
      </c>
      <c r="AQ166" s="37" t="n">
        <f aca="false">0.5*(B166-B165)*(W166*AL166+W165*AL165)</f>
        <v>5.86246658345374E-011</v>
      </c>
      <c r="AR166" s="37" t="n">
        <f aca="false">0.5*(B166-B165)*(X166*AL166+X165*AL165)</f>
        <v>9.40719672012991E-012</v>
      </c>
      <c r="AS166" s="37" t="n">
        <f aca="false">0.5*(B166-B165)*(Y166*AL166+Y165*AL165)</f>
        <v>8.901071737218E-012</v>
      </c>
      <c r="AT166" s="37" t="n">
        <f aca="false">0.5*(B166-B165)*(Z166*AL166+Z165*AL165)</f>
        <v>7.32818744450326E-012</v>
      </c>
      <c r="AU166" s="37" t="n">
        <f aca="false">0.5*(B166-B165)*(AA166*AL166+AA165*AL165)</f>
        <v>2.44298786798049E-010</v>
      </c>
      <c r="AV166" s="37" t="n">
        <f aca="false">0.5*(B166-B165)*(S166+S165)</f>
        <v>1.10814293573847E-011</v>
      </c>
      <c r="AW166" s="37" t="n">
        <f aca="false">0.5*(B166-B165)*(T166+T165)</f>
        <v>4.40880785515561E-011</v>
      </c>
      <c r="AX166" s="37" t="n">
        <f aca="false">0.5*(B166-B165)*(U166+U165)</f>
        <v>3.35440989099291E-011</v>
      </c>
      <c r="AY166" s="37" t="n">
        <f aca="false">0.5*(B166-B165)*(V166+V165)</f>
        <v>4.65874298747072E-010</v>
      </c>
      <c r="AZ166" s="37" t="n">
        <f aca="false">0.5*(B166-B165)*(W166+W165)</f>
        <v>2.03171090460964E-010</v>
      </c>
      <c r="BA166" s="37" t="n">
        <f aca="false">0.5*(B166-B165)*(X166+X165)</f>
        <v>3.25881700978751E-011</v>
      </c>
      <c r="BB166" s="37" t="n">
        <f aca="false">0.5*(B166-B165)*(Y166+Y165)</f>
        <v>3.08477741472506E-011</v>
      </c>
      <c r="BC166" s="37" t="n">
        <f aca="false">0.5*(B166-B165)*(Z166+Z165)</f>
        <v>2.53848488723734E-011</v>
      </c>
      <c r="BD166" s="37" t="n">
        <f aca="false">0.5*(B166-B165)*(AA166+AA165)</f>
        <v>8.46579789144405E-010</v>
      </c>
      <c r="BE166" s="37" t="n">
        <f aca="false">IF(B166&gt;2000,AK166,-999)</f>
        <v>-999</v>
      </c>
      <c r="BF166" s="37" t="n">
        <f aca="false">IF(AND(B166&lt;1000,AK166&gt;=-3),B166,1000000000)</f>
        <v>372.417427332574</v>
      </c>
    </row>
    <row r="167" customFormat="false" ht="15" hidden="false" customHeight="false" outlineLevel="0" collapsed="false">
      <c r="A167" s="5" t="n">
        <v>128</v>
      </c>
      <c r="B167" s="47" t="n">
        <f aca="false">20*10^(A167/100)</f>
        <v>381.092143592649</v>
      </c>
      <c r="C167" s="37" t="n">
        <f aca="false">2*PI()*B167</f>
        <v>2394.47255730291</v>
      </c>
      <c r="D167" s="37" t="n">
        <f aca="false">SQRT(L_Rp0^2+L_Rp1^2*C167)</f>
        <v>79483799.0474204</v>
      </c>
      <c r="E167" s="5" t="str">
        <f aca="false">COMPLEX(D167,C167*L_Mp)</f>
        <v>79483799.0474204+35372870.6415893i</v>
      </c>
      <c r="F167" s="5" t="str">
        <f aca="false">IMDIV(1,E167)</f>
        <v>1.05013474876898e-08-4.67344050858481e-09i</v>
      </c>
      <c r="G167" s="5" t="str">
        <f aca="false">COMPLEX(0,C167*L_Cf)</f>
        <v>2.53195786962346e-12i</v>
      </c>
      <c r="H167" s="5" t="str">
        <f aca="false">COMPLEX(0,C167*L_Cbv)</f>
        <v>2.53195786962346e-11i</v>
      </c>
      <c r="I167" s="5" t="str">
        <f aca="false">COMPLEX(L_Rsq+L_Rh,C167*(L_Md+L_Mh)-1/(C167*L_Cd))</f>
        <v>552400610.124532-481089948919.351i</v>
      </c>
      <c r="J167" s="5" t="str">
        <f aca="false">IMDIV(1,I167)</f>
        <v>2.38671745800082e-15+2.0786106295134e-12i</v>
      </c>
      <c r="K167" s="5" t="str">
        <f aca="false">IMSUM(F167,G167,H167)</f>
        <v>1.05013474876898e-08-4.64558897201895e-09i</v>
      </c>
      <c r="L167" s="5" t="str">
        <f aca="false">IMSUM(IMPRODUCT(IMSUM(F167,G167),H167),IMPRODUCT(IMSUM(J167,L_Yv),K167))</f>
        <v>1.48949565975098e-19+2.78415640990853e-19i</v>
      </c>
      <c r="M167" s="37" t="n">
        <f aca="false">IMABS(IMDIV(IMPRODUCT(J167,F167,H167),L167))^2</f>
        <v>3.67050358845656E-024</v>
      </c>
      <c r="N167" s="5" t="str">
        <f aca="false">IMDIV(IMPRODUCT(L_Yv,K167,E167),H167)</f>
        <v>0.000174864357904407-0.0789124355650087i</v>
      </c>
      <c r="O167" s="37" t="n">
        <f aca="false">IMABS(IMSUM(1,IMPRODUCT(E167,G167),N167))^2</f>
        <v>1.00636606154702</v>
      </c>
      <c r="P167" s="37" t="n">
        <f aca="false">IMABS(N167)^2</f>
        <v>0.00622720306434531</v>
      </c>
      <c r="Q167" s="37" t="n">
        <f aca="false">p_Rb^2/(1+(C167*p_Rb*L_Ctot)^2)</f>
        <v>28750985411575400</v>
      </c>
      <c r="R167" s="37" t="n">
        <f aca="false">M167*L_Kt^2*Q167</f>
        <v>2.11795053248304E-005</v>
      </c>
      <c r="S167" s="37" t="n">
        <f aca="false">L_kT4*D167</f>
        <v>1.30875002920461E-012</v>
      </c>
      <c r="T167" s="37" t="n">
        <f aca="false">L_kT4*L_Rsq*O167</f>
        <v>5.19837521973125E-012</v>
      </c>
      <c r="U167" s="37" t="n">
        <f aca="false">L_kT4*L_Rh*O167</f>
        <v>3.95514656728978E-012</v>
      </c>
      <c r="V167" s="37" t="n">
        <f aca="false">L_kT4*p_Rv*P167</f>
        <v>5.12673795792191E-011</v>
      </c>
      <c r="W167" s="37" t="n">
        <f aca="false">L_kT4/p_Rb*Q167/R167</f>
        <v>2.23519290183804E-011</v>
      </c>
      <c r="X167" s="37" t="n">
        <f aca="false">p_en^2*(1+p_fc/B167)/R167</f>
        <v>3.81471793079472E-012</v>
      </c>
      <c r="Y167" s="37" t="n">
        <f aca="false">p_in^2*Q167/R167</f>
        <v>3.39372721064788E-012</v>
      </c>
      <c r="Z167" s="37" t="n">
        <f aca="false">p_eo^2/L_G^2/R167</f>
        <v>2.99325818644691E-012</v>
      </c>
      <c r="AA167" s="37" t="n">
        <f aca="false">SUM(S167:Z167)</f>
        <v>9.42832837417147E-011</v>
      </c>
      <c r="AB167" s="47" t="n">
        <f aca="false">10*LOG10(AA167/L_PREF^2)</f>
        <v>-6.27625291403638</v>
      </c>
      <c r="AC167" s="47" t="n">
        <f aca="false">10*LOG10(S167/L_PREF^2)</f>
        <v>-24.8520328694983</v>
      </c>
      <c r="AD167" s="47" t="n">
        <f aca="false">10*LOG10(T167/L_PREF^2)</f>
        <v>-18.8619236757167</v>
      </c>
      <c r="AE167" s="47" t="n">
        <f aca="false">10*LOG10(U167/L_PREF^2)</f>
        <v>-20.0489740938915</v>
      </c>
      <c r="AF167" s="47" t="n">
        <f aca="false">10*LOG10(V167/L_PREF^2)</f>
        <v>-8.9221887133966</v>
      </c>
      <c r="AG167" s="47" t="n">
        <f aca="false">10*LOG10(W167/L_PREF^2)</f>
        <v>-12.5274498171742</v>
      </c>
      <c r="AH167" s="47" t="n">
        <f aca="false">10*LOG10(X167/L_PREF^2)</f>
        <v>-20.2059756060411</v>
      </c>
      <c r="AI167" s="47" t="n">
        <f aca="false">10*LOG10(Y167/L_PREF^2)</f>
        <v>-20.7138306073334</v>
      </c>
      <c r="AJ167" s="47" t="n">
        <f aca="false">10*LOG10(Z167/L_PREF^2)</f>
        <v>-21.2591581237178</v>
      </c>
      <c r="AK167" s="47" t="n">
        <f aca="false">10*LOG10(R167/$R$6)</f>
        <v>-0.0285509227082014</v>
      </c>
      <c r="AL167" s="37" t="n">
        <f aca="false">(12194^2*B167^4/((B167^2+20.6^2)*SQRT((B167^2+107.7^2)*(B167^2+737.9^2))*(B167^2+12194^2))*1.2589254)^2</f>
        <v>0.306640530451753</v>
      </c>
      <c r="AM167" s="37" t="n">
        <f aca="false">0.5*(B167-B166)*(S167*AL167+S166*AL166)</f>
        <v>3.41138721159673E-012</v>
      </c>
      <c r="AN167" s="37" t="n">
        <f aca="false">0.5*(B167-B166)*(T167*AL167+T166*AL166)</f>
        <v>1.35573729502595E-011</v>
      </c>
      <c r="AO167" s="37" t="n">
        <f aca="false">0.5*(B167-B166)*(U167*AL167+U166*AL166)</f>
        <v>1.03150301429104E-011</v>
      </c>
      <c r="AP167" s="37" t="n">
        <f aca="false">0.5*(B167-B166)*(V167*AL167+V166*AL166)</f>
        <v>1.36778758367055E-010</v>
      </c>
      <c r="AQ167" s="37" t="n">
        <f aca="false">0.5*(B167-B166)*(W167*AL167+W166*AL166)</f>
        <v>5.9639090730892E-011</v>
      </c>
      <c r="AR167" s="37" t="n">
        <f aca="false">0.5*(B167-B166)*(X167*AL167+X166*AL166)</f>
        <v>9.97222583814617E-012</v>
      </c>
      <c r="AS167" s="37" t="n">
        <f aca="false">0.5*(B167-B166)*(Y167*AL167+Y166*AL166)</f>
        <v>9.0550934044793E-012</v>
      </c>
      <c r="AT167" s="37" t="n">
        <f aca="false">0.5*(B167-B166)*(Z167*AL167+Z166*AL166)</f>
        <v>7.80629037948413E-012</v>
      </c>
      <c r="AU167" s="37" t="n">
        <f aca="false">0.5*(B167-B166)*(AA167*AL167+AA166*AL166)</f>
        <v>2.50535249024823E-010</v>
      </c>
      <c r="AV167" s="37" t="n">
        <f aca="false">0.5*(B167-B166)*(S167+S166)</f>
        <v>1.13485065787041E-011</v>
      </c>
      <c r="AW167" s="37" t="n">
        <f aca="false">0.5*(B167-B166)*(T167+T166)</f>
        <v>4.51011931405678E-011</v>
      </c>
      <c r="AX167" s="37" t="n">
        <f aca="false">0.5*(B167-B166)*(U167+U166)</f>
        <v>3.43149198914141E-011</v>
      </c>
      <c r="AY167" s="37" t="n">
        <f aca="false">0.5*(B167-B166)*(V167+V166)</f>
        <v>4.55230326720113E-010</v>
      </c>
      <c r="AZ167" s="37" t="n">
        <f aca="false">0.5*(B167-B166)*(W167+W166)</f>
        <v>1.98492596787025E-010</v>
      </c>
      <c r="BA167" s="37" t="n">
        <f aca="false">0.5*(B167-B166)*(X167+X166)</f>
        <v>3.31761142895356E-011</v>
      </c>
      <c r="BB167" s="37" t="n">
        <f aca="false">0.5*(B167-B166)*(Y167+Y166)</f>
        <v>3.0137431372225E-011</v>
      </c>
      <c r="BC167" s="37" t="n">
        <f aca="false">0.5*(B167-B166)*(Z167+Z166)</f>
        <v>2.59691083563077E-011</v>
      </c>
      <c r="BD167" s="37" t="n">
        <f aca="false">0.5*(B167-B166)*(AA167+AA166)</f>
        <v>8.33770197135893E-010</v>
      </c>
      <c r="BE167" s="37" t="n">
        <f aca="false">IF(B167&gt;2000,AK167,-999)</f>
        <v>-999</v>
      </c>
      <c r="BF167" s="37" t="n">
        <f aca="false">IF(AND(B167&lt;1000,AK167&gt;=-3),B167,1000000000)</f>
        <v>381.092143592649</v>
      </c>
    </row>
    <row r="168" customFormat="false" ht="15" hidden="false" customHeight="false" outlineLevel="0" collapsed="false">
      <c r="A168" s="5" t="n">
        <v>129</v>
      </c>
      <c r="B168" s="47" t="n">
        <f aca="false">20*10^(A168/100)</f>
        <v>389.968919951609</v>
      </c>
      <c r="C168" s="37" t="n">
        <f aca="false">2*PI()*B168</f>
        <v>2450.24698809664</v>
      </c>
      <c r="D168" s="37" t="n">
        <f aca="false">SQRT(L_Rp0^2+L_Rp1^2*C168)</f>
        <v>79548633.8682875</v>
      </c>
      <c r="E168" s="5" t="str">
        <f aca="false">COMPLEX(D168,C168*L_Mp)</f>
        <v>79548633.8682875+36196810.644392i</v>
      </c>
      <c r="F168" s="5" t="str">
        <f aca="false">IMDIV(1,E168)</f>
        <v>1.04145863868869e-08-4.73892250632467e-09i</v>
      </c>
      <c r="G168" s="5" t="str">
        <f aca="false">COMPLEX(0,C168*L_Cf)</f>
        <v>2.5909347447358e-12i</v>
      </c>
      <c r="H168" s="5" t="str">
        <f aca="false">COMPLEX(0,C168*L_Cbv)</f>
        <v>2.5909347447358e-11i</v>
      </c>
      <c r="I168" s="5" t="str">
        <f aca="false">COMPLEX(L_Rsq+L_Rh,C168*(L_Md+L_Mh)-1/(C168*L_Cd))</f>
        <v>552400610.124532-470138589180.43i</v>
      </c>
      <c r="J168" s="5" t="str">
        <f aca="false">IMDIV(1,I168)</f>
        <v>2.49920424893923e-15+2.12702943866254e-12i</v>
      </c>
      <c r="K168" s="5" t="str">
        <f aca="false">IMSUM(F168,G168,H168)</f>
        <v>1.04145863868869e-08-4.71042222413258e-09i</v>
      </c>
      <c r="L168" s="5" t="str">
        <f aca="false">IMSUM(IMPRODUCT(IMSUM(F168,G168),H168),IMPRODUCT(IMSUM(J168,L_Yv),K168))</f>
        <v>1.53589668005539e-19+2.82554652299278e-19i</v>
      </c>
      <c r="M168" s="37" t="n">
        <f aca="false">IMABS(IMDIV(IMPRODUCT(J168,F168,H168),L168))^2</f>
        <v>3.8444681741657E-024</v>
      </c>
      <c r="N168" s="5" t="str">
        <f aca="false">IMDIV(IMPRODUCT(L_Yv,K168,E168),H168)</f>
        <v>0.00017500699451014-0.077112585155752i</v>
      </c>
      <c r="O168" s="37" t="n">
        <f aca="false">IMABS(IMSUM(1,IMPRODUCT(E168,G168),N168))^2</f>
        <v>1.00607706007839</v>
      </c>
      <c r="P168" s="37" t="n">
        <f aca="false">IMABS(N168)^2</f>
        <v>0.00594638141685123</v>
      </c>
      <c r="Q168" s="37" t="n">
        <f aca="false">p_Rb^2/(1+(C168*p_Rb*L_Ctot)^2)</f>
        <v>27456977944394500</v>
      </c>
      <c r="R168" s="37" t="n">
        <f aca="false">M168*L_Kt^2*Q168</f>
        <v>2.11849005674E-005</v>
      </c>
      <c r="S168" s="37" t="n">
        <f aca="false">L_kT4*D168</f>
        <v>1.30981757472609E-012</v>
      </c>
      <c r="T168" s="37" t="n">
        <f aca="false">L_kT4*L_Rsq*O168</f>
        <v>5.19688238513514E-012</v>
      </c>
      <c r="U168" s="37" t="n">
        <f aca="false">L_kT4*L_Rh*O168</f>
        <v>3.95401075477553E-012</v>
      </c>
      <c r="V168" s="37" t="n">
        <f aca="false">L_kT4*p_Rv*P168</f>
        <v>4.8955428315164E-011</v>
      </c>
      <c r="W168" s="37" t="n">
        <f aca="false">L_kT4/p_Rb*Q168/R168</f>
        <v>2.13404902717646E-011</v>
      </c>
      <c r="X168" s="37" t="n">
        <f aca="false">p_en^2*(1+p_fc/B168)/R168</f>
        <v>3.79570175615852E-012</v>
      </c>
      <c r="Y168" s="37" t="n">
        <f aca="false">p_in^2*Q168/R168</f>
        <v>3.2401589350207E-012</v>
      </c>
      <c r="Z168" s="37" t="n">
        <f aca="false">p_eo^2/L_G^2/R168</f>
        <v>2.99249588152422E-012</v>
      </c>
      <c r="AA168" s="37" t="n">
        <f aca="false">SUM(S168:Z168)</f>
        <v>9.07849858742688E-011</v>
      </c>
      <c r="AB168" s="47" t="n">
        <f aca="false">10*LOG10(AA168/L_PREF^2)</f>
        <v>-6.44045960990954</v>
      </c>
      <c r="AC168" s="47" t="n">
        <f aca="false">10*LOG10(S168/L_PREF^2)</f>
        <v>-24.8484917796739</v>
      </c>
      <c r="AD168" s="47" t="n">
        <f aca="false">10*LOG10(T168/L_PREF^2)</f>
        <v>-18.8631710326493</v>
      </c>
      <c r="AE168" s="47" t="n">
        <f aca="false">10*LOG10(U168/L_PREF^2)</f>
        <v>-20.050221450824</v>
      </c>
      <c r="AF168" s="47" t="n">
        <f aca="false">10*LOG10(V168/L_PREF^2)</f>
        <v>-9.12259136728856</v>
      </c>
      <c r="AG168" s="47" t="n">
        <f aca="false">10*LOG10(W168/L_PREF^2)</f>
        <v>-12.7285559873829</v>
      </c>
      <c r="AH168" s="47" t="n">
        <f aca="false">10*LOG10(X168/L_PREF^2)</f>
        <v>-20.2276791052928</v>
      </c>
      <c r="AI168" s="47" t="n">
        <f aca="false">10*LOG10(Y168/L_PREF^2)</f>
        <v>-20.914936777542</v>
      </c>
      <c r="AJ168" s="47" t="n">
        <f aca="false">10*LOG10(Z168/L_PREF^2)</f>
        <v>-21.2602642995462</v>
      </c>
      <c r="AK168" s="47" t="n">
        <f aca="false">10*LOG10(R168/$R$6)</f>
        <v>-0.0274447468797789</v>
      </c>
      <c r="AL168" s="37" t="n">
        <f aca="false">(12194^2*B168^4/((B168^2+20.6^2)*SQRT((B168^2+107.7^2)*(B168^2+737.9^2))*(B168^2+12194^2))*1.2589254)^2</f>
        <v>0.319053201256236</v>
      </c>
      <c r="AM168" s="37" t="n">
        <f aca="false">0.5*(B168-B167)*(S168*AL168+S167*AL167)</f>
        <v>3.63600435172758E-012</v>
      </c>
      <c r="AN168" s="37" t="n">
        <f aca="false">0.5*(B168-B167)*(T168*AL168+T167*AL167)</f>
        <v>1.44341465391152E-011</v>
      </c>
      <c r="AO168" s="37" t="n">
        <f aca="false">0.5*(B168-B167)*(U168*AL168+U167*AL167)</f>
        <v>1.09821170505831E-011</v>
      </c>
      <c r="AP168" s="37" t="n">
        <f aca="false">0.5*(B168-B167)*(V168*AL168+V167*AL167)</f>
        <v>1.39099274584134E-010</v>
      </c>
      <c r="AQ168" s="37" t="n">
        <f aca="false">0.5*(B168-B167)*(W168*AL168+W167*AL167)</f>
        <v>6.06406285258035E-011</v>
      </c>
      <c r="AR168" s="37" t="n">
        <f aca="false">0.5*(B168-B167)*(X168*AL168+X167*AL167)</f>
        <v>1.05668166053418E-011</v>
      </c>
      <c r="AS168" s="37" t="n">
        <f aca="false">0.5*(B168-B167)*(Y168*AL168+Y167*AL167)</f>
        <v>9.20715840362495E-012</v>
      </c>
      <c r="AT168" s="37" t="n">
        <f aca="false">0.5*(B168-B167)*(Z168*AL168+Z167*AL167)</f>
        <v>8.31141300274118E-012</v>
      </c>
      <c r="AU168" s="37" t="n">
        <f aca="false">0.5*(B168-B167)*(AA168*AL168+AA167*AL167)</f>
        <v>2.56877559063072E-010</v>
      </c>
      <c r="AV168" s="37" t="n">
        <f aca="false">0.5*(B168-B167)*(S168+S167)</f>
        <v>1.16222195004548E-011</v>
      </c>
      <c r="AW168" s="37" t="n">
        <f aca="false">0.5*(B168-B167)*(T168+T167)</f>
        <v>4.61381884760868E-011</v>
      </c>
      <c r="AX168" s="37" t="n">
        <f aca="false">0.5*(B168-B167)*(U168+U167)</f>
        <v>3.5103910367901E-011</v>
      </c>
      <c r="AY168" s="37" t="n">
        <f aca="false">0.5*(B168-B167)*(V168+V167)</f>
        <v>4.44827725872708E-010</v>
      </c>
      <c r="AZ168" s="37" t="n">
        <f aca="false">0.5*(B168-B167)*(W168+W167)</f>
        <v>1.93923917310256E-010</v>
      </c>
      <c r="BA168" s="37" t="n">
        <f aca="false">0.5*(B168-B167)*(X168+X167)</f>
        <v>3.37779967794538E-011</v>
      </c>
      <c r="BB168" s="37" t="n">
        <f aca="false">0.5*(B168-B167)*(Y168+Y167)</f>
        <v>2.94437618529504E-011</v>
      </c>
      <c r="BC168" s="37" t="n">
        <f aca="false">0.5*(B168-B167)*(Z168+Z167)</f>
        <v>2.65671001005564E-011</v>
      </c>
      <c r="BD168" s="37" t="n">
        <f aca="false">0.5*(B168-B167)*(AA168+AA167)</f>
        <v>8.21404820260367E-010</v>
      </c>
      <c r="BE168" s="37" t="n">
        <f aca="false">IF(B168&gt;2000,AK168,-999)</f>
        <v>-999</v>
      </c>
      <c r="BF168" s="37" t="n">
        <f aca="false">IF(AND(B168&lt;1000,AK168&gt;=-3),B168,1000000000)</f>
        <v>389.968919951609</v>
      </c>
    </row>
    <row r="169" customFormat="false" ht="15" hidden="false" customHeight="false" outlineLevel="0" collapsed="false">
      <c r="A169" s="5" t="n">
        <v>130</v>
      </c>
      <c r="B169" s="47" t="n">
        <f aca="false">20*10^(A169/100)</f>
        <v>399.052462993776</v>
      </c>
      <c r="C169" s="37" t="n">
        <f aca="false">2*PI()*B169</f>
        <v>2507.32057227632</v>
      </c>
      <c r="D169" s="37" t="n">
        <f aca="false">SQRT(L_Rp0^2+L_Rp1^2*C169)</f>
        <v>79614924.2285091</v>
      </c>
      <c r="E169" s="5" t="str">
        <f aca="false">COMPLEX(D169,C169*L_Mp)</f>
        <v>79614924.2285091+37039942.6753197i</v>
      </c>
      <c r="F169" s="5" t="str">
        <f aca="false">IMDIV(1,E169)</f>
        <v>1.03255289808826e-08-4.80383552770235e-09i</v>
      </c>
      <c r="G169" s="5" t="str">
        <f aca="false">COMPLEX(0,C169*L_Cf)</f>
        <v>2.65128536774486e-12i</v>
      </c>
      <c r="H169" s="5" t="str">
        <f aca="false">COMPLEX(0,C169*L_Cbv)</f>
        <v>2.65128536774487e-11i</v>
      </c>
      <c r="I169" s="5" t="str">
        <f aca="false">COMPLEX(L_Rsq+L_Rh,C169*(L_Md+L_Mh)-1/(C169*L_Cd))</f>
        <v>552400610.124532-459436503144.513i</v>
      </c>
      <c r="J169" s="5" t="str">
        <f aca="false">IMDIV(1,I169)</f>
        <v>2.61699279026311e-15+2.17657619176385e-12i</v>
      </c>
      <c r="K169" s="5" t="str">
        <f aca="false">IMSUM(F169,G169,H169)</f>
        <v>1.03255289808826e-08-4.77467138865716e-09i</v>
      </c>
      <c r="L169" s="5" t="str">
        <f aca="false">IMSUM(IMPRODUCT(IMSUM(F169,G169),H169),IMPRODUCT(IMSUM(J169,L_Yv),K169))</f>
        <v>1.58363611160201e-19+2.86671701501638e-19i</v>
      </c>
      <c r="M169" s="37" t="n">
        <f aca="false">IMABS(IMDIV(IMPRODUCT(J169,F169,H169),L169))^2</f>
        <v>4.0266379420973E-024</v>
      </c>
      <c r="N169" s="5" t="str">
        <f aca="false">IMDIV(IMPRODUCT(L_Yv,K169,E169),H169)</f>
        <v>0.000175152833302785-0.0753536208598515i</v>
      </c>
      <c r="O169" s="37" t="n">
        <f aca="false">IMABS(IMSUM(1,IMPRODUCT(E169,G169),N169))^2</f>
        <v>1.00580030583553</v>
      </c>
      <c r="P169" s="37" t="n">
        <f aca="false">IMABS(N169)^2</f>
        <v>0.00567819885520526</v>
      </c>
      <c r="Q169" s="37" t="n">
        <f aca="false">p_Rb^2/(1+(C169*p_Rb*L_Ctot)^2)</f>
        <v>26221210403854200</v>
      </c>
      <c r="R169" s="37" t="n">
        <f aca="false">M169*L_Kt^2*Q169</f>
        <v>2.11900871053623E-005</v>
      </c>
      <c r="S169" s="37" t="n">
        <f aca="false">L_kT4*D169</f>
        <v>1.31090908660544E-012</v>
      </c>
      <c r="T169" s="37" t="n">
        <f aca="false">L_kT4*L_Rsq*O169</f>
        <v>5.1954528134783E-012</v>
      </c>
      <c r="U169" s="37" t="n">
        <f aca="false">L_kT4*L_Rh*O169</f>
        <v>3.95292307541568E-012</v>
      </c>
      <c r="V169" s="37" t="n">
        <f aca="false">L_kT4*p_Rv*P169</f>
        <v>4.67475322433059E-011</v>
      </c>
      <c r="W169" s="37" t="n">
        <f aca="false">L_kT4/p_Rb*Q169/R169</f>
        <v>2.03750217552858E-011</v>
      </c>
      <c r="X169" s="37" t="n">
        <f aca="false">p_en^2*(1+p_fc/B169)/R169</f>
        <v>3.77714310838385E-012</v>
      </c>
      <c r="Y169" s="37" t="n">
        <f aca="false">p_in^2*Q169/R169</f>
        <v>3.09357038900735E-012</v>
      </c>
      <c r="Z169" s="37" t="n">
        <f aca="false">p_eo^2/L_G^2/R169</f>
        <v>2.9917634308545E-012</v>
      </c>
      <c r="AA169" s="37" t="n">
        <f aca="false">SUM(S169:Z169)</f>
        <v>8.74443159023368E-011</v>
      </c>
      <c r="AB169" s="47" t="n">
        <f aca="false">10*LOG10(AA169/L_PREF^2)</f>
        <v>-6.60328406815493</v>
      </c>
      <c r="AC169" s="47" t="n">
        <f aca="false">10*LOG10(S169/L_PREF^2)</f>
        <v>-24.8448741752855</v>
      </c>
      <c r="AD169" s="47" t="n">
        <f aca="false">10*LOG10(T169/L_PREF^2)</f>
        <v>-18.8643658653295</v>
      </c>
      <c r="AE169" s="47" t="n">
        <f aca="false">10*LOG10(U169/L_PREF^2)</f>
        <v>-20.0514162835042</v>
      </c>
      <c r="AF169" s="47" t="n">
        <f aca="false">10*LOG10(V169/L_PREF^2)</f>
        <v>-9.32301301497016</v>
      </c>
      <c r="AG169" s="47" t="n">
        <f aca="false">10*LOG10(W169/L_PREF^2)</f>
        <v>-12.9296191020083</v>
      </c>
      <c r="AH169" s="47" t="n">
        <f aca="false">10*LOG10(X169/L_PREF^2)</f>
        <v>-20.2489655164102</v>
      </c>
      <c r="AI169" s="47" t="n">
        <f aca="false">10*LOG10(Y169/L_PREF^2)</f>
        <v>-21.1159998921675</v>
      </c>
      <c r="AJ169" s="47" t="n">
        <f aca="false">10*LOG10(Z169/L_PREF^2)</f>
        <v>-21.2613274195386</v>
      </c>
      <c r="AK169" s="47" t="n">
        <f aca="false">10*LOG10(R169/$R$6)</f>
        <v>-0.0263816268874556</v>
      </c>
      <c r="AL169" s="37" t="n">
        <f aca="false">(12194^2*B169^4/((B169^2+20.6^2)*SQRT((B169^2+107.7^2)*(B169^2+737.9^2))*(B169^2+12194^2))*1.2589254)^2</f>
        <v>0.331796522778385</v>
      </c>
      <c r="AM169" s="37" t="n">
        <f aca="false">0.5*(B169-B168)*(S169*AL169+S168*AL168)</f>
        <v>3.87347966708048E-012</v>
      </c>
      <c r="AN169" s="37" t="n">
        <f aca="false">0.5*(B169-B168)*(T169*AL169+T168*AL168)</f>
        <v>1.53598858663972E-011</v>
      </c>
      <c r="AO169" s="37" t="n">
        <f aca="false">0.5*(B169-B168)*(U169*AL169+U168*AL168)</f>
        <v>1.1686459189759E-011</v>
      </c>
      <c r="AP169" s="37" t="n">
        <f aca="false">0.5*(B169-B168)*(V169*AL169+V168*AL168)</f>
        <v>1.41385596202439E-010</v>
      </c>
      <c r="AQ169" s="37" t="n">
        <f aca="false">0.5*(B169-B168)*(W169*AL169+W168*AL168)</f>
        <v>6.16278114781025E-011</v>
      </c>
      <c r="AR169" s="37" t="n">
        <f aca="false">0.5*(B169-B168)*(X169*AL169+X168*AL168)</f>
        <v>1.11921683184392E-011</v>
      </c>
      <c r="AS169" s="37" t="n">
        <f aca="false">0.5*(B169-B168)*(Y169*AL169+Y168*AL168)</f>
        <v>9.35704388529186E-012</v>
      </c>
      <c r="AT169" s="37" t="n">
        <f aca="false">0.5*(B169-B168)*(Z169*AL169+Z168*AL168)</f>
        <v>8.84474620641874E-012</v>
      </c>
      <c r="AU169" s="37" t="n">
        <f aca="false">0.5*(B169-B168)*(AA169*AL169+AA168*AL168)</f>
        <v>2.63327190813928E-010</v>
      </c>
      <c r="AV169" s="37" t="n">
        <f aca="false">0.5*(B169-B168)*(S169+S168)</f>
        <v>1.19027417149796E-011</v>
      </c>
      <c r="AW169" s="37" t="n">
        <f aca="false">0.5*(B169-B168)*(T169+T168)</f>
        <v>4.71996120426155E-011</v>
      </c>
      <c r="AX169" s="37" t="n">
        <f aca="false">0.5*(B169-B168)*(U169+U168)</f>
        <v>3.59114868890536E-011</v>
      </c>
      <c r="AY169" s="37" t="n">
        <f aca="false">0.5*(B169-B168)*(V169+V168)</f>
        <v>4.3466098074783E-010</v>
      </c>
      <c r="AZ169" s="37" t="n">
        <f aca="false">0.5*(B169-B168)*(W169+W168)</f>
        <v>1.89462324511871E-010</v>
      </c>
      <c r="BA169" s="37" t="n">
        <f aca="false">0.5*(B169-B168)*(X169+X168)</f>
        <v>3.43941311393614E-011</v>
      </c>
      <c r="BB169" s="37" t="n">
        <f aca="false">0.5*(B169-B168)*(Y169+Y168)</f>
        <v>2.87663514661217E-011</v>
      </c>
      <c r="BC169" s="37" t="n">
        <f aca="false">0.5*(B169-B168)*(Z169+Z168)</f>
        <v>2.717913851974E-011</v>
      </c>
      <c r="BD169" s="37" t="n">
        <f aca="false">0.5*(B169-B168)*(AA169+AA168)</f>
        <v>8.09476767031572E-010</v>
      </c>
      <c r="BE169" s="37" t="n">
        <f aca="false">IF(B169&gt;2000,AK169,-999)</f>
        <v>-999</v>
      </c>
      <c r="BF169" s="37" t="n">
        <f aca="false">IF(AND(B169&lt;1000,AK169&gt;=-3),B169,1000000000)</f>
        <v>399.052462993776</v>
      </c>
    </row>
    <row r="170" customFormat="false" ht="15" hidden="false" customHeight="false" outlineLevel="0" collapsed="false">
      <c r="A170" s="5" t="n">
        <v>131</v>
      </c>
      <c r="B170" s="47" t="n">
        <f aca="false">20*10^(A170/100)</f>
        <v>408.347588933906</v>
      </c>
      <c r="C170" s="37" t="n">
        <f aca="false">2*PI()*B170</f>
        <v>2565.72357101173</v>
      </c>
      <c r="D170" s="37" t="n">
        <f aca="false">SQRT(L_Rp0^2+L_Rp1^2*C170)</f>
        <v>79682701.598884</v>
      </c>
      <c r="E170" s="5" t="str">
        <f aca="false">COMPLEX(D170,C170*L_Mp)</f>
        <v>79682701.598884+37902713.7741355i</v>
      </c>
      <c r="F170" s="5" t="str">
        <f aca="false">IMDIV(1,E170)</f>
        <v>1.02341673733643e-08-4.86809193069147e-09i</v>
      </c>
      <c r="G170" s="5" t="str">
        <f aca="false">COMPLEX(0,C170*L_Cf)</f>
        <v>2.71304173734982e-12i</v>
      </c>
      <c r="H170" s="5" t="str">
        <f aca="false">COMPLEX(0,C170*L_Cbv)</f>
        <v>2.71304173734982e-11i</v>
      </c>
      <c r="I170" s="5" t="str">
        <f aca="false">COMPLEX(L_Rsq+L_Rh,C170*(L_Md+L_Mh)-1/(C170*L_Cd))</f>
        <v>552400610.124532-448978016423.925i</v>
      </c>
      <c r="J170" s="5" t="str">
        <f aca="false">IMDIV(1,I170)</f>
        <v>2.74033298544901e-15+2.22727717094769e-12i</v>
      </c>
      <c r="K170" s="5" t="str">
        <f aca="false">IMSUM(F170,G170,H170)</f>
        <v>1.02341673733643e-08-4.83824847158062e-09i</v>
      </c>
      <c r="L170" s="5" t="str">
        <f aca="false">IMSUM(IMPRODUCT(IMSUM(F170,G170),H170),IMPRODUCT(IMSUM(J170,L_Yv),K170))</f>
        <v>1.63272260078817e-19+2.90761804308923e-19i</v>
      </c>
      <c r="M170" s="37" t="n">
        <f aca="false">IMABS(IMDIV(IMPRODUCT(J170,F170,H170),L170))^2</f>
        <v>4.21740015773985E-024</v>
      </c>
      <c r="N170" s="5" t="str">
        <f aca="false">IMDIV(IMPRODUCT(L_Yv,K170,E170),H170)</f>
        <v>0.000175301943517533-0.0736346100511535i</v>
      </c>
      <c r="O170" s="37" t="n">
        <f aca="false">IMABS(IMSUM(1,IMPRODUCT(E170,G170),N170))^2</f>
        <v>1.00553521135492</v>
      </c>
      <c r="P170" s="37" t="n">
        <f aca="false">IMABS(N170)^2</f>
        <v>0.00542208652815684</v>
      </c>
      <c r="Q170" s="37" t="n">
        <f aca="false">p_Rb^2/(1+(C170*p_Rb*L_Ctot)^2)</f>
        <v>25041061561741000</v>
      </c>
      <c r="R170" s="37" t="n">
        <f aca="false">M170*L_Kt^2*Q170</f>
        <v>2.1195075646613E-005</v>
      </c>
      <c r="S170" s="37" t="n">
        <f aca="false">L_kT4*D170</f>
        <v>1.31202508302887E-012</v>
      </c>
      <c r="T170" s="37" t="n">
        <f aca="false">L_kT4*L_Rsq*O170</f>
        <v>5.19408347022281E-012</v>
      </c>
      <c r="U170" s="37" t="n">
        <f aca="false">L_kT4*L_Rh*O170</f>
        <v>3.95188122040379E-012</v>
      </c>
      <c r="V170" s="37" t="n">
        <f aca="false">L_kT4*p_Rv*P170</f>
        <v>4.46390081193878E-011</v>
      </c>
      <c r="W170" s="37" t="n">
        <f aca="false">L_kT4/p_Rb*Q170/R170</f>
        <v>1.94534150429916E-011</v>
      </c>
      <c r="X170" s="37" t="n">
        <f aca="false">p_en^2*(1+p_fc/B170)/R170</f>
        <v>3.75902985901926E-012</v>
      </c>
      <c r="Y170" s="37" t="n">
        <f aca="false">p_in^2*Q170/R170</f>
        <v>2.95364144710455E-012</v>
      </c>
      <c r="Z170" s="37" t="n">
        <f aca="false">p_eo^2/L_G^2/R170</f>
        <v>2.99105927978017E-012</v>
      </c>
      <c r="AA170" s="37" t="n">
        <f aca="false">SUM(S170:Z170)</f>
        <v>8.42541435219388E-011</v>
      </c>
      <c r="AB170" s="47" t="n">
        <f aca="false">10*LOG10(AA170/L_PREF^2)</f>
        <v>-6.76468723155933</v>
      </c>
      <c r="AC170" s="47" t="n">
        <f aca="false">10*LOG10(S170/L_PREF^2)</f>
        <v>-24.8411785345532</v>
      </c>
      <c r="AD170" s="47" t="n">
        <f aca="false">10*LOG10(T170/L_PREF^2)</f>
        <v>-18.8655106675746</v>
      </c>
      <c r="AE170" s="47" t="n">
        <f aca="false">10*LOG10(U170/L_PREF^2)</f>
        <v>-20.0525610857493</v>
      </c>
      <c r="AF170" s="47" t="n">
        <f aca="false">10*LOG10(V170/L_PREF^2)</f>
        <v>-9.52345455332634</v>
      </c>
      <c r="AG170" s="47" t="n">
        <f aca="false">10*LOG10(W170/L_PREF^2)</f>
        <v>-13.130641386669</v>
      </c>
      <c r="AH170" s="47" t="n">
        <f aca="false">10*LOG10(X170/L_PREF^2)</f>
        <v>-20.2698421587864</v>
      </c>
      <c r="AI170" s="47" t="n">
        <f aca="false">10*LOG10(Y170/L_PREF^2)</f>
        <v>-21.3170221768281</v>
      </c>
      <c r="AJ170" s="47" t="n">
        <f aca="false">10*LOG10(Z170/L_PREF^2)</f>
        <v>-21.2623497093245</v>
      </c>
      <c r="AK170" s="47" t="n">
        <f aca="false">10*LOG10(R170/$R$6)</f>
        <v>-0.0253593371014697</v>
      </c>
      <c r="AL170" s="37" t="n">
        <f aca="false">(12194^2*B170^4/((B170^2+20.6^2)*SQRT((B170^2+107.7^2)*(B170^2+737.9^2))*(B170^2+12194^2))*1.2589254)^2</f>
        <v>0.34486899876137</v>
      </c>
      <c r="AM170" s="37" t="n">
        <f aca="false">0.5*(B170-B169)*(S170*AL170+S169*AL169)</f>
        <v>4.12439542007741E-012</v>
      </c>
      <c r="AN170" s="37" t="n">
        <f aca="false">0.5*(B170-B169)*(T170*AL170+T169*AL169)</f>
        <v>1.63367022458227E-011</v>
      </c>
      <c r="AO170" s="37" t="n">
        <f aca="false">0.5*(B170-B169)*(U170*AL170+U169*AL169)</f>
        <v>1.24296629383635E-011</v>
      </c>
      <c r="AP170" s="37" t="n">
        <f aca="false">0.5*(B170-B169)*(V170*AL170+V169*AL169)</f>
        <v>1.43634228784945E-010</v>
      </c>
      <c r="AQ170" s="37" t="n">
        <f aca="false">0.5*(B170-B169)*(W170*AL170+W169*AL169)</f>
        <v>6.25991463492558E-011</v>
      </c>
      <c r="AR170" s="37" t="n">
        <f aca="false">0.5*(B170-B169)*(X170*AL170+X169*AL169)</f>
        <v>1.1849500041284E-011</v>
      </c>
      <c r="AS170" s="37" t="n">
        <f aca="false">0.5*(B170-B169)*(Y170*AL170+Y169*AL169)</f>
        <v>9.50452312881368E-012</v>
      </c>
      <c r="AT170" s="37" t="n">
        <f aca="false">0.5*(B170-B169)*(Z170*AL170+Z169*AL169)</f>
        <v>9.40750551105881E-012</v>
      </c>
      <c r="AU170" s="37" t="n">
        <f aca="false">0.5*(B170-B169)*(AA170*AL170+AA169*AL169)</f>
        <v>2.6988566441962E-010</v>
      </c>
      <c r="AV170" s="37" t="n">
        <f aca="false">0.5*(B170-B169)*(S170+S169)</f>
        <v>1.21902517197105E-011</v>
      </c>
      <c r="AW170" s="37" t="n">
        <f aca="false">0.5*(B170-B169)*(T170+T169)</f>
        <v>4.82860241082757E-011</v>
      </c>
      <c r="AX170" s="37" t="n">
        <f aca="false">0.5*(B170-B169)*(U170+U169)</f>
        <v>3.67380757308611E-011</v>
      </c>
      <c r="AY170" s="37" t="n">
        <f aca="false">0.5*(B170-B169)*(V170+V169)</f>
        <v>4.24724700952003E-010</v>
      </c>
      <c r="AZ170" s="37" t="n">
        <f aca="false">0.5*(B170-B169)*(W170+W169)</f>
        <v>1.85105168019247E-010</v>
      </c>
      <c r="BA170" s="37" t="n">
        <f aca="false">0.5*(B170-B169)*(X170+X169)</f>
        <v>3.50248384193073E-011</v>
      </c>
      <c r="BB170" s="37" t="n">
        <f aca="false">0.5*(B170-B169)*(Y170+Y169)</f>
        <v>2.81047978016523E-011</v>
      </c>
      <c r="BC170" s="37" t="n">
        <f aca="false">0.5*(B170-B169)*(Z170+Z169)</f>
        <v>2.78055452864094E-011</v>
      </c>
      <c r="BD170" s="37" t="n">
        <f aca="false">0.5*(B170-B169)*(AA170+AA169)</f>
        <v>7.97979402037466E-010</v>
      </c>
      <c r="BE170" s="37" t="n">
        <f aca="false">IF(B170&gt;2000,AK170,-999)</f>
        <v>-999</v>
      </c>
      <c r="BF170" s="37" t="n">
        <f aca="false">IF(AND(B170&lt;1000,AK170&gt;=-3),B170,1000000000)</f>
        <v>408.347588933906</v>
      </c>
    </row>
    <row r="171" customFormat="false" ht="15" hidden="false" customHeight="false" outlineLevel="0" collapsed="false">
      <c r="A171" s="5" t="n">
        <v>132</v>
      </c>
      <c r="B171" s="47" t="n">
        <f aca="false">20*10^(A171/100)</f>
        <v>417.859226170808</v>
      </c>
      <c r="C171" s="37" t="n">
        <f aca="false">2*PI()*B171</f>
        <v>2625.48695034585</v>
      </c>
      <c r="D171" s="37" t="n">
        <f aca="false">SQRT(L_Rp0^2+L_Rp1^2*C171)</f>
        <v>79751998.078168</v>
      </c>
      <c r="E171" s="5" t="str">
        <f aca="false">COMPLEX(D171,C171*L_Mp)</f>
        <v>79751998.078168+38785581.3934961i</v>
      </c>
      <c r="F171" s="5" t="str">
        <f aca="false">IMDIV(1,E171)</f>
        <v>1.01404977315076e-08-4.93160183586194e-09i</v>
      </c>
      <c r="G171" s="5" t="str">
        <f aca="false">COMPLEX(0,C171*L_Cf)</f>
        <v>2.77623659759527e-12i</v>
      </c>
      <c r="H171" s="5" t="str">
        <f aca="false">COMPLEX(0,C171*L_Cbv)</f>
        <v>2.77623659759528e-11i</v>
      </c>
      <c r="I171" s="5" t="str">
        <f aca="false">COMPLEX(L_Rsq+L_Rh,C171*(L_Md+L_Mh)-1/(C171*L_Cd))</f>
        <v>552400610.124532-438757583790.571i</v>
      </c>
      <c r="J171" s="5" t="str">
        <f aca="false">IMDIV(1,I171)</f>
        <v>2.86948651938993e-15+2.27915927117335e-12i</v>
      </c>
      <c r="K171" s="5" t="str">
        <f aca="false">IMSUM(F171,G171,H171)</f>
        <v>1.01404977315076e-08-4.90106323328839e-09i</v>
      </c>
      <c r="L171" s="5" t="str">
        <f aca="false">IMSUM(IMPRODUCT(IMSUM(F171,G171),H171),IMPRODUCT(IMSUM(J171,L_Yv),K171))</f>
        <v>1.68316257309733e-19+2.94819828618055e-19i</v>
      </c>
      <c r="M171" s="37" t="n">
        <f aca="false">IMABS(IMDIV(IMPRODUCT(J171,F171,H171),L171))^2</f>
        <v>4.41716039536731E-024</v>
      </c>
      <c r="N171" s="5" t="str">
        <f aca="false">IMDIV(IMPRODUCT(L_Yv,K171,E171),H171)</f>
        <v>0.000175454395771934-0.071954641287374i</v>
      </c>
      <c r="O171" s="37" t="n">
        <f aca="false">IMABS(IMSUM(1,IMPRODUCT(E171,G171),N171))^2</f>
        <v>1.00528121389542</v>
      </c>
      <c r="P171" s="37" t="n">
        <f aca="false">IMABS(N171)^2</f>
        <v>0.00517750118703966</v>
      </c>
      <c r="Q171" s="37" t="n">
        <f aca="false">p_Rb^2/(1+(C171*p_Rb*L_Ctot)^2)</f>
        <v>23914028164521000</v>
      </c>
      <c r="R171" s="37" t="n">
        <f aca="false">M171*L_Kt^2*Q171</f>
        <v>2.11998765057465E-005</v>
      </c>
      <c r="S171" s="37" t="n">
        <f aca="false">L_kT4*D171</f>
        <v>1.31316609252229E-012</v>
      </c>
      <c r="T171" s="37" t="n">
        <f aca="false">L_kT4*L_Rsq*O171</f>
        <v>5.19277144853432E-012</v>
      </c>
      <c r="U171" s="37" t="n">
        <f aca="false">L_kT4*L_Rh*O171</f>
        <v>3.95088297809574E-012</v>
      </c>
      <c r="V171" s="37" t="n">
        <f aca="false">L_kT4*p_Rv*P171</f>
        <v>4.26253834803645E-011</v>
      </c>
      <c r="W171" s="37" t="n">
        <f aca="false">L_kT4/p_Rb*Q171/R171</f>
        <v>1.85736600728689E-011</v>
      </c>
      <c r="X171" s="37" t="n">
        <f aca="false">p_en^2*(1+p_fc/B171)/R171</f>
        <v>3.74135023535749E-012</v>
      </c>
      <c r="Y171" s="37" t="n">
        <f aca="false">p_in^2*Q171/R171</f>
        <v>2.82006691855478E-012</v>
      </c>
      <c r="Z171" s="37" t="n">
        <f aca="false">p_eo^2/L_G^2/R171</f>
        <v>2.99038193365231E-012</v>
      </c>
      <c r="AA171" s="37" t="n">
        <f aca="false">SUM(S171:Z171)</f>
        <v>8.12076631599503E-011</v>
      </c>
      <c r="AB171" s="47" t="n">
        <f aca="false">10*LOG10(AA171/L_PREF^2)</f>
        <v>-6.92462977960569</v>
      </c>
      <c r="AC171" s="47" t="n">
        <f aca="false">10*LOG10(S171/L_PREF^2)</f>
        <v>-24.8374033111515</v>
      </c>
      <c r="AD171" s="47" t="n">
        <f aca="false">10*LOG10(T171/L_PREF^2)</f>
        <v>-18.866607830839</v>
      </c>
      <c r="AE171" s="47" t="n">
        <f aca="false">10*LOG10(U171/L_PREF^2)</f>
        <v>-20.0536582490137</v>
      </c>
      <c r="AF171" s="47" t="n">
        <f aca="false">10*LOG10(V171/L_PREF^2)</f>
        <v>-9.72391692168298</v>
      </c>
      <c r="AG171" s="47" t="n">
        <f aca="false">10*LOG10(W171/L_PREF^2)</f>
        <v>-13.3316249831387</v>
      </c>
      <c r="AH171" s="47" t="n">
        <f aca="false">10*LOG10(X171/L_PREF^2)</f>
        <v>-20.2903162604249</v>
      </c>
      <c r="AI171" s="47" t="n">
        <f aca="false">10*LOG10(Y171/L_PREF^2)</f>
        <v>-21.5180057732979</v>
      </c>
      <c r="AJ171" s="47" t="n">
        <f aca="false">10*LOG10(Z171/L_PREF^2)</f>
        <v>-21.2633333106889</v>
      </c>
      <c r="AK171" s="47" t="n">
        <f aca="false">10*LOG10(R171/$R$6)</f>
        <v>-0.0243757357370967</v>
      </c>
      <c r="AL171" s="37" t="n">
        <f aca="false">(12194^2*B171^4/((B171^2+20.6^2)*SQRT((B171^2+107.7^2)*(B171^2+737.9^2))*(B171^2+12194^2))*1.2589254)^2</f>
        <v>0.35826834515462</v>
      </c>
      <c r="AM171" s="37" t="n">
        <f aca="false">0.5*(B171-B170)*(S171*AL171+S170*AL170)</f>
        <v>4.38934769412738E-012</v>
      </c>
      <c r="AN171" s="37" t="n">
        <f aca="false">0.5*(B171-B170)*(T171*AL171+T170*AL170)</f>
        <v>1.73667467534802E-011</v>
      </c>
      <c r="AO171" s="37" t="n">
        <f aca="false">0.5*(B171-B170)*(U171*AL171+U170*AL170)</f>
        <v>1.32133649272376E-011</v>
      </c>
      <c r="AP171" s="37" t="n">
        <f aca="false">0.5*(B171-B170)*(V171*AL171+V170*AL170)</f>
        <v>1.45841627654309E-010</v>
      </c>
      <c r="AQ171" s="37" t="n">
        <f aca="false">0.5*(B171-B170)*(W171*AL171+W170*AL170)</f>
        <v>6.35531181353843E-011</v>
      </c>
      <c r="AR171" s="37" t="n">
        <f aca="false">0.5*(B171-B170)*(X171*AL171+X170*AL170)</f>
        <v>1.2540048469029E-011</v>
      </c>
      <c r="AS171" s="37" t="n">
        <f aca="false">0.5*(B171-B170)*(Y171*AL171+Y170*AL170)</f>
        <v>9.64936610885859E-012</v>
      </c>
      <c r="AT171" s="37" t="n">
        <f aca="false">0.5*(B171-B170)*(Z171*AL171+Z170*AL170)</f>
        <v>1.00009292002611E-011</v>
      </c>
      <c r="AU171" s="37" t="n">
        <f aca="false">0.5*(B171-B170)*(AA171*AL171+AA170*AL170)</f>
        <v>2.76554548942687E-010</v>
      </c>
      <c r="AV171" s="37" t="n">
        <f aca="false">0.5*(B171-B170)*(S171+S170)</f>
        <v>1.24849330696795E-011</v>
      </c>
      <c r="AW171" s="37" t="n">
        <f aca="false">0.5*(B171-B170)*(T171+T170)</f>
        <v>4.93979980097745E-011</v>
      </c>
      <c r="AX171" s="37" t="n">
        <f aca="false">0.5*(B171-B170)*(U171+U170)</f>
        <v>3.7584113112452E-011</v>
      </c>
      <c r="AY171" s="37" t="n">
        <f aca="false">0.5*(B171-B170)*(V171+V170)</f>
        <v>4.15013618297901E-010</v>
      </c>
      <c r="AZ171" s="37" t="n">
        <f aca="false">0.5*(B171-B170)*(W171+W170)</f>
        <v>1.80849871841244E-010</v>
      </c>
      <c r="BA171" s="37" t="n">
        <f aca="false">0.5*(B171-B170)*(X171+X170)</f>
        <v>3.56704472982962E-011</v>
      </c>
      <c r="BB171" s="37" t="n">
        <f aca="false">0.5*(B171-B170)*(Y171+Y170)</f>
        <v>2.7458709742909E-011</v>
      </c>
      <c r="BC171" s="37" t="n">
        <f aca="false">0.5*(B171-B170)*(Z171+Z170)</f>
        <v>2.84466494880124E-011</v>
      </c>
      <c r="BD171" s="37" t="n">
        <f aca="false">0.5*(B171-B170)*(AA171+AA170)</f>
        <v>7.86906340860269E-010</v>
      </c>
      <c r="BE171" s="37" t="n">
        <f aca="false">IF(B171&gt;2000,AK171,-999)</f>
        <v>-999</v>
      </c>
      <c r="BF171" s="37" t="n">
        <f aca="false">IF(AND(B171&lt;1000,AK171&gt;=-3),B171,1000000000)</f>
        <v>417.859226170808</v>
      </c>
    </row>
    <row r="172" customFormat="false" ht="15" hidden="false" customHeight="false" outlineLevel="0" collapsed="false">
      <c r="A172" s="5" t="n">
        <v>133</v>
      </c>
      <c r="B172" s="47" t="n">
        <f aca="false">20*10^(A172/100)</f>
        <v>427.592417900447</v>
      </c>
      <c r="C172" s="37" t="n">
        <f aca="false">2*PI()*B172</f>
        <v>2686.64239761348</v>
      </c>
      <c r="D172" s="37" t="n">
        <f aca="false">SQRT(L_Rp0^2+L_Rp1^2*C172)</f>
        <v>79822846.4033742</v>
      </c>
      <c r="E172" s="5" t="str">
        <f aca="false">COMPLEX(D172,C172*L_Mp)</f>
        <v>79822846.4033742+39689013.6414993i</v>
      </c>
      <c r="F172" s="5" t="str">
        <f aca="false">IMDIV(1,E172)</f>
        <v>1.00445205149603e-08-4.99427331526136e-09i</v>
      </c>
      <c r="G172" s="5" t="str">
        <f aca="false">COMPLEX(0,C172*L_Cf)</f>
        <v>2.84090345523261e-12i</v>
      </c>
      <c r="H172" s="5" t="str">
        <f aca="false">COMPLEX(0,C172*L_Cbv)</f>
        <v>2.84090345523261e-11i</v>
      </c>
      <c r="I172" s="5" t="str">
        <f aca="false">COMPLEX(L_Rsq+L_Rh,C172*(L_Md+L_Mh)-1/(C172*L_Cd))</f>
        <v>552400610.124532-428769786235.786i</v>
      </c>
      <c r="J172" s="5" t="str">
        <f aca="false">IMDIV(1,I172)</f>
        <v>3.00472741400568e-15+2.33225001454937e-12i</v>
      </c>
      <c r="K172" s="5" t="str">
        <f aca="false">IMSUM(F172,G172,H172)</f>
        <v>1.00445205149603e-08-4.9630233772538e-09i</v>
      </c>
      <c r="L172" s="5" t="str">
        <f aca="false">IMSUM(IMPRODUCT(IMSUM(F172,G172),H172),IMPRODUCT(IMSUM(J172,L_Yv),K172))</f>
        <v>1.73496009272482e-19+2.98840504201307e-19i</v>
      </c>
      <c r="M172" s="37" t="n">
        <f aca="false">IMABS(IMDIV(IMPRODUCT(J172,F172,H172),L172))^2</f>
        <v>4.62634340635306E-024</v>
      </c>
      <c r="N172" s="5" t="str">
        <f aca="false">IMDIV(IMPRODUCT(L_Yv,K172,E172),H172)</f>
        <v>0.000175610262087493-0.0703128238268377i</v>
      </c>
      <c r="O172" s="37" t="n">
        <f aca="false">IMABS(IMSUM(1,IMPRODUCT(E172,G172),N172))^2</f>
        <v>1.00503777424445</v>
      </c>
      <c r="P172" s="37" t="n">
        <f aca="false">IMABS(N172)^2</f>
        <v>0.00494392403346807</v>
      </c>
      <c r="Q172" s="37" t="n">
        <f aca="false">p_Rb^2/(1+(C172*p_Rb*L_Ctot)^2)</f>
        <v>22837719623605800</v>
      </c>
      <c r="R172" s="37" t="n">
        <f aca="false">M172*L_Kt^2*Q172</f>
        <v>2.12044996236579E-005</v>
      </c>
      <c r="S172" s="37" t="n">
        <f aca="false">L_kT4*D172</f>
        <v>1.31433265412093E-012</v>
      </c>
      <c r="T172" s="37" t="n">
        <f aca="false">L_kT4*L_Rsq*O172</f>
        <v>5.19151396311477E-012</v>
      </c>
      <c r="U172" s="37" t="n">
        <f aca="false">L_kT4*L_Rh*O172</f>
        <v>3.94992622931745E-012</v>
      </c>
      <c r="V172" s="37" t="n">
        <f aca="false">L_kT4*p_Rv*P172</f>
        <v>4.07023871577052E-011</v>
      </c>
      <c r="W172" s="37" t="n">
        <f aca="false">L_kT4/p_Rb*Q172/R172</f>
        <v>1.77338404144897E-011</v>
      </c>
      <c r="X172" s="37" t="n">
        <f aca="false">p_en^2*(1+p_fc/B172)/R172</f>
        <v>3.72409280684399E-012</v>
      </c>
      <c r="Y172" s="37" t="n">
        <f aca="false">p_in^2*Q172/R172</f>
        <v>2.6925558288258E-012</v>
      </c>
      <c r="Z172" s="37" t="n">
        <f aca="false">p_eo^2/L_G^2/R172</f>
        <v>2.98972995466084E-012</v>
      </c>
      <c r="AA172" s="37" t="n">
        <f aca="false">SUM(S172:Z172)</f>
        <v>7.82983790090787E-011</v>
      </c>
      <c r="AB172" s="47" t="n">
        <f aca="false">10*LOG10(AA172/L_PREF^2)</f>
        <v>-7.0830722026235</v>
      </c>
      <c r="AC172" s="47" t="n">
        <f aca="false">10*LOG10(S172/L_PREF^2)</f>
        <v>-24.8335469340626</v>
      </c>
      <c r="AD172" s="47" t="n">
        <f aca="false">10*LOG10(T172/L_PREF^2)</f>
        <v>-18.8676596489657</v>
      </c>
      <c r="AE172" s="47" t="n">
        <f aca="false">10*LOG10(U172/L_PREF^2)</f>
        <v>-20.0547100671404</v>
      </c>
      <c r="AF172" s="47" t="n">
        <f aca="false">10*LOG10(V172/L_PREF^2)</f>
        <v>-9.92440110382433</v>
      </c>
      <c r="AG172" s="47" t="n">
        <f aca="false">10*LOG10(W172/L_PREF^2)</f>
        <v>-13.5325719536539</v>
      </c>
      <c r="AH172" s="47" t="n">
        <f aca="false">10*LOG10(X172/L_PREF^2)</f>
        <v>-20.3103949597945</v>
      </c>
      <c r="AI172" s="47" t="n">
        <f aca="false">10*LOG10(Y172/L_PREF^2)</f>
        <v>-21.718952743813</v>
      </c>
      <c r="AJ172" s="47" t="n">
        <f aca="false">10*LOG10(Z172/L_PREF^2)</f>
        <v>-21.2642802858784</v>
      </c>
      <c r="AK172" s="47" t="n">
        <f aca="false">10*LOG10(R172/$R$6)</f>
        <v>-0.0234287605475933</v>
      </c>
      <c r="AL172" s="37" t="n">
        <f aca="false">(12194^2*B172^4/((B172^2+20.6^2)*SQRT((B172^2+107.7^2)*(B172^2+737.9^2))*(B172^2+12194^2))*1.2589254)^2</f>
        <v>0.371991456892207</v>
      </c>
      <c r="AM172" s="37" t="n">
        <f aca="false">0.5*(B172-B171)*(S172*AL172+S171*AL171)</f>
        <v>4.66894570075226E-012</v>
      </c>
      <c r="AN172" s="37" t="n">
        <f aca="false">0.5*(B172-B171)*(T172*AL172+T171*AL171)</f>
        <v>1.84522066651381E-011</v>
      </c>
      <c r="AO172" s="37" t="n">
        <f aca="false">0.5*(B172-B171)*(U172*AL172+U171*AL171)</f>
        <v>1.40392293294895E-011</v>
      </c>
      <c r="AP172" s="37" t="n">
        <f aca="false">0.5*(B172-B171)*(V172*AL172+V171*AL171)</f>
        <v>1.48004207463258E-010</v>
      </c>
      <c r="AQ172" s="37" t="n">
        <f aca="false">0.5*(B172-B171)*(W172*AL172+W171*AL171)</f>
        <v>6.44881941950974E-011</v>
      </c>
      <c r="AR172" s="37" t="n">
        <f aca="false">0.5*(B172-B171)*(X172*AL172+X171*AL171)</f>
        <v>1.32650656019634E-011</v>
      </c>
      <c r="AS172" s="37" t="n">
        <f aca="false">0.5*(B172-B171)*(Y172*AL172+Y171*AL171)</f>
        <v>9.79134012216475E-012</v>
      </c>
      <c r="AT172" s="37" t="n">
        <f aca="false">0.5*(B172-B171)*(Z172*AL172+Z171*AL171)</f>
        <v>1.06262762529516E-011</v>
      </c>
      <c r="AU172" s="37" t="n">
        <f aca="false">0.5*(B172-B171)*(AA172*AL172+AA171*AL171)</f>
        <v>2.83335465330815E-010</v>
      </c>
      <c r="AV172" s="37" t="n">
        <f aca="false">0.5*(B172-B171)*(S172+S171)</f>
        <v>1.27869745352318E-011</v>
      </c>
      <c r="AW172" s="37" t="n">
        <f aca="false">0.5*(B172-B171)*(T172+T171)</f>
        <v>5.05361204434347E-011</v>
      </c>
      <c r="AX172" s="37" t="n">
        <f aca="false">0.5*(B172-B171)*(U172+U171)</f>
        <v>3.84500454175232E-011</v>
      </c>
      <c r="AY172" s="37" t="n">
        <f aca="false">0.5*(B172-B171)*(V172+V171)</f>
        <v>4.0552258401184E-010</v>
      </c>
      <c r="AZ172" s="37" t="n">
        <f aca="false">0.5*(B172-B171)*(W172+W171)</f>
        <v>1.76693931733703E-010</v>
      </c>
      <c r="BA172" s="37" t="n">
        <f aca="false">0.5*(B172-B171)*(X172+X171)</f>
        <v>3.63312942382217E-011</v>
      </c>
      <c r="BB172" s="37" t="n">
        <f aca="false">0.5*(B172-B171)*(Y172+Y171)</f>
        <v>2.68277070667111E-011</v>
      </c>
      <c r="BC172" s="37" t="n">
        <f aca="false">0.5*(B172-B171)*(Z172+Z171)</f>
        <v>2.91027877868215E-011</v>
      </c>
      <c r="BD172" s="37" t="n">
        <f aca="false">0.5*(B172-B171)*(AA172+AA171)</f>
        <v>7.76251445233488E-010</v>
      </c>
      <c r="BE172" s="37" t="n">
        <f aca="false">IF(B172&gt;2000,AK172,-999)</f>
        <v>-999</v>
      </c>
      <c r="BF172" s="37" t="n">
        <f aca="false">IF(AND(B172&lt;1000,AK172&gt;=-3),B172,1000000000)</f>
        <v>427.592417900447</v>
      </c>
    </row>
    <row r="173" customFormat="false" ht="15" hidden="false" customHeight="false" outlineLevel="0" collapsed="false">
      <c r="A173" s="5" t="n">
        <v>134</v>
      </c>
      <c r="B173" s="47" t="n">
        <f aca="false">20*10^(A173/100)</f>
        <v>437.552324789911</v>
      </c>
      <c r="C173" s="37" t="n">
        <f aca="false">2*PI()*B173</f>
        <v>2749.22233824224</v>
      </c>
      <c r="D173" s="37" t="n">
        <f aca="false">SQRT(L_Rp0^2+L_Rp1^2*C173)</f>
        <v>79895279.9601502</v>
      </c>
      <c r="E173" s="5" t="str">
        <f aca="false">COMPLEX(D173,C173*L_Mp)</f>
        <v>79895279.9601502+40613489.5298815i</v>
      </c>
      <c r="F173" s="5" t="str">
        <f aca="false">IMDIV(1,E173)</f>
        <v>9.94624069741664e-09-5.05601260334394e-09i</v>
      </c>
      <c r="G173" s="5" t="str">
        <f aca="false">COMPLEX(0,C173*L_Cf)</f>
        <v>2.90707659748571e-12i</v>
      </c>
      <c r="H173" s="5" t="str">
        <f aca="false">COMPLEX(0,C173*L_Cbv)</f>
        <v>2.90707659748571e-11i</v>
      </c>
      <c r="I173" s="5" t="str">
        <f aca="false">COMPLEX(L_Rsq+L_Rh,C173*(L_Md+L_Mh)-1/(C173*L_Cd))</f>
        <v>552400610.124532-419009328097.102i</v>
      </c>
      <c r="J173" s="5" t="str">
        <f aca="false">IMDIV(1,I173)</f>
        <v>3.14634261007415e-15+2.38657756499082e-12i</v>
      </c>
      <c r="K173" s="5" t="str">
        <f aca="false">IMSUM(F173,G173,H173)</f>
        <v>9.94624069741664e-09-5.0240347607716e-09i</v>
      </c>
      <c r="L173" s="5" t="str">
        <f aca="false">IMSUM(IMPRODUCT(IMSUM(F173,G173),H173),IMPRODUCT(IMSUM(J173,L_Yv),K173))</f>
        <v>1.78811672535844e-19+3.02818433692467e-19i</v>
      </c>
      <c r="M173" s="37" t="n">
        <f aca="false">IMABS(IMDIV(IMPRODUCT(J173,F173,H173),L173))^2</f>
        <v>4.84539402893888E-024</v>
      </c>
      <c r="N173" s="5" t="str">
        <f aca="false">IMDIV(IMPRODUCT(L_Yv,K173,E173),H173)</f>
        <v>0.000175769615912322-0.0687082871561942i</v>
      </c>
      <c r="O173" s="37" t="n">
        <f aca="false">IMABS(IMSUM(1,IMPRODUCT(E173,G173),N173))^2</f>
        <v>1.00480437557403</v>
      </c>
      <c r="P173" s="37" t="n">
        <f aca="false">IMABS(N173)^2</f>
        <v>0.00472085961889592</v>
      </c>
      <c r="Q173" s="37" t="n">
        <f aca="false">p_Rb^2/(1+(C173*p_Rb*L_Ctot)^2)</f>
        <v>21809852944597400</v>
      </c>
      <c r="R173" s="37" t="n">
        <f aca="false">M173*L_Kt^2*Q173</f>
        <v>2.12089545865558E-005</v>
      </c>
      <c r="S173" s="37" t="n">
        <f aca="false">L_kT4*D173</f>
        <v>1.31552531754017E-012</v>
      </c>
      <c r="T173" s="37" t="n">
        <f aca="false">L_kT4*L_Rsq*O173</f>
        <v>5.19030834429379E-012</v>
      </c>
      <c r="U173" s="37" t="n">
        <f aca="false">L_kT4*L_Rh*O173</f>
        <v>3.94900894286934E-012</v>
      </c>
      <c r="V173" s="37" t="n">
        <f aca="false">L_kT4*p_Rv*P173</f>
        <v>3.88659402176714E-011</v>
      </c>
      <c r="W173" s="37" t="n">
        <f aca="false">L_kT4/p_Rb*Q173/R173</f>
        <v>1.6932128776503E-011</v>
      </c>
      <c r="X173" s="37" t="n">
        <f aca="false">p_en^2*(1+p_fc/B173)/R173</f>
        <v>3.70724647208765E-012</v>
      </c>
      <c r="Y173" s="37" t="n">
        <f aca="false">p_in^2*Q173/R173</f>
        <v>2.57083073750633E-012</v>
      </c>
      <c r="Z173" s="37" t="n">
        <f aca="false">p_eo^2/L_G^2/R173</f>
        <v>2.98910195878446E-012</v>
      </c>
      <c r="AA173" s="37" t="n">
        <f aca="false">SUM(S173:Z173)</f>
        <v>7.5520090767256E-011</v>
      </c>
      <c r="AB173" s="47" t="n">
        <f aca="false">10*LOG10(AA173/L_PREF^2)</f>
        <v>-7.2399748806106</v>
      </c>
      <c r="AC173" s="47" t="n">
        <f aca="false">10*LOG10(S173/L_PREF^2)</f>
        <v>-24.8296078074418</v>
      </c>
      <c r="AD173" s="47" t="n">
        <f aca="false">10*LOG10(T173/L_PREF^2)</f>
        <v>-18.8686683227574</v>
      </c>
      <c r="AE173" s="47" t="n">
        <f aca="false">10*LOG10(U173/L_PREF^2)</f>
        <v>-20.0557187409321</v>
      </c>
      <c r="AF173" s="47" t="n">
        <f aca="false">10*LOG10(V173/L_PREF^2)</f>
        <v>-10.124908130107</v>
      </c>
      <c r="AG173" s="47" t="n">
        <f aca="false">10*LOG10(W173/L_PREF^2)</f>
        <v>-13.7334842850733</v>
      </c>
      <c r="AH173" s="47" t="n">
        <f aca="false">10*LOG10(X173/L_PREF^2)</f>
        <v>-20.3300853076124</v>
      </c>
      <c r="AI173" s="47" t="n">
        <f aca="false">10*LOG10(Y173/L_PREF^2)</f>
        <v>-21.9198650752325</v>
      </c>
      <c r="AJ173" s="47" t="n">
        <f aca="false">10*LOG10(Z173/L_PREF^2)</f>
        <v>-21.2651926217618</v>
      </c>
      <c r="AK173" s="47" t="n">
        <f aca="false">10*LOG10(R173/$R$6)</f>
        <v>-0.0225164246641861</v>
      </c>
      <c r="AL173" s="37" t="n">
        <f aca="false">(12194^2*B173^4/((B173^2+20.6^2)*SQRT((B173^2+107.7^2)*(B173^2+737.9^2))*(B173^2+12194^2))*1.2589254)^2</f>
        <v>0.386034377332776</v>
      </c>
      <c r="AM173" s="37" t="n">
        <f aca="false">0.5*(B173-B172)*(S173*AL173+S172*AL172)</f>
        <v>4.96381100367467E-012</v>
      </c>
      <c r="AN173" s="37" t="n">
        <f aca="false">0.5*(B173-B172)*(T173*AL173+T172*AL172)</f>
        <v>1.9595301549142E-011</v>
      </c>
      <c r="AO173" s="37" t="n">
        <f aca="false">0.5*(B173-B172)*(U173*AL173+U172*AL172)</f>
        <v>1.49089448878036E-011</v>
      </c>
      <c r="AP173" s="37" t="n">
        <f aca="false">0.5*(B173-B172)*(V173*AL173+V172*AL172)</f>
        <v>1.50118352672612E-010</v>
      </c>
      <c r="AQ173" s="37" t="n">
        <f aca="false">0.5*(B173-B172)*(W173*AL173+W172*AL172)</f>
        <v>6.54028287671342E-011</v>
      </c>
      <c r="AR173" s="37" t="n">
        <f aca="false">0.5*(B173-B172)*(X173*AL173+X172*AL172)</f>
        <v>1.40258162347792E-011</v>
      </c>
      <c r="AS173" s="37" t="n">
        <f aca="false">0.5*(B173-B172)*(Y173*AL173+Y172*AL172)</f>
        <v>9.93021047346052E-012</v>
      </c>
      <c r="AT173" s="37" t="n">
        <f aca="false">0.5*(B173-B172)*(Z173*AL173+Z172*AL172)</f>
        <v>1.12848240760904E-011</v>
      </c>
      <c r="AU173" s="37" t="n">
        <f aca="false">0.5*(B173-B172)*(AA173*AL173+AA172*AL172)</f>
        <v>2.90230089664696E-010</v>
      </c>
      <c r="AV173" s="37" t="n">
        <f aca="false">0.5*(B173-B172)*(S173+S172)</f>
        <v>1.30965702651297E-011</v>
      </c>
      <c r="AW173" s="37" t="n">
        <f aca="false">0.5*(B173-B172)*(T173+T172)</f>
        <v>5.17009917623753E-011</v>
      </c>
      <c r="AX173" s="37" t="n">
        <f aca="false">0.5*(B173-B172)*(U173+U172)</f>
        <v>3.93363294204467E-011</v>
      </c>
      <c r="AY173" s="37" t="n">
        <f aca="false">0.5*(B173-B172)*(V173+V172)</f>
        <v>3.96246566004574E-010</v>
      </c>
      <c r="AZ173" s="37" t="n">
        <f aca="false">0.5*(B173-B172)*(W173+W172)</f>
        <v>1.72634912687659E-010</v>
      </c>
      <c r="BA173" s="37" t="n">
        <f aca="false">0.5*(B173-B172)*(X173+X172)</f>
        <v>3.70077236410882E-011</v>
      </c>
      <c r="BB173" s="37" t="n">
        <f aca="false">0.5*(B173-B172)*(Y173+Y172)</f>
        <v>2.62114200619621E-011</v>
      </c>
      <c r="BC173" s="37" t="n">
        <f aca="false">0.5*(B173-B172)*(Z173+Z172)</f>
        <v>2.97743045828358E-011</v>
      </c>
      <c r="BD173" s="37" t="n">
        <f aca="false">0.5*(B173-B172)*(AA173+AA172)</f>
        <v>7.6600881842607E-010</v>
      </c>
      <c r="BE173" s="37" t="n">
        <f aca="false">IF(B173&gt;2000,AK173,-999)</f>
        <v>-999</v>
      </c>
      <c r="BF173" s="37" t="n">
        <f aca="false">IF(AND(B173&lt;1000,AK173&gt;=-3),B173,1000000000)</f>
        <v>437.552324789911</v>
      </c>
    </row>
    <row r="174" customFormat="false" ht="15" hidden="false" customHeight="false" outlineLevel="0" collapsed="false">
      <c r="A174" s="5" t="n">
        <v>135</v>
      </c>
      <c r="B174" s="47" t="n">
        <f aca="false">20*10^(A174/100)</f>
        <v>447.744227713668</v>
      </c>
      <c r="C174" s="37" t="n">
        <f aca="false">2*PI()*B174</f>
        <v>2813.25995294499</v>
      </c>
      <c r="D174" s="37" t="n">
        <f aca="false">SQRT(L_Rp0^2+L_Rp1^2*C174)</f>
        <v>79969332.7932272</v>
      </c>
      <c r="E174" s="5" t="str">
        <f aca="false">COMPLEX(D174,C174*L_Mp)</f>
        <v>79969332.7932272+41559499.2279955i</v>
      </c>
      <c r="F174" s="5" t="str">
        <f aca="false">IMDIV(1,E174)</f>
        <v>9.84566797865772e-09-5.11672433001442e-09i</v>
      </c>
      <c r="G174" s="5" t="str">
        <f aca="false">COMPLEX(0,C174*L_Cf)</f>
        <v>2.97479111023051e-12i</v>
      </c>
      <c r="H174" s="5" t="str">
        <f aca="false">COMPLEX(0,C174*L_Cbv)</f>
        <v>2.97479111023051e-11i</v>
      </c>
      <c r="I174" s="5" t="str">
        <f aca="false">COMPLEX(L_Rsq+L_Rh,C174*(L_Md+L_Mh)-1/(C174*L_Cd))</f>
        <v>552400610.124532-409471034250.419i</v>
      </c>
      <c r="J174" s="5" t="str">
        <f aca="false">IMDIV(1,I174)</f>
        <v>3.29463257652239e-15+2.44217074322134e-12i</v>
      </c>
      <c r="K174" s="5" t="str">
        <f aca="false">IMSUM(F174,G174,H174)</f>
        <v>9.84566797865772e-09-5.08400162780188e-09i</v>
      </c>
      <c r="L174" s="5" t="str">
        <f aca="false">IMSUM(IMPRODUCT(IMSUM(F174,G174),H174),IMPRODUCT(IMSUM(J174,L_Yv),K174))</f>
        <v>1.84263140532459e-19+3.06748104883885e-19i</v>
      </c>
      <c r="M174" s="37" t="n">
        <f aca="false">IMABS(IMDIV(IMPRODUCT(J174,F174,H174),L174))^2</f>
        <v>5.07477814146236E-024</v>
      </c>
      <c r="N174" s="5" t="str">
        <f aca="false">IMDIV(IMPRODUCT(L_Yv,K174,E174),H174)</f>
        <v>0.00017593253214512-0.0671401805288626i</v>
      </c>
      <c r="O174" s="37" t="n">
        <f aca="false">IMABS(IMSUM(1,IMPRODUCT(E174,G174),N174))^2</f>
        <v>1.0045805223444</v>
      </c>
      <c r="P174" s="37" t="n">
        <f aca="false">IMABS(N174)^2</f>
        <v>0.00450783479370413</v>
      </c>
      <c r="Q174" s="37" t="n">
        <f aca="false">p_Rb^2/(1+(C174*p_Rb*L_Ctot)^2)</f>
        <v>20828247884753400</v>
      </c>
      <c r="R174" s="37" t="n">
        <f aca="false">M174*L_Kt^2*Q174</f>
        <v>2.12132506444008E-005</v>
      </c>
      <c r="S174" s="37" t="n">
        <f aca="false">L_kT4*D174</f>
        <v>1.31674464334761E-012</v>
      </c>
      <c r="T174" s="37" t="n">
        <f aca="false">L_kT4*L_Rsq*O174</f>
        <v>5.18915203236492E-012</v>
      </c>
      <c r="U174" s="37" t="n">
        <f aca="false">L_kT4*L_Rh*O174</f>
        <v>3.94812917121707E-012</v>
      </c>
      <c r="V174" s="37" t="n">
        <f aca="false">L_kT4*p_Rv*P174</f>
        <v>3.71121473093534E-011</v>
      </c>
      <c r="W174" s="37" t="n">
        <f aca="false">L_kT4/p_Rb*Q174/R174</f>
        <v>1.61667827408214E-011</v>
      </c>
      <c r="X174" s="37" t="n">
        <f aca="false">p_en^2*(1+p_fc/B174)/R174</f>
        <v>3.69080044644154E-012</v>
      </c>
      <c r="Y174" s="37" t="n">
        <f aca="false">p_in^2*Q174/R174</f>
        <v>2.45462709062118E-012</v>
      </c>
      <c r="Z174" s="37" t="n">
        <f aca="false">p_eo^2/L_G^2/R174</f>
        <v>2.9884966128554E-012</v>
      </c>
      <c r="AA174" s="37" t="n">
        <f aca="false">SUM(S174:Z174)</f>
        <v>7.28668800470226E-011</v>
      </c>
      <c r="AB174" s="47" t="n">
        <f aca="false">10*LOG10(AA174/L_PREF^2)</f>
        <v>-7.39529816662091</v>
      </c>
      <c r="AC174" s="47" t="n">
        <f aca="false">10*LOG10(S174/L_PREF^2)</f>
        <v>-24.8255843104939</v>
      </c>
      <c r="AD174" s="47" t="n">
        <f aca="false">10*LOG10(T174/L_PREF^2)</f>
        <v>-18.8696359643764</v>
      </c>
      <c r="AE174" s="47" t="n">
        <f aca="false">10*LOG10(U174/L_PREF^2)</f>
        <v>-20.0566863825511</v>
      </c>
      <c r="AF174" s="47" t="n">
        <f aca="false">10*LOG10(V174/L_PREF^2)</f>
        <v>-10.325439079675</v>
      </c>
      <c r="AG174" s="47" t="n">
        <f aca="false">10*LOG10(W174/L_PREF^2)</f>
        <v>-13.9343638928965</v>
      </c>
      <c r="AH174" s="47" t="n">
        <f aca="false">10*LOG10(X174/L_PREF^2)</f>
        <v>-20.3493942685627</v>
      </c>
      <c r="AI174" s="47" t="n">
        <f aca="false">10*LOG10(Y174/L_PREF^2)</f>
        <v>-22.1207446830557</v>
      </c>
      <c r="AJ174" s="47" t="n">
        <f aca="false">10*LOG10(Z174/L_PREF^2)</f>
        <v>-21.2660722338481</v>
      </c>
      <c r="AK174" s="47" t="n">
        <f aca="false">10*LOG10(R174/$R$6)</f>
        <v>-0.0216368125778896</v>
      </c>
      <c r="AL174" s="37" t="n">
        <f aca="false">(12194^2*B174^4/((B174^2+20.6^2)*SQRT((B174^2+107.7^2)*(B174^2+737.9^2))*(B174^2+12194^2))*1.2589254)^2</f>
        <v>0.400392270794756</v>
      </c>
      <c r="AM174" s="37" t="n">
        <f aca="false">0.5*(B174-B173)*(S174*AL174+S173*AL173)</f>
        <v>5.2745766616112E-012</v>
      </c>
      <c r="AN174" s="37" t="n">
        <f aca="false">0.5*(B174-B173)*(T174*AL174+T173*AL173)</f>
        <v>2.0798279023983E-011</v>
      </c>
      <c r="AO174" s="37" t="n">
        <f aca="false">0.5*(B174-B173)*(U174*AL174+U173*AL173)</f>
        <v>1.58242216866166E-011</v>
      </c>
      <c r="AP174" s="37" t="n">
        <f aca="false">0.5*(B174-B173)*(V174*AL174+V173*AL173)</f>
        <v>1.52180428911808E-010</v>
      </c>
      <c r="AQ174" s="37" t="n">
        <f aca="false">0.5*(B174-B173)*(W174*AL174+W173*AL173)</f>
        <v>6.62954678669337E-011</v>
      </c>
      <c r="AR174" s="37" t="n">
        <f aca="false">0.5*(B174-B173)*(X174*AL174+X173*AL173)</f>
        <v>1.48235752694891E-011</v>
      </c>
      <c r="AS174" s="37" t="n">
        <f aca="false">0.5*(B174-B173)*(Y174*AL174+Y173*AL173)</f>
        <v>1.00657412189182E-011</v>
      </c>
      <c r="AT174" s="37" t="n">
        <f aca="false">0.5*(B174-B173)*(Z174*AL174+Z173*AL173)</f>
        <v>1.19778660429992E-011</v>
      </c>
      <c r="AU174" s="37" t="n">
        <f aca="false">0.5*(B174-B173)*(AA174*AL174+AA173*AL173)</f>
        <v>2.97240156682359E-010</v>
      </c>
      <c r="AV174" s="37" t="n">
        <f aca="false">0.5*(B174-B173)*(S174+S173)</f>
        <v>1.34139199552455E-011</v>
      </c>
      <c r="AW174" s="37" t="n">
        <f aca="false">0.5*(B174-B173)*(T174+T173)</f>
        <v>5.28932262799461E-011</v>
      </c>
      <c r="AX174" s="37" t="n">
        <f aca="false">0.5*(B174-B173)*(U174+U173)</f>
        <v>4.02434325171367E-011</v>
      </c>
      <c r="AY174" s="37" t="n">
        <f aca="false">0.5*(B174-B173)*(V174+V173)</f>
        <v>3.87180646204091E-010</v>
      </c>
      <c r="AZ174" s="37" t="n">
        <f aca="false">0.5*(B174-B173)*(W174+W173)</f>
        <v>1.68670446533303E-010</v>
      </c>
      <c r="BA174" s="37" t="n">
        <f aca="false">0.5*(B174-B173)*(X174+X173)</f>
        <v>3.77000880095261E-011</v>
      </c>
      <c r="BB174" s="37" t="n">
        <f aca="false">0.5*(B174-B173)*(Y174+Y173)</f>
        <v>2.56094891658562E-011</v>
      </c>
      <c r="BC174" s="37" t="n">
        <f aca="false">0.5*(B174-B173)*(Z174+Z173)</f>
        <v>3.04615521796722E-011</v>
      </c>
      <c r="BD174" s="37" t="n">
        <f aca="false">0.5*(B174-B173)*(AA174+AA173)</f>
        <v>7.56172800844777E-010</v>
      </c>
      <c r="BE174" s="37" t="n">
        <f aca="false">IF(B174&gt;2000,AK174,-999)</f>
        <v>-999</v>
      </c>
      <c r="BF174" s="37" t="n">
        <f aca="false">IF(AND(B174&lt;1000,AK174&gt;=-3),B174,1000000000)</f>
        <v>447.744227713668</v>
      </c>
    </row>
    <row r="175" customFormat="false" ht="15" hidden="false" customHeight="false" outlineLevel="0" collapsed="false">
      <c r="A175" s="5" t="n">
        <v>136</v>
      </c>
      <c r="B175" s="47" t="n">
        <f aca="false">20*10^(A175/100)</f>
        <v>458.173530553555</v>
      </c>
      <c r="C175" s="37" t="n">
        <f aca="false">2*PI()*B175</f>
        <v>2878.78919531269</v>
      </c>
      <c r="D175" s="37" t="n">
        <f aca="false">SQRT(L_Rp0^2+L_Rp1^2*C175)</f>
        <v>80045039.6169372</v>
      </c>
      <c r="E175" s="5" t="str">
        <f aca="false">COMPLEX(D175,C175*L_Mp)</f>
        <v>80045039.6169372+42527544.3227052i</v>
      </c>
      <c r="F175" s="5" t="str">
        <f aca="false">IMDIV(1,E175)</f>
        <v>9.74281698485177e-09-5.17631177564707e-09i</v>
      </c>
      <c r="G175" s="5" t="str">
        <f aca="false">COMPLEX(0,C175*L_Cf)</f>
        <v>3.04408289659796e-12i</v>
      </c>
      <c r="H175" s="5" t="str">
        <f aca="false">COMPLEX(0,C175*L_Cbv)</f>
        <v>3.04408289659796e-11i</v>
      </c>
      <c r="I175" s="5" t="str">
        <f aca="false">COMPLEX(L_Rsq+L_Rh,C175*(L_Md+L_Mh)-1/(C175*L_Cd))</f>
        <v>552400610.124532-400149847366.086i</v>
      </c>
      <c r="J175" s="5" t="str">
        <f aca="false">IMDIV(1,I175)</f>
        <v>3.44991194847569e-15+2.49905904212845e-12i</v>
      </c>
      <c r="K175" s="5" t="str">
        <f aca="false">IMSUM(F175,G175,H175)</f>
        <v>9.74281698485177e-09-5.14282686378449e-09i</v>
      </c>
      <c r="L175" s="5" t="str">
        <f aca="false">IMSUM(IMPRODUCT(IMSUM(F175,G175),H175),IMPRODUCT(IMSUM(J175,L_Yv),K175))</f>
        <v>1.89850030836718e-19+3.10623904337095e-19i</v>
      </c>
      <c r="M175" s="37" t="n">
        <f aca="false">IMABS(IMDIV(IMPRODUCT(J175,F175,H175),L175))^2</f>
        <v>5.3149836611479E-024</v>
      </c>
      <c r="N175" s="5" t="str">
        <f aca="false">IMDIV(IMPRODUCT(L_Yv,K175,E175),H175)</f>
        <v>0.000176099087157302-0.0656076725139532i</v>
      </c>
      <c r="O175" s="37" t="n">
        <f aca="false">IMABS(IMSUM(1,IMPRODUCT(E175,G175),N175))^2</f>
        <v>1.00436573925267</v>
      </c>
      <c r="P175" s="37" t="n">
        <f aca="false">IMABS(N175)^2</f>
        <v>0.00430439770358663</v>
      </c>
      <c r="Q175" s="37" t="n">
        <f aca="false">p_Rb^2/(1+(C175*p_Rb*L_Ctot)^2)</f>
        <v>19890822328402300</v>
      </c>
      <c r="R175" s="37" t="n">
        <f aca="false">M175*L_Kt^2*Q175</f>
        <v>2.12173967287986E-005</v>
      </c>
      <c r="S175" s="37" t="n">
        <f aca="false">L_kT4*D175</f>
        <v>1.31799120313626E-012</v>
      </c>
      <c r="T175" s="37" t="n">
        <f aca="false">L_kT4*L_Rsq*O175</f>
        <v>5.18804257215521E-012</v>
      </c>
      <c r="U175" s="37" t="n">
        <f aca="false">L_kT4*L_Rh*O175</f>
        <v>3.94728504635988E-012</v>
      </c>
      <c r="V175" s="37" t="n">
        <f aca="false">L_kT4*p_Rv*P175</f>
        <v>3.54372884021079E-011</v>
      </c>
      <c r="W175" s="37" t="n">
        <f aca="false">L_kT4/p_Rb*Q175/R175</f>
        <v>1.54361407111405E-011</v>
      </c>
      <c r="X175" s="37" t="n">
        <f aca="false">p_en^2*(1+p_fc/B175)/R175</f>
        <v>3.67474425012084E-012</v>
      </c>
      <c r="Y175" s="37" t="n">
        <f aca="false">p_in^2*Q175/R175</f>
        <v>2.34369260548872E-012</v>
      </c>
      <c r="Z175" s="37" t="n">
        <f aca="false">p_eo^2/L_G^2/R175</f>
        <v>2.98791263173191E-012</v>
      </c>
      <c r="AA175" s="37" t="n">
        <f aca="false">SUM(S175:Z175)</f>
        <v>7.03330974222412E-011</v>
      </c>
      <c r="AB175" s="47" t="n">
        <f aca="false">10*LOG10(AA175/L_PREF^2)</f>
        <v>-7.54900247456909</v>
      </c>
      <c r="AC175" s="47" t="n">
        <f aca="false">10*LOG10(S175/L_PREF^2)</f>
        <v>-24.8214747973623</v>
      </c>
      <c r="AD175" s="47" t="n">
        <f aca="false">10*LOG10(T175/L_PREF^2)</f>
        <v>-18.8705646015797</v>
      </c>
      <c r="AE175" s="47" t="n">
        <f aca="false">10*LOG10(U175/L_PREF^2)</f>
        <v>-20.0576150197545</v>
      </c>
      <c r="AF175" s="47" t="n">
        <f aca="false">10*LOG10(V175/L_PREF^2)</f>
        <v>-10.5259950827818</v>
      </c>
      <c r="AG175" s="47" t="n">
        <f aca="false">10*LOG10(W175/L_PREF^2)</f>
        <v>-14.1352126251481</v>
      </c>
      <c r="AH175" s="47" t="n">
        <f aca="false">10*LOG10(X175/L_PREF^2)</f>
        <v>-20.3683287229584</v>
      </c>
      <c r="AI175" s="47" t="n">
        <f aca="false">10*LOG10(Y175/L_PREF^2)</f>
        <v>-22.3215934153073</v>
      </c>
      <c r="AJ175" s="47" t="n">
        <f aca="false">10*LOG10(Z175/L_PREF^2)</f>
        <v>-21.2669209701709</v>
      </c>
      <c r="AK175" s="47" t="n">
        <f aca="false">10*LOG10(R175/$R$6)</f>
        <v>-0.0207880762551414</v>
      </c>
      <c r="AL175" s="37" t="n">
        <f aca="false">(12194^2*B175^4/((B175^2+20.6^2)*SQRT((B175^2+107.7^2)*(B175^2+737.9^2))*(B175^2+12194^2))*1.2589254)^2</f>
        <v>0.41505939861956</v>
      </c>
      <c r="AM175" s="37" t="n">
        <f aca="false">0.5*(B175-B174)*(S175*AL175+S174*AL174)</f>
        <v>5.60188629256675E-012</v>
      </c>
      <c r="AN175" s="37" t="n">
        <f aca="false">0.5*(B175-B174)*(T175*AL175+T174*AL174)</f>
        <v>2.20634101939039E-011</v>
      </c>
      <c r="AO175" s="37" t="n">
        <f aca="false">0.5*(B175-B174)*(U175*AL175+U174*AL174)</f>
        <v>1.67867876793312E-011</v>
      </c>
      <c r="AP175" s="37" t="n">
        <f aca="false">0.5*(B175-B174)*(V175*AL175+V174*AL174)</f>
        <v>1.54186795184681E-010</v>
      </c>
      <c r="AQ175" s="37" t="n">
        <f aca="false">0.5*(B175-B174)*(W175*AL175+W174*AL174)</f>
        <v>6.71645545460875E-011</v>
      </c>
      <c r="AR175" s="37" t="n">
        <f aca="false">0.5*(B175-B174)*(X175*AL175+X174*AL174)</f>
        <v>1.56596248627152E-011</v>
      </c>
      <c r="AS175" s="37" t="n">
        <f aca="false">0.5*(B175-B174)*(Y175*AL175+Y174*AL174)</f>
        <v>1.01976959647046E-011</v>
      </c>
      <c r="AT175" s="37" t="n">
        <f aca="false">0.5*(B175-B174)*(Z175*AL175+Z174*AL174)</f>
        <v>1.27067088449587E-011</v>
      </c>
      <c r="AU175" s="37" t="n">
        <f aca="false">0.5*(B175-B174)*(AA175*AL175+AA174*AL174)</f>
        <v>3.04367463568949E-010</v>
      </c>
      <c r="AV175" s="37" t="n">
        <f aca="false">0.5*(B175-B174)*(S175+S174)</f>
        <v>1.37392290230427E-011</v>
      </c>
      <c r="AW175" s="37" t="n">
        <f aca="false">0.5*(B175-B174)*(T175+T174)</f>
        <v>5.41134525794891E-011</v>
      </c>
      <c r="AX175" s="37" t="n">
        <f aca="false">0.5*(B175-B174)*(U175+U174)</f>
        <v>4.11718329607283E-011</v>
      </c>
      <c r="AY175" s="37" t="n">
        <f aca="false">0.5*(B175-B174)*(V175+V174)</f>
        <v>3.78320017948859E-010</v>
      </c>
      <c r="AZ175" s="37" t="n">
        <f aca="false">0.5*(B175-B174)*(W175+W174)</f>
        <v>1.64798229653133E-010</v>
      </c>
      <c r="BA175" s="37" t="n">
        <f aca="false">0.5*(B175-B174)*(X175+X174)</f>
        <v>3.8408748110585E-011</v>
      </c>
      <c r="BB175" s="37" t="n">
        <f aca="false">0.5*(B175-B174)*(Y175+Y174)</f>
        <v>2.50215646166615E-011</v>
      </c>
      <c r="BC175" s="37" t="n">
        <f aca="false">0.5*(B175-B174)*(Z175+Z174)</f>
        <v>3.11648909534496E-011</v>
      </c>
      <c r="BD175" s="37" t="n">
        <f aca="false">0.5*(B175-B174)*(AA175+AA174)</f>
        <v>7.46737965845948E-010</v>
      </c>
      <c r="BE175" s="37" t="n">
        <f aca="false">IF(B175&gt;2000,AK175,-999)</f>
        <v>-999</v>
      </c>
      <c r="BF175" s="37" t="n">
        <f aca="false">IF(AND(B175&lt;1000,AK175&gt;=-3),B175,1000000000)</f>
        <v>458.173530553555</v>
      </c>
    </row>
    <row r="176" customFormat="false" ht="15" hidden="false" customHeight="false" outlineLevel="0" collapsed="false">
      <c r="A176" s="5" t="n">
        <v>137</v>
      </c>
      <c r="B176" s="47" t="n">
        <f aca="false">20*10^(A176/100)</f>
        <v>468.845763063985</v>
      </c>
      <c r="C176" s="37" t="n">
        <f aca="false">2*PI()*B176</f>
        <v>2945.84480981703</v>
      </c>
      <c r="D176" s="37" t="n">
        <f aca="false">SQRT(L_Rp0^2+L_Rp1^2*C176)</f>
        <v>80122435.8257952</v>
      </c>
      <c r="E176" s="5" t="str">
        <f aca="false">COMPLEX(D176,C176*L_Mp)</f>
        <v>80122435.8257952+43518138.0843334i</v>
      </c>
      <c r="F176" s="5" t="str">
        <f aca="false">IMDIV(1,E176)</f>
        <v>9.63770745484823e-09-5.23467714771429e-09i</v>
      </c>
      <c r="G176" s="5" t="str">
        <f aca="false">COMPLEX(0,C176*L_Cf)</f>
        <v>3.11498869601039e-12i</v>
      </c>
      <c r="H176" s="5" t="str">
        <f aca="false">COMPLEX(0,C176*L_Cbv)</f>
        <v>3.11498869601039e-11i</v>
      </c>
      <c r="I176" s="5" t="str">
        <f aca="false">COMPLEX(L_Rsq+L_Rh,C176*(L_Md+L_Mh)-1/(C176*L_Cd))</f>
        <v>552400610.124532-391040825227.436i</v>
      </c>
      <c r="J176" s="5" t="str">
        <f aca="false">IMDIV(1,I176)</f>
        <v>3.61251019542384e-15+2.55727264248061e-12i</v>
      </c>
      <c r="K176" s="5" t="str">
        <f aca="false">IMSUM(F176,G176,H176)</f>
        <v>9.63770745484823e-09-5.20041227205818e-09i</v>
      </c>
      <c r="L176" s="5" t="str">
        <f aca="false">IMSUM(IMPRODUCT(IMSUM(F176,G176),H176),IMPRODUCT(IMSUM(J176,L_Yv),K176))</f>
        <v>1.95571673137269e-19+3.14440132297118e-19i</v>
      </c>
      <c r="M176" s="37" t="n">
        <f aca="false">IMABS(IMDIV(IMPRODUCT(J176,F176,H176),L176))^2</f>
        <v>5.56652159067074E-024</v>
      </c>
      <c r="N176" s="5" t="str">
        <f aca="false">IMDIV(IMPRODUCT(L_Yv,K176,E176),H176)</f>
        <v>0.000176269358816713-0.0641099505554305i</v>
      </c>
      <c r="O176" s="37" t="n">
        <f aca="false">IMABS(IMSUM(1,IMPRODUCT(E176,G176),N176))^2</f>
        <v>1.00415957022452</v>
      </c>
      <c r="P176" s="37" t="n">
        <f aca="false">IMABS(N176)^2</f>
        <v>0.0041101168311066</v>
      </c>
      <c r="Q176" s="37" t="n">
        <f aca="false">p_Rb^2/(1+(C176*p_Rb*L_Ctot)^2)</f>
        <v>18995587870499300</v>
      </c>
      <c r="R176" s="37" t="n">
        <f aca="false">M176*L_Kt^2*Q176</f>
        <v>2.12214014703711E-005</v>
      </c>
      <c r="S176" s="37" t="n">
        <f aca="false">L_kT4*D176</f>
        <v>1.31926557969875E-012</v>
      </c>
      <c r="T176" s="37" t="n">
        <f aca="false">L_kT4*L_Rsq*O176</f>
        <v>5.18697760781675E-012</v>
      </c>
      <c r="U176" s="37" t="n">
        <f aca="false">L_kT4*L_Rh*O176</f>
        <v>3.94647477586776E-012</v>
      </c>
      <c r="V176" s="37" t="n">
        <f aca="false">L_kT4*p_Rv*P176</f>
        <v>3.38378108948712E-011</v>
      </c>
      <c r="W176" s="37" t="n">
        <f aca="false">L_kT4/p_Rb*Q176/R176</f>
        <v>1.47386180641771E-011</v>
      </c>
      <c r="X176" s="37" t="n">
        <f aca="false">p_en^2*(1+p_fc/B176)/R176</f>
        <v>3.65906769682789E-012</v>
      </c>
      <c r="Y176" s="37" t="n">
        <f aca="false">p_in^2*Q176/R176</f>
        <v>2.2377866863577E-012</v>
      </c>
      <c r="Z176" s="37" t="n">
        <f aca="false">p_eo^2/L_G^2/R176</f>
        <v>2.98734877557245E-012</v>
      </c>
      <c r="AA176" s="37" t="n">
        <f aca="false">SUM(S176:Z176)</f>
        <v>6.79133500811896E-011</v>
      </c>
      <c r="AB176" s="47" t="n">
        <f aca="false">10*LOG10(AA176/L_PREF^2)</f>
        <v>-7.70104837125549</v>
      </c>
      <c r="AC176" s="47" t="n">
        <f aca="false">10*LOG10(S176/L_PREF^2)</f>
        <v>-24.8172775970318</v>
      </c>
      <c r="AD176" s="47" t="n">
        <f aca="false">10*LOG10(T176/L_PREF^2)</f>
        <v>-18.8714561817969</v>
      </c>
      <c r="AE176" s="47" t="n">
        <f aca="false">10*LOG10(U176/L_PREF^2)</f>
        <v>-20.0585065999716</v>
      </c>
      <c r="AF176" s="47" t="n">
        <f aca="false">10*LOG10(V176/L_PREF^2)</f>
        <v>-10.7265773232238</v>
      </c>
      <c r="AG176" s="47" t="n">
        <f aca="false">10*LOG10(W176/L_PREF^2)</f>
        <v>-14.3360322661348</v>
      </c>
      <c r="AH176" s="47" t="n">
        <f aca="false">10*LOG10(X176/L_PREF^2)</f>
        <v>-20.3868954683539</v>
      </c>
      <c r="AI176" s="47" t="n">
        <f aca="false">10*LOG10(Y176/L_PREF^2)</f>
        <v>-22.522413056294</v>
      </c>
      <c r="AJ176" s="47" t="n">
        <f aca="false">10*LOG10(Z176/L_PREF^2)</f>
        <v>-21.2677406150455</v>
      </c>
      <c r="AK176" s="47" t="n">
        <f aca="false">10*LOG10(R176/$R$6)</f>
        <v>-0.01996843138046</v>
      </c>
      <c r="AL176" s="37" t="n">
        <f aca="false">(12194^2*B176^4/((B176^2+20.6^2)*SQRT((B176^2+107.7^2)*(B176^2+737.9^2))*(B176^2+12194^2))*1.2589254)^2</f>
        <v>0.430029099188169</v>
      </c>
      <c r="AM176" s="37" t="n">
        <f aca="false">0.5*(B176-B175)*(S176*AL176+S175*AL175)</f>
        <v>5.94639306353411E-012</v>
      </c>
      <c r="AN176" s="37" t="n">
        <f aca="false">0.5*(B176-B175)*(T176*AL176+T175*AL175)</f>
        <v>2.33929847803929E-011</v>
      </c>
      <c r="AO176" s="37" t="n">
        <f aca="false">0.5*(B176-B175)*(U176*AL176+U175*AL175)</f>
        <v>1.77983849841483E-011</v>
      </c>
      <c r="AP176" s="37" t="n">
        <f aca="false">0.5*(B176-B175)*(V176*AL176+V175*AL175)</f>
        <v>1.56133816870916E-010</v>
      </c>
      <c r="AQ176" s="37" t="n">
        <f aca="false">0.5*(B176-B175)*(W176*AL176+W175*AL175)</f>
        <v>6.8008534493317E-011</v>
      </c>
      <c r="AR176" s="37" t="n">
        <f aca="false">0.5*(B176-B175)*(X176*AL176+X175*AL175)</f>
        <v>1.65352514206457E-011</v>
      </c>
      <c r="AS176" s="37" t="n">
        <f aca="false">0.5*(B176-B175)*(Y176*AL176+Y175*AL175)</f>
        <v>1.03258387173859E-011</v>
      </c>
      <c r="AT176" s="37" t="n">
        <f aca="false">0.5*(B176-B175)*(Z176*AL176+Z175*AL175)</f>
        <v>1.34726696663042E-011</v>
      </c>
      <c r="AU176" s="37" t="n">
        <f aca="false">0.5*(B176-B175)*(AA176*AL176+AA175*AL175)</f>
        <v>3.11613873996644E-010</v>
      </c>
      <c r="AV176" s="37" t="n">
        <f aca="false">0.5*(B176-B175)*(S176+S175)</f>
        <v>1.40727087880617E-011</v>
      </c>
      <c r="AW176" s="37" t="n">
        <f aca="false">0.5*(B176-B175)*(T176+T175)</f>
        <v>5.53623138305314E-011</v>
      </c>
      <c r="AX176" s="37" t="n">
        <f aca="false">0.5*(B176-B175)*(U176+U175)</f>
        <v>4.21220201021514E-011</v>
      </c>
      <c r="AY176" s="37" t="n">
        <f aca="false">0.5*(B176-B175)*(V176+V175)</f>
        <v>3.69659983440239E-010</v>
      </c>
      <c r="AZ176" s="37" t="n">
        <f aca="false">0.5*(B176-B175)*(W176+W175)</f>
        <v>1.61016020798161E-010</v>
      </c>
      <c r="BA176" s="37" t="n">
        <f aca="false">0.5*(B176-B175)*(X176+X175)</f>
        <v>3.91340731428026E-011</v>
      </c>
      <c r="BB176" s="37" t="n">
        <f aca="false">0.5*(B176-B175)*(Y176+Y175)</f>
        <v>2.44473061221523E-011</v>
      </c>
      <c r="BC176" s="37" t="n">
        <f aca="false">0.5*(B176-B175)*(Z176+Z175)</f>
        <v>3.18846895246752E-011</v>
      </c>
      <c r="BD176" s="37" t="n">
        <f aca="false">0.5*(B176-B175)*(AA176+AA175)</f>
        <v>7.37699115748775E-010</v>
      </c>
      <c r="BE176" s="37" t="n">
        <f aca="false">IF(B176&gt;2000,AK176,-999)</f>
        <v>-999</v>
      </c>
      <c r="BF176" s="37" t="n">
        <f aca="false">IF(AND(B176&lt;1000,AK176&gt;=-3),B176,1000000000)</f>
        <v>468.845763063985</v>
      </c>
    </row>
    <row r="177" customFormat="false" ht="15" hidden="false" customHeight="false" outlineLevel="0" collapsed="false">
      <c r="A177" s="5" t="n">
        <v>138</v>
      </c>
      <c r="B177" s="47" t="n">
        <f aca="false">20*10^(A177/100)</f>
        <v>479.766583803898</v>
      </c>
      <c r="C177" s="37" t="n">
        <f aca="false">2*PI()*B177</f>
        <v>3014.4623502324</v>
      </c>
      <c r="D177" s="37" t="n">
        <f aca="false">SQRT(L_Rp0^2+L_Rp1^2*C177)</f>
        <v>80201557.5051415</v>
      </c>
      <c r="E177" s="5" t="str">
        <f aca="false">COMPLEX(D177,C177*L_Mp)</f>
        <v>80201557.5051415+44531805.7388046i</v>
      </c>
      <c r="F177" s="5" t="str">
        <f aca="false">IMDIV(1,E177)</f>
        <v>9.53036441016046e-09-5.29172187841957e-09i</v>
      </c>
      <c r="G177" s="5" t="str">
        <f aca="false">COMPLEX(0,C177*L_Cf)</f>
        <v>3.1875461036612e-12i</v>
      </c>
      <c r="H177" s="5" t="str">
        <f aca="false">COMPLEX(0,C177*L_Cbv)</f>
        <v>3.1875461036612e-11i</v>
      </c>
      <c r="I177" s="5" t="str">
        <f aca="false">COMPLEX(L_Rsq+L_Rh,C177*(L_Md+L_Mh)-1/(C177*L_Cd))</f>
        <v>552400610.124532-382139138110.358i</v>
      </c>
      <c r="J177" s="5" t="str">
        <f aca="false">IMDIV(1,I177)</f>
        <v>3.78277232092877e-15+2.61684242901462e-12i</v>
      </c>
      <c r="K177" s="5" t="str">
        <f aca="false">IMSUM(F177,G177,H177)</f>
        <v>9.53036441016046e-09-5.2566588712793e-09i</v>
      </c>
      <c r="L177" s="5" t="str">
        <f aca="false">IMSUM(IMPRODUCT(IMSUM(F177,G177),H177),IMPRODUCT(IMSUM(J177,L_Yv),K177))</f>
        <v>2.01427098038761e-19+3.18191018887024e-19i</v>
      </c>
      <c r="M177" s="37" t="n">
        <f aca="false">IMABS(IMDIV(IMPRODUCT(J177,F177,H177),L177))^2</f>
        <v>5.82992711481226E-024</v>
      </c>
      <c r="N177" s="5" t="str">
        <f aca="false">IMDIV(IMPRODUCT(L_Yv,K177,E177),H177)</f>
        <v>0.000176443426511306-0.0626462205412878i</v>
      </c>
      <c r="O177" s="37" t="n">
        <f aca="false">IMABS(IMSUM(1,IMPRODUCT(E177,G177),N177))^2</f>
        <v>1.00396157744663</v>
      </c>
      <c r="P177" s="37" t="n">
        <f aca="false">IMABS(N177)^2</f>
        <v>0.00392458008039044</v>
      </c>
      <c r="Q177" s="37" t="n">
        <f aca="false">p_Rb^2/(1+(C177*p_Rb*L_Ctot)^2)</f>
        <v>18140645598954800</v>
      </c>
      <c r="R177" s="37" t="n">
        <f aca="false">M177*L_Kt^2*Q177</f>
        <v>2.12252732156287E-005</v>
      </c>
      <c r="S177" s="37" t="n">
        <f aca="false">L_kT4*D177</f>
        <v>1.32056836720257E-012</v>
      </c>
      <c r="T177" s="37" t="n">
        <f aca="false">L_kT4*L_Rsq*O177</f>
        <v>5.18595487782853E-012</v>
      </c>
      <c r="U177" s="37" t="n">
        <f aca="false">L_kT4*L_Rh*O177</f>
        <v>3.94569663907862E-012</v>
      </c>
      <c r="V177" s="37" t="n">
        <f aca="false">L_kT4*p_Rv*P177</f>
        <v>3.23103220806196E-011</v>
      </c>
      <c r="W177" s="37" t="n">
        <f aca="false">L_kT4/p_Rb*Q177/R177</f>
        <v>1.40727034927149E-011</v>
      </c>
      <c r="X177" s="37" t="n">
        <f aca="false">p_en^2*(1+p_fc/B177)/R177</f>
        <v>3.64376088285655E-012</v>
      </c>
      <c r="Y177" s="37" t="n">
        <f aca="false">p_in^2*Q177/R177</f>
        <v>2.13667986916623E-012</v>
      </c>
      <c r="Z177" s="37" t="n">
        <f aca="false">p_eo^2/L_G^2/R177</f>
        <v>2.98680384720629E-012</v>
      </c>
      <c r="AA177" s="37" t="n">
        <f aca="false">SUM(S177:Z177)</f>
        <v>6.56024900566733E-011</v>
      </c>
      <c r="AB177" s="47" t="n">
        <f aca="false">10*LOG10(AA177/L_PREF^2)</f>
        <v>-7.85139667236616</v>
      </c>
      <c r="AC177" s="47" t="n">
        <f aca="false">10*LOG10(S177/L_PREF^2)</f>
        <v>-24.8129910132442</v>
      </c>
      <c r="AD177" s="47" t="n">
        <f aca="false">10*LOG10(T177/L_PREF^2)</f>
        <v>-18.8723125760565</v>
      </c>
      <c r="AE177" s="47" t="n">
        <f aca="false">10*LOG10(U177/L_PREF^2)</f>
        <v>-20.0593629942312</v>
      </c>
      <c r="AF177" s="47" t="n">
        <f aca="false">10*LOG10(V177/L_PREF^2)</f>
        <v>-10.9271870408907</v>
      </c>
      <c r="AG177" s="47" t="n">
        <f aca="false">10*LOG10(W177/L_PREF^2)</f>
        <v>-14.5368245400821</v>
      </c>
      <c r="AH177" s="47" t="n">
        <f aca="false">10*LOG10(X177/L_PREF^2)</f>
        <v>-20.4051012211133</v>
      </c>
      <c r="AI177" s="47" t="n">
        <f aca="false">10*LOG10(Y177/L_PREF^2)</f>
        <v>-22.7232053302413</v>
      </c>
      <c r="AJ177" s="47" t="n">
        <f aca="false">10*LOG10(Z177/L_PREF^2)</f>
        <v>-21.2685328927058</v>
      </c>
      <c r="AK177" s="47" t="n">
        <f aca="false">10*LOG10(R177/$R$6)</f>
        <v>-0.0191761537201693</v>
      </c>
      <c r="AL177" s="37" t="n">
        <f aca="false">(12194^2*B177^4/((B177^2+20.6^2)*SQRT((B177^2+107.7^2)*(B177^2+737.9^2))*(B177^2+12194^2))*1.2589254)^2</f>
        <v>0.445293772302428</v>
      </c>
      <c r="AM177" s="37" t="n">
        <f aca="false">0.5*(B177-B176)*(S177*AL177+S176*AL176)</f>
        <v>6.30875861064168E-012</v>
      </c>
      <c r="AN177" s="37" t="n">
        <f aca="false">0.5*(B177-B176)*(T177*AL177+T176*AL176)</f>
        <v>2.47893059719779E-011</v>
      </c>
      <c r="AO177" s="37" t="n">
        <f aca="false">0.5*(B177-B176)*(U177*AL177+U176*AL176)</f>
        <v>1.8860765965569E-011</v>
      </c>
      <c r="AP177" s="37" t="n">
        <f aca="false">0.5*(B177-B176)*(V177*AL177+V176*AL176)</f>
        <v>1.58017879460805E-010</v>
      </c>
      <c r="AQ177" s="37" t="n">
        <f aca="false">0.5*(B177-B176)*(W177*AL177+W176*AL176)</f>
        <v>6.88258619501251E-011</v>
      </c>
      <c r="AR177" s="37" t="n">
        <f aca="false">0.5*(B177-B176)*(X177*AL177+X176*AL176)</f>
        <v>1.74517424575333E-011</v>
      </c>
      <c r="AS177" s="37" t="n">
        <f aca="false">0.5*(B177-B176)*(Y177*AL177+Y176*AL176)</f>
        <v>1.04499347821103E-011</v>
      </c>
      <c r="AT177" s="37" t="n">
        <f aca="false">0.5*(B177-B176)*(Z177*AL177+Z176*AL176)</f>
        <v>1.427707319588E-011</v>
      </c>
      <c r="AU177" s="37" t="n">
        <f aca="false">0.5*(B177-B176)*(AA177*AL177+AA176*AL176)</f>
        <v>3.18981322394642E-010</v>
      </c>
      <c r="AV177" s="37" t="n">
        <f aca="false">0.5*(B177-B176)*(S177+S176)</f>
        <v>1.44145766586238E-011</v>
      </c>
      <c r="AW177" s="37" t="n">
        <f aca="false">0.5*(B177-B176)*(T177+T176)</f>
        <v>5.66404681114787E-011</v>
      </c>
      <c r="AX177" s="37" t="n">
        <f aca="false">0.5*(B177-B176)*(U177+U176)</f>
        <v>4.30944946356494E-011</v>
      </c>
      <c r="AY177" s="37" t="n">
        <f aca="false">0.5*(B177-B176)*(V177+V176)</f>
        <v>3.61195951252648E-010</v>
      </c>
      <c r="AZ177" s="37" t="n">
        <f aca="false">0.5*(B177-B176)*(W177+W176)</f>
        <v>1.57321639001411E-010</v>
      </c>
      <c r="BA177" s="37" t="n">
        <f aca="false">0.5*(B177-B176)*(X177+X176)</f>
        <v>3.98764409065254E-011</v>
      </c>
      <c r="BB177" s="37" t="n">
        <f aca="false">0.5*(B177-B176)*(Y177+Y176)</f>
        <v>2.38863825428119E-011</v>
      </c>
      <c r="BC177" s="37" t="n">
        <f aca="false">0.5*(B177-B176)*(Z177+Z176)</f>
        <v>3.26213249331253E-011</v>
      </c>
      <c r="BD177" s="37" t="n">
        <f aca="false">0.5*(B177-B176)*(AA177+AA176)</f>
        <v>7.29051278042274E-010</v>
      </c>
      <c r="BE177" s="37" t="n">
        <f aca="false">IF(B177&gt;2000,AK177,-999)</f>
        <v>-999</v>
      </c>
      <c r="BF177" s="37" t="n">
        <f aca="false">IF(AND(B177&lt;1000,AK177&gt;=-3),B177,1000000000)</f>
        <v>479.766583803898</v>
      </c>
    </row>
    <row r="178" customFormat="false" ht="15" hidden="false" customHeight="false" outlineLevel="0" collapsed="false">
      <c r="A178" s="5" t="n">
        <v>139</v>
      </c>
      <c r="B178" s="47" t="n">
        <f aca="false">20*10^(A178/100)</f>
        <v>490.941783137006</v>
      </c>
      <c r="C178" s="37" t="n">
        <f aca="false">2*PI()*B178</f>
        <v>3084.67819848698</v>
      </c>
      <c r="D178" s="37" t="n">
        <f aca="false">SQRT(L_Rp0^2+L_Rp1^2*C178)</f>
        <v>80282441.4418396</v>
      </c>
      <c r="E178" s="5" t="str">
        <f aca="false">COMPLEX(D178,C178*L_Mp)</f>
        <v>80282441.4418396+45569084.7461266i</v>
      </c>
      <c r="F178" s="5" t="str">
        <f aca="false">IMDIV(1,E178)</f>
        <v>9.42081830632008e-09-5.34734694247639e-09i</v>
      </c>
      <c r="G178" s="5" t="str">
        <f aca="false">COMPLEX(0,C178*L_Cf)</f>
        <v>3.26179359044833e-12i</v>
      </c>
      <c r="H178" s="5" t="str">
        <f aca="false">COMPLEX(0,C178*L_Cbv)</f>
        <v>3.26179359044833e-11i</v>
      </c>
      <c r="I178" s="5" t="str">
        <f aca="false">COMPLEX(L_Rsq+L_Rh,C178*(L_Md+L_Mh)-1/(C178*L_Cd))</f>
        <v>552400610.124532-373440066222.516i</v>
      </c>
      <c r="J178" s="5" t="str">
        <f aca="false">IMDIV(1,I178)</f>
        <v>3.9610595953647e-15+2.67780000690234e-12i</v>
      </c>
      <c r="K178" s="5" t="str">
        <f aca="false">IMSUM(F178,G178,H178)</f>
        <v>9.42081830632008e-09-5.31146721298146e-09i</v>
      </c>
      <c r="L178" s="5" t="str">
        <f aca="false">IMSUM(IMPRODUCT(IMSUM(F178,G178),H178),IMPRODUCT(IMSUM(J178,L_Yv),K178))</f>
        <v>2.07415026829435e-19+3.21870741544888e-19i</v>
      </c>
      <c r="M178" s="37" t="n">
        <f aca="false">IMABS(IMDIV(IMPRODUCT(J178,F178,H178),L178))^2</f>
        <v>6.10576074964187E-024</v>
      </c>
      <c r="N178" s="5" t="str">
        <f aca="false">IMDIV(IMPRODUCT(L_Yv,K178,E178),H178)</f>
        <v>0.000176621371172019-0.0612157063824971i</v>
      </c>
      <c r="O178" s="37" t="n">
        <f aca="false">IMABS(IMSUM(1,IMPRODUCT(E178,G178),N178))^2</f>
        <v>1.00377134043777</v>
      </c>
      <c r="P178" s="37" t="n">
        <f aca="false">IMABS(N178)^2</f>
        <v>0.00374739390301685</v>
      </c>
      <c r="Q178" s="37" t="n">
        <f aca="false">p_Rb^2/(1+(C178*p_Rb*L_Ctot)^2)</f>
        <v>17324182066788800</v>
      </c>
      <c r="R178" s="37" t="n">
        <f aca="false">M178*L_Kt^2*Q178</f>
        <v>2.12290200433659E-005</v>
      </c>
      <c r="S178" s="37" t="n">
        <f aca="false">L_kT4*D178</f>
        <v>1.32190017136624E-012</v>
      </c>
      <c r="T178" s="37" t="n">
        <f aca="false">L_kT4*L_Rsq*O178</f>
        <v>5.18497221019841E-012</v>
      </c>
      <c r="U178" s="37" t="n">
        <f aca="false">L_kT4*L_Rh*O178</f>
        <v>3.94494898344782E-012</v>
      </c>
      <c r="V178" s="37" t="n">
        <f aca="false">L_kT4*p_Rv*P178</f>
        <v>3.085158194998E-011</v>
      </c>
      <c r="W178" s="37" t="n">
        <f aca="false">L_kT4/p_Rb*Q178/R178</f>
        <v>1.34369555301858E-011</v>
      </c>
      <c r="X178" s="37" t="n">
        <f aca="false">p_en^2*(1+p_fc/B178)/R178</f>
        <v>3.62881417664898E-012</v>
      </c>
      <c r="Y178" s="37" t="n">
        <f aca="false">p_in^2*Q178/R178</f>
        <v>2.04015329386372E-012</v>
      </c>
      <c r="Z178" s="37" t="n">
        <f aca="false">p_eo^2/L_G^2/R178</f>
        <v>2.9862766895948E-012</v>
      </c>
      <c r="AA178" s="37" t="n">
        <f aca="false">SUM(S178:Z178)</f>
        <v>6.33956030052858E-011</v>
      </c>
      <c r="AB178" s="47" t="n">
        <f aca="false">10*LOG10(AA178/L_PREF^2)</f>
        <v>-8.00000854215355</v>
      </c>
      <c r="AC178" s="47" t="n">
        <f aca="false">10*LOG10(S178/L_PREF^2)</f>
        <v>-24.8086133244294</v>
      </c>
      <c r="AD178" s="47" t="n">
        <f aca="false">10*LOG10(T178/L_PREF^2)</f>
        <v>-18.8731355827693</v>
      </c>
      <c r="AE178" s="47" t="n">
        <f aca="false">10*LOG10(U178/L_PREF^2)</f>
        <v>-20.060186000944</v>
      </c>
      <c r="AF178" s="47" t="n">
        <f aca="false">10*LOG10(V178/L_PREF^2)</f>
        <v>-11.1278255344387</v>
      </c>
      <c r="AG178" s="47" t="n">
        <f aca="false">10*LOG10(W178/L_PREF^2)</f>
        <v>-14.7375911146561</v>
      </c>
      <c r="AH178" s="47" t="n">
        <f aca="false">10*LOG10(X178/L_PREF^2)</f>
        <v>-20.4229526179431</v>
      </c>
      <c r="AI178" s="47" t="n">
        <f aca="false">10*LOG10(Y178/L_PREF^2)</f>
        <v>-22.9239719048152</v>
      </c>
      <c r="AJ178" s="47" t="n">
        <f aca="false">10*LOG10(Z178/L_PREF^2)</f>
        <v>-21.2692994708256</v>
      </c>
      <c r="AK178" s="47" t="n">
        <f aca="false">10*LOG10(R178/$R$6)</f>
        <v>-0.0184095756003965</v>
      </c>
      <c r="AL178" s="37" t="n">
        <f aca="false">(12194^2*B178^4/((B178^2+20.6^2)*SQRT((B178^2+107.7^2)*(B178^2+737.9^2))*(B178^2+12194^2))*1.2589254)^2</f>
        <v>0.460844868321256</v>
      </c>
      <c r="AM178" s="37" t="n">
        <f aca="false">0.5*(B178-B177)*(S178*AL178+S177*AL177)</f>
        <v>6.68965189595629E-012</v>
      </c>
      <c r="AN178" s="37" t="n">
        <f aca="false">0.5*(B178-B177)*(T178*AL178+T177*AL177)</f>
        <v>2.62546850193545E-011</v>
      </c>
      <c r="AO178" s="37" t="n">
        <f aca="false">0.5*(B178-B177)*(U178*AL178+U177*AL177)</f>
        <v>1.99756891221374E-011</v>
      </c>
      <c r="AP178" s="37" t="n">
        <f aca="false">0.5*(B178-B177)*(V178*AL178+V177*AL177)</f>
        <v>1.5983540294821E-010</v>
      </c>
      <c r="AQ178" s="37" t="n">
        <f aca="false">0.5*(B178-B177)*(W178*AL178+W177*AL177)</f>
        <v>6.96150059088229E-011</v>
      </c>
      <c r="AR178" s="37" t="n">
        <f aca="false">0.5*(B178-B177)*(X178*AL178+X177*AL177)</f>
        <v>1.84103833361826E-011</v>
      </c>
      <c r="AS178" s="37" t="n">
        <f aca="false">0.5*(B178-B177)*(Y178*AL178+Y177*AL177)</f>
        <v>1.05697517036632E-011</v>
      </c>
      <c r="AT178" s="37" t="n">
        <f aca="false">0.5*(B178-B177)*(Z178*AL178+Z177*AL177)</f>
        <v>1.51212484903742E-011</v>
      </c>
      <c r="AU178" s="37" t="n">
        <f aca="false">0.5*(B178-B177)*(AA178*AL178+AA177*AL177)</f>
        <v>3.26471818424701E-010</v>
      </c>
      <c r="AV178" s="37" t="n">
        <f aca="false">0.5*(B178-B177)*(S178+S177)</f>
        <v>1.47650563249864E-011</v>
      </c>
      <c r="AW178" s="37" t="n">
        <f aca="false">0.5*(B178-B177)*(T178+T177)</f>
        <v>5.79485887389147E-011</v>
      </c>
      <c r="AX178" s="37" t="n">
        <f aca="false">0.5*(B178-B177)*(U178+U177)</f>
        <v>4.40897688493242E-011</v>
      </c>
      <c r="AY178" s="37" t="n">
        <f aca="false">0.5*(B178-B177)*(V178+V177)</f>
        <v>3.52923433900292E-010</v>
      </c>
      <c r="AZ178" s="37" t="n">
        <f aca="false">0.5*(B178-B177)*(W178+W177)</f>
        <v>1.53712961583373E-010</v>
      </c>
      <c r="BA178" s="37" t="n">
        <f aca="false">0.5*(B178-B177)*(X178+X177)</f>
        <v>4.06362379774817E-011</v>
      </c>
      <c r="BB178" s="37" t="n">
        <f aca="false">0.5*(B178-B177)*(Y178+Y177)</f>
        <v>2.33384715889977E-011</v>
      </c>
      <c r="BC178" s="37" t="n">
        <f aca="false">0.5*(B178-B177)*(Z178+Z177)</f>
        <v>3.33751828157297E-011</v>
      </c>
      <c r="BD178" s="37" t="n">
        <f aca="false">0.5*(B178-B177)*(AA178+AA177)</f>
        <v>7.20789701779099E-010</v>
      </c>
      <c r="BE178" s="37" t="n">
        <f aca="false">IF(B178&gt;2000,AK178,-999)</f>
        <v>-999</v>
      </c>
      <c r="BF178" s="37" t="n">
        <f aca="false">IF(AND(B178&lt;1000,AK178&gt;=-3),B178,1000000000)</f>
        <v>490.941783137006</v>
      </c>
    </row>
    <row r="179" customFormat="false" ht="15" hidden="false" customHeight="false" outlineLevel="0" collapsed="false">
      <c r="A179" s="5" t="n">
        <v>140</v>
      </c>
      <c r="B179" s="47" t="n">
        <f aca="false">20*10^(A179/100)</f>
        <v>502.377286301916</v>
      </c>
      <c r="C179" s="37" t="n">
        <f aca="false">2*PI()*B179</f>
        <v>3156.52958395295</v>
      </c>
      <c r="D179" s="37" t="n">
        <f aca="false">SQRT(L_Rp0^2+L_Rp1^2*C179)</f>
        <v>80365125.1350261</v>
      </c>
      <c r="E179" s="5" t="str">
        <f aca="false">COMPLEX(D179,C179*L_Mp)</f>
        <v>80365125.1350261+46630525.0853592i</v>
      </c>
      <c r="F179" s="5" t="str">
        <f aca="false">IMDIV(1,E179)</f>
        <v>9.30910516330276e-09-5.4014531939109e-09i</v>
      </c>
      <c r="G179" s="5" t="str">
        <f aca="false">COMPLEX(0,C179*L_Cf)</f>
        <v>3.33777052337205e-12i</v>
      </c>
      <c r="H179" s="5" t="str">
        <f aca="false">COMPLEX(0,C179*L_Cbv)</f>
        <v>3.33777052337205e-11i</v>
      </c>
      <c r="I179" s="5" t="str">
        <f aca="false">COMPLEX(L_Rsq+L_Rh,C179*(L_Md+L_Mh)-1/(C179*L_Cd))</f>
        <v>552400610.124532-364938997200.849i</v>
      </c>
      <c r="J179" s="5" t="str">
        <f aca="false">IMDIV(1,I179)</f>
        <v>4.14775032325345e-15+2.74017771860602e-12i</v>
      </c>
      <c r="K179" s="5" t="str">
        <f aca="false">IMSUM(F179,G179,H179)</f>
        <v>9.30910516330276e-09-5.36473771815381e-09i</v>
      </c>
      <c r="L179" s="5" t="str">
        <f aca="false">IMSUM(IMPRODUCT(IMSUM(F179,G179),H179),IMPRODUCT(IMSUM(J179,L_Yv),K179))</f>
        <v>2.13533862351435e-19+3.25473443650155e-19i</v>
      </c>
      <c r="M179" s="37" t="n">
        <f aca="false">IMABS(IMDIV(IMPRODUCT(J179,F179,H179),L179))^2</f>
        <v>6.39460954678302E-024</v>
      </c>
      <c r="N179" s="5" t="str">
        <f aca="false">IMDIV(IMPRODUCT(L_Yv,K179,E179),H179)</f>
        <v>0.000176803275297066-0.059817649601516i</v>
      </c>
      <c r="O179" s="37" t="n">
        <f aca="false">IMABS(IMSUM(1,IMPRODUCT(E179,G179),N179))^2</f>
        <v>1.00358845515687</v>
      </c>
      <c r="P179" s="37" t="n">
        <f aca="false">IMABS(N179)^2</f>
        <v>0.00357818246324791</v>
      </c>
      <c r="Q179" s="37" t="n">
        <f aca="false">p_Rb^2/(1+(C179*p_Rb*L_Ctot)^2)</f>
        <v>16544465445568800</v>
      </c>
      <c r="R179" s="37" t="n">
        <f aca="false">M179*L_Kt^2*Q179</f>
        <v>2.12326497806094E-005</v>
      </c>
      <c r="S179" s="37" t="n">
        <f aca="false">L_kT4*D179</f>
        <v>1.3232616096363E-012</v>
      </c>
      <c r="T179" s="37" t="n">
        <f aca="false">L_kT4*L_Rsq*O179</f>
        <v>5.1840275178557E-012</v>
      </c>
      <c r="U179" s="37" t="n">
        <f aca="false">L_kT4*L_Rh*O179</f>
        <v>3.94423022104255E-012</v>
      </c>
      <c r="V179" s="37" t="n">
        <f aca="false">L_kT4*p_Rv*P179</f>
        <v>2.94584963187356E-011</v>
      </c>
      <c r="W179" s="37" t="n">
        <f aca="false">L_kT4/p_Rb*Q179/R179</f>
        <v>1.28299992471261E-011</v>
      </c>
      <c r="X179" s="37" t="n">
        <f aca="false">p_en^2*(1+p_fc/B179)/R179</f>
        <v>3.61421820877929E-012</v>
      </c>
      <c r="Y179" s="37" t="n">
        <f aca="false">p_in^2*Q179/R179</f>
        <v>1.94799820282888E-012</v>
      </c>
      <c r="Z179" s="37" t="n">
        <f aca="false">p_eo^2/L_G^2/R179</f>
        <v>2.98576618337766E-012</v>
      </c>
      <c r="AA179" s="37" t="n">
        <f aca="false">SUM(S179:Z179)</f>
        <v>6.12879975093821E-011</v>
      </c>
      <c r="AB179" s="47" t="n">
        <f aca="false">10*LOG10(AA179/L_PREF^2)</f>
        <v>-8.14684559645176</v>
      </c>
      <c r="AC179" s="47" t="n">
        <f aca="false">10*LOG10(S179/L_PREF^2)</f>
        <v>-24.8041427836512</v>
      </c>
      <c r="AD179" s="47" t="n">
        <f aca="false">10*LOG10(T179/L_PREF^2)</f>
        <v>-18.8739269313727</v>
      </c>
      <c r="AE179" s="47" t="n">
        <f aca="false">10*LOG10(U179/L_PREF^2)</f>
        <v>-20.0609773495474</v>
      </c>
      <c r="AF179" s="47" t="n">
        <f aca="false">10*LOG10(V179/L_PREF^2)</f>
        <v>-11.3284941640934</v>
      </c>
      <c r="AG179" s="47" t="n">
        <f aca="false">10*LOG10(W179/L_PREF^2)</f>
        <v>-14.9383336043776</v>
      </c>
      <c r="AH179" s="47" t="n">
        <f aca="false">10*LOG10(X179/L_PREF^2)</f>
        <v>-20.4404562173949</v>
      </c>
      <c r="AI179" s="47" t="n">
        <f aca="false">10*LOG10(Y179/L_PREF^2)</f>
        <v>-23.1247143945367</v>
      </c>
      <c r="AJ179" s="47" t="n">
        <f aca="false">10*LOG10(Z179/L_PREF^2)</f>
        <v>-21.2700419639334</v>
      </c>
      <c r="AK179" s="47" t="n">
        <f aca="false">10*LOG10(R179/$R$6)</f>
        <v>-0.0176670824926309</v>
      </c>
      <c r="AL179" s="37" t="n">
        <f aca="false">(12194^2*B179^4/((B179^2+20.6^2)*SQRT((B179^2+107.7^2)*(B179^2+737.9^2))*(B179^2+12194^2))*1.2589254)^2</f>
        <v>0.476672882413481</v>
      </c>
      <c r="AM179" s="37" t="n">
        <f aca="false">0.5*(B179-B178)*(S179*AL179+S178*AL178)</f>
        <v>7.08974800830065E-012</v>
      </c>
      <c r="AN179" s="37" t="n">
        <f aca="false">0.5*(B179-B178)*(T179*AL179+T178*AL178)</f>
        <v>2.77914356074216E-011</v>
      </c>
      <c r="AO179" s="37" t="n">
        <f aca="false">0.5*(B179-B178)*(U179*AL179+U178*AL178)</f>
        <v>2.11449148044436E-011</v>
      </c>
      <c r="AP179" s="37" t="n">
        <f aca="false">0.5*(B179-B178)*(V179*AL179+V178*AL178)</f>
        <v>1.61582856793817E-010</v>
      </c>
      <c r="AQ179" s="37" t="n">
        <f aca="false">0.5*(B179-B178)*(W179*AL179+W178*AL178)</f>
        <v>7.03744565551104E-011</v>
      </c>
      <c r="AR179" s="37" t="n">
        <f aca="false">0.5*(B179-B178)*(X179*AL179+X178*AL178)</f>
        <v>1.94124539113281E-011</v>
      </c>
      <c r="AS179" s="37" t="n">
        <f aca="false">0.5*(B179-B178)*(Y179*AL179+Y178*AL178)</f>
        <v>1.06850602446545E-011</v>
      </c>
      <c r="AT179" s="37" t="n">
        <f aca="false">0.5*(B179-B178)*(Z179*AL179+Z178*AL178)</f>
        <v>1.60065257076641E-011</v>
      </c>
      <c r="AU179" s="37" t="n">
        <f aca="false">0.5*(B179-B178)*(AA179*AL179+AA178*AL178)</f>
        <v>3.3408745163274E-010</v>
      </c>
      <c r="AV179" s="37" t="n">
        <f aca="false">0.5*(B179-B178)*(S179+S178)</f>
        <v>1.51243779591767E-011</v>
      </c>
      <c r="AW179" s="37" t="n">
        <f aca="false">0.5*(B179-B178)*(T179+T178)</f>
        <v>5.92873646035566E-011</v>
      </c>
      <c r="AX179" s="37" t="n">
        <f aca="false">0.5*(B179-B178)*(U179+U178)</f>
        <v>4.51083668807457E-011</v>
      </c>
      <c r="AY179" s="37" t="n">
        <f aca="false">0.5*(B179-B178)*(V179+V178)</f>
        <v>3.44838045458933E-010</v>
      </c>
      <c r="AZ179" s="37" t="n">
        <f aca="false">0.5*(B179-B178)*(W179+W178)</f>
        <v>1.50187922244248E-010</v>
      </c>
      <c r="BA179" s="37" t="n">
        <f aca="false">0.5*(B179-B178)*(X179+X178)</f>
        <v>4.14138598835551E-011</v>
      </c>
      <c r="BB179" s="37" t="n">
        <f aca="false">0.5*(B179-B178)*(Y179+Y178)</f>
        <v>2.28032595312843E-011</v>
      </c>
      <c r="BC179" s="37" t="n">
        <f aca="false">0.5*(B179-B178)*(Z179+Z178)</f>
        <v>3.41466575874273E-011</v>
      </c>
      <c r="BD179" s="37" t="n">
        <f aca="false">0.5*(B179-B178)*(AA179+AA178)</f>
        <v>7.12909854148927E-010</v>
      </c>
      <c r="BE179" s="37" t="n">
        <f aca="false">IF(B179&gt;2000,AK179,-999)</f>
        <v>-999</v>
      </c>
      <c r="BF179" s="37" t="n">
        <f aca="false">IF(AND(B179&lt;1000,AK179&gt;=-3),B179,1000000000)</f>
        <v>502.377286301916</v>
      </c>
    </row>
    <row r="180" customFormat="false" ht="15" hidden="false" customHeight="false" outlineLevel="0" collapsed="false">
      <c r="A180" s="5" t="n">
        <v>141</v>
      </c>
      <c r="B180" s="47" t="n">
        <f aca="false">20*10^(A180/100)</f>
        <v>514.079156553773</v>
      </c>
      <c r="C180" s="37" t="n">
        <f aca="false">2*PI()*B180</f>
        <v>3230.05460318594</v>
      </c>
      <c r="D180" s="37" t="n">
        <f aca="false">SQRT(L_Rp0^2+L_Rp1^2*C180)</f>
        <v>80449646.8069065</v>
      </c>
      <c r="E180" s="5" t="str">
        <f aca="false">COMPLEX(D180,C180*L_Mp)</f>
        <v>80449646.8069065+47716689.54622i</v>
      </c>
      <c r="F180" s="5" t="str">
        <f aca="false">IMDIV(1,E180)</f>
        <v>9.19526667277277e-09-5.45394172049658e-09i</v>
      </c>
      <c r="G180" s="5" t="str">
        <f aca="false">COMPLEX(0,C180*L_Cf)</f>
        <v>3.41551718640789e-12i</v>
      </c>
      <c r="H180" s="5" t="str">
        <f aca="false">COMPLEX(0,C180*L_Cbv)</f>
        <v>3.41551718640789e-11i</v>
      </c>
      <c r="I180" s="5" t="str">
        <f aca="false">COMPLEX(L_Rsq+L_Rh,C180*(L_Md+L_Mh)-1/(C180*L_Cd))</f>
        <v>552400610.124532-356631423666.037i</v>
      </c>
      <c r="J180" s="5" t="str">
        <f aca="false">IMDIV(1,I180)</f>
        <v>4.34324064683089e-15+2.80400866113148e-12i</v>
      </c>
      <c r="K180" s="5" t="str">
        <f aca="false">IMSUM(F180,G180,H180)</f>
        <v>9.19526667277277e-09-5.41637103144609e-09i</v>
      </c>
      <c r="L180" s="5" t="str">
        <f aca="false">IMSUM(IMPRODUCT(IMSUM(F180,G180),H180),IMPRODUCT(IMSUM(J180,L_Yv),K180))</f>
        <v>2.19781681109318e-19+3.28993254270745e-19i</v>
      </c>
      <c r="M180" s="37" t="n">
        <f aca="false">IMABS(IMDIV(IMPRODUCT(J180,F180,H180),L180))^2</f>
        <v>6.69708835544798E-024</v>
      </c>
      <c r="N180" s="5" t="str">
        <f aca="false">IMDIV(IMPRODUCT(L_Yv,K180,E180),H180)</f>
        <v>0.000176989222975186-0.0584513089301335i</v>
      </c>
      <c r="O180" s="37" t="n">
        <f aca="false">IMABS(IMSUM(1,IMPRODUCT(E180,G180),N180))^2</f>
        <v>1.00341253314565</v>
      </c>
      <c r="P180" s="37" t="n">
        <f aca="false">IMABS(N180)^2</f>
        <v>0.00341658684083096</v>
      </c>
      <c r="Q180" s="37" t="n">
        <f aca="false">p_Rb^2/(1+(C180*p_Rb*L_Ctot)^2)</f>
        <v>15799841851971000</v>
      </c>
      <c r="R180" s="37" t="n">
        <f aca="false">M180*L_Kt^2*Q180</f>
        <v>2.12361700181381E-005</v>
      </c>
      <c r="S180" s="37" t="n">
        <f aca="false">L_kT4*D180</f>
        <v>1.32465331136504E-012</v>
      </c>
      <c r="T180" s="37" t="n">
        <f aca="false">L_kT4*L_Rsq*O180</f>
        <v>5.18311879422256E-012</v>
      </c>
      <c r="U180" s="37" t="n">
        <f aca="false">L_kT4*L_Rh*O180</f>
        <v>3.94353882517244E-012</v>
      </c>
      <c r="V180" s="37" t="n">
        <f aca="false">L_kT4*p_Rv*P180</f>
        <v>2.81281102646459E-011</v>
      </c>
      <c r="W180" s="37" t="n">
        <f aca="false">L_kT4/p_Rb*Q180/R180</f>
        <v>1.22505231104128E-011</v>
      </c>
      <c r="X180" s="37" t="n">
        <f aca="false">p_en^2*(1+p_fc/B180)/R180</f>
        <v>3.59996386234056E-012</v>
      </c>
      <c r="Y180" s="37" t="n">
        <f aca="false">p_in^2*Q180/R180</f>
        <v>1.86001546400271E-012</v>
      </c>
      <c r="Z180" s="37" t="n">
        <f aca="false">p_eo^2/L_G^2/R180</f>
        <v>2.98527124449924E-012</v>
      </c>
      <c r="AA180" s="37" t="n">
        <f aca="false">SUM(S180:Z180)</f>
        <v>5.92751948766612E-011</v>
      </c>
      <c r="AB180" s="47" t="n">
        <f aca="false">10*LOG10(AA180/L_PREF^2)</f>
        <v>-8.29187000862984</v>
      </c>
      <c r="AC180" s="47" t="n">
        <f aca="false">10*LOG10(S180/L_PREF^2)</f>
        <v>-24.799577618569</v>
      </c>
      <c r="AD180" s="47" t="n">
        <f aca="false">10*LOG10(T180/L_PREF^2)</f>
        <v>-18.8746882858449</v>
      </c>
      <c r="AE180" s="47" t="n">
        <f aca="false">10*LOG10(U180/L_PREF^2)</f>
        <v>-20.0617387040197</v>
      </c>
      <c r="AF180" s="47" t="n">
        <f aca="false">10*LOG10(V180/L_PREF^2)</f>
        <v>-11.5291943545869</v>
      </c>
      <c r="AG180" s="47" t="n">
        <f aca="false">10*LOG10(W180/L_PREF^2)</f>
        <v>-15.1390535739352</v>
      </c>
      <c r="AH180" s="47" t="n">
        <f aca="false">10*LOG10(X180/L_PREF^2)</f>
        <v>-20.4576185013425</v>
      </c>
      <c r="AI180" s="47" t="n">
        <f aca="false">10*LOG10(Y180/L_PREF^2)</f>
        <v>-23.3254343640944</v>
      </c>
      <c r="AJ180" s="47" t="n">
        <f aca="false">10*LOG10(Z180/L_PREF^2)</f>
        <v>-21.2707619367249</v>
      </c>
      <c r="AK180" s="47" t="n">
        <f aca="false">10*LOG10(R180/$R$6)</f>
        <v>-0.0169471097010905</v>
      </c>
      <c r="AL180" s="37" t="n">
        <f aca="false">(12194^2*B180^4/((B180^2+20.6^2)*SQRT((B180^2+107.7^2)*(B180^2+737.9^2))*(B180^2+12194^2))*1.2589254)^2</f>
        <v>0.492767354253133</v>
      </c>
      <c r="AM180" s="37" t="n">
        <f aca="false">0.5*(B180-B179)*(S180*AL180+S179*AL179)</f>
        <v>7.50972691658843E-012</v>
      </c>
      <c r="AN180" s="37" t="n">
        <f aca="false">0.5*(B180-B179)*(T180*AL180+T179*AL179)</f>
        <v>2.94018680402412E-011</v>
      </c>
      <c r="AO180" s="37" t="n">
        <f aca="false">0.5*(B180-B179)*(U180*AL180+U179*AL179)</f>
        <v>2.23702007907923E-011</v>
      </c>
      <c r="AP180" s="37" t="n">
        <f aca="false">0.5*(B180-B179)*(V180*AL180+V179*AL179)</f>
        <v>1.63256775358664E-010</v>
      </c>
      <c r="AQ180" s="37" t="n">
        <f aca="false">0.5*(B180-B179)*(W180*AL180+W179*AL179)</f>
        <v>7.11027319122028E-011</v>
      </c>
      <c r="AR180" s="37" t="n">
        <f aca="false">0.5*(B180-B179)*(X180*AL180+X179*AL179)</f>
        <v>2.04592250991774E-011</v>
      </c>
      <c r="AS180" s="37" t="n">
        <f aca="false">0.5*(B180-B179)*(Y180*AL180+Y179*AL179)</f>
        <v>1.0795635394306E-011</v>
      </c>
      <c r="AT180" s="37" t="n">
        <f aca="false">0.5*(B180-B179)*(Z180*AL180+Z179*AL179)</f>
        <v>1.6934232730869E-011</v>
      </c>
      <c r="AU180" s="37" t="n">
        <f aca="false">0.5*(B180-B179)*(AA180*AL180+AA179*AL179)</f>
        <v>3.41830396242842E-010</v>
      </c>
      <c r="AV180" s="37" t="n">
        <f aca="false">0.5*(B180-B179)*(S180+S179)</f>
        <v>1.54927784217567E-011</v>
      </c>
      <c r="AW180" s="37" t="n">
        <f aca="false">0.5*(B180-B179)*(T180+T179)</f>
        <v>6.06575005129778E-011</v>
      </c>
      <c r="AX180" s="37" t="n">
        <f aca="false">0.5*(B180-B179)*(U180+U179)</f>
        <v>4.61508249777101E-011</v>
      </c>
      <c r="AY180" s="37" t="n">
        <f aca="false">0.5*(B180-B179)*(V180+V179)</f>
        <v>3.36935499241727E-010</v>
      </c>
      <c r="AZ180" s="37" t="n">
        <f aca="false">0.5*(B180-B179)*(W180+W179)</f>
        <v>1.46744509238357E-010</v>
      </c>
      <c r="BA180" s="37" t="n">
        <f aca="false">0.5*(B180-B179)*(X180+X179)</f>
        <v>4.2209711284758E-011</v>
      </c>
      <c r="BB180" s="37" t="n">
        <f aca="false">0.5*(B180-B179)*(Y180+Y179)</f>
        <v>2.22804409232803E-011</v>
      </c>
      <c r="BC180" s="37" t="n">
        <f aca="false">0.5*(B180-B179)*(Z180+Z179)</f>
        <v>3.49361526249981E-011</v>
      </c>
      <c r="BD180" s="37" t="n">
        <f aca="false">0.5*(B180-B179)*(AA180+AA179)</f>
        <v>7.05407417225564E-010</v>
      </c>
      <c r="BE180" s="37" t="n">
        <f aca="false">IF(B180&gt;2000,AK180,-999)</f>
        <v>-999</v>
      </c>
      <c r="BF180" s="37" t="n">
        <f aca="false">IF(AND(B180&lt;1000,AK180&gt;=-3),B180,1000000000)</f>
        <v>514.079156553773</v>
      </c>
    </row>
    <row r="181" customFormat="false" ht="15" hidden="false" customHeight="false" outlineLevel="0" collapsed="false">
      <c r="A181" s="5" t="n">
        <v>142</v>
      </c>
      <c r="B181" s="47" t="n">
        <f aca="false">20*10^(A181/100)</f>
        <v>526.053598379076</v>
      </c>
      <c r="C181" s="37" t="n">
        <f aca="false">2*PI()*B181</f>
        <v>3305.29224012436</v>
      </c>
      <c r="D181" s="37" t="n">
        <f aca="false">SQRT(L_Rp0^2+L_Rp1^2*C181)</f>
        <v>80536045.4135927</v>
      </c>
      <c r="E181" s="5" t="str">
        <f aca="false">COMPLEX(D181,C181*L_Mp)</f>
        <v>80536045.4135927+48828154.0274832i</v>
      </c>
      <c r="F181" s="5" t="str">
        <f aca="false">IMDIV(1,E181)</f>
        <v>9.07935027997453e-09-5.5047142141554e-09i</v>
      </c>
      <c r="G181" s="5" t="str">
        <f aca="false">COMPLEX(0,C181*L_Cf)</f>
        <v>3.49507480186567e-12i</v>
      </c>
      <c r="H181" s="5" t="str">
        <f aca="false">COMPLEX(0,C181*L_Cbv)</f>
        <v>3.49507480186567e-11i</v>
      </c>
      <c r="I181" s="5" t="str">
        <f aca="false">COMPLEX(L_Rsq+L_Rh,C181*(L_Md+L_Mh)-1/(C181*L_Cd))</f>
        <v>552400610.124532-348512940832.627i</v>
      </c>
      <c r="J181" s="5" t="str">
        <f aca="false">IMDIV(1,I181)</f>
        <v>4.54794538755892e-15+2.86932670368886e-12i</v>
      </c>
      <c r="K181" s="5" t="str">
        <f aca="false">IMSUM(F181,G181,H181)</f>
        <v>9.07935027997453e-09-5.46626839133488e-09i</v>
      </c>
      <c r="L181" s="5" t="str">
        <f aca="false">IMSUM(IMPRODUCT(IMSUM(F181,G181),H181),IMPRODUCT(IMSUM(J181,L_Yv),K181))</f>
        <v>2.26156226748921e-19+3.32424308946199e-19i</v>
      </c>
      <c r="M181" s="37" t="n">
        <f aca="false">IMABS(IMDIV(IMPRODUCT(J181,F181,H181),L181))^2</f>
        <v>7.01384114506204E-024</v>
      </c>
      <c r="N181" s="5" t="str">
        <f aca="false">IMDIV(IMPRODUCT(L_Yv,K181,E181),H181)</f>
        <v>0.000177179299909921-0.0571159599164405i</v>
      </c>
      <c r="O181" s="37" t="n">
        <f aca="false">IMABS(IMSUM(1,IMPRODUCT(E181,G181),N181))^2</f>
        <v>1.0032432007047</v>
      </c>
      <c r="P181" s="37" t="n">
        <f aca="false">IMABS(N181)^2</f>
        <v>0.00326226426968076</v>
      </c>
      <c r="Q181" s="37" t="n">
        <f aca="false">p_Rb^2/(1+(C181*p_Rb*L_Ctot)^2)</f>
        <v>15088731839673200</v>
      </c>
      <c r="R181" s="37" t="n">
        <f aca="false">M181*L_Kt^2*Q181</f>
        <v>2.12395881256004E-005</v>
      </c>
      <c r="S181" s="37" t="n">
        <f aca="false">L_kT4*D181</f>
        <v>1.32607591798902E-012</v>
      </c>
      <c r="T181" s="37" t="n">
        <f aca="false">L_kT4*L_Rsq*O181</f>
        <v>5.18224410895784E-012</v>
      </c>
      <c r="U181" s="37" t="n">
        <f aca="false">L_kT4*L_Rh*O181</f>
        <v>3.94287332715123E-012</v>
      </c>
      <c r="V181" s="37" t="n">
        <f aca="false">L_kT4*p_Rv*P181</f>
        <v>2.6857601859661E-011</v>
      </c>
      <c r="W181" s="37" t="n">
        <f aca="false">L_kT4/p_Rb*Q181/R181</f>
        <v>1.16972759967129E-011</v>
      </c>
      <c r="X181" s="37" t="n">
        <f aca="false">p_en^2*(1+p_fc/B181)/R181</f>
        <v>3.58604226371292E-012</v>
      </c>
      <c r="Y181" s="37" t="n">
        <f aca="false">p_in^2*Q181/R181</f>
        <v>1.77601511743613E-012</v>
      </c>
      <c r="Z181" s="37" t="n">
        <f aca="false">p_eo^2/L_G^2/R181</f>
        <v>2.98479082191019E-012</v>
      </c>
      <c r="AA181" s="37" t="n">
        <f aca="false">SUM(S181:Z181)</f>
        <v>5.73529194135312E-011</v>
      </c>
      <c r="AB181" s="47" t="n">
        <f aca="false">10*LOG10(AA181/L_PREF^2)</f>
        <v>-8.43504461803542</v>
      </c>
      <c r="AC181" s="47" t="n">
        <f aca="false">10*LOG10(S181/L_PREF^2)</f>
        <v>-24.7949160314164</v>
      </c>
      <c r="AD181" s="47" t="n">
        <f aca="false">10*LOG10(T181/L_PREF^2)</f>
        <v>-18.875421248093</v>
      </c>
      <c r="AE181" s="47" t="n">
        <f aca="false">10*LOG10(U181/L_PREF^2)</f>
        <v>-20.0624716662677</v>
      </c>
      <c r="AF181" s="47" t="n">
        <f aca="false">10*LOG10(V181/L_PREF^2)</f>
        <v>-11.7299275982374</v>
      </c>
      <c r="AG181" s="47" t="n">
        <f aca="false">10*LOG10(W181/L_PREF^2)</f>
        <v>-15.3397525414021</v>
      </c>
      <c r="AH181" s="47" t="n">
        <f aca="false">10*LOG10(X181/L_PREF^2)</f>
        <v>-20.4744458764415</v>
      </c>
      <c r="AI181" s="47" t="n">
        <f aca="false">10*LOG10(Y181/L_PREF^2)</f>
        <v>-23.5261333315613</v>
      </c>
      <c r="AJ181" s="47" t="n">
        <f aca="false">10*LOG10(Z181/L_PREF^2)</f>
        <v>-21.2714609072801</v>
      </c>
      <c r="AK181" s="47" t="n">
        <f aca="false">10*LOG10(R181/$R$6)</f>
        <v>-0.016248139145883</v>
      </c>
      <c r="AL181" s="37" t="n">
        <f aca="false">(12194^2*B181^4/((B181^2+20.6^2)*SQRT((B181^2+107.7^2)*(B181^2+737.9^2))*(B181^2+12194^2))*1.2589254)^2</f>
        <v>0.509116873439727</v>
      </c>
      <c r="AM181" s="37" t="n">
        <f aca="false">0.5*(B181-B180)*(S181*AL181+S180*AL180)</f>
        <v>7.950272185262E-012</v>
      </c>
      <c r="AN181" s="37" t="n">
        <f aca="false">0.5*(B181-B180)*(T181*AL181+T180*AL180)</f>
        <v>3.10882832790986E-011</v>
      </c>
      <c r="AO181" s="37" t="n">
        <f aca="false">0.5*(B181-B180)*(U181*AL181+U180*AL180)</f>
        <v>2.36532977511031E-011</v>
      </c>
      <c r="AP181" s="37" t="n">
        <f aca="false">0.5*(B181-B180)*(V181*AL181+V180*AL180)</f>
        <v>1.6485377369608E-010</v>
      </c>
      <c r="AQ181" s="37" t="n">
        <f aca="false">0.5*(B181-B180)*(W181*AL181+W180*AL180)</f>
        <v>7.17983846384005E-011</v>
      </c>
      <c r="AR181" s="37" t="n">
        <f aca="false">0.5*(B181-B180)*(X181*AL181+X180*AL180)</f>
        <v>2.15519553985287E-011</v>
      </c>
      <c r="AS181" s="37" t="n">
        <f aca="false">0.5*(B181-B180)*(Y181*AL181+Y180*AL180)</f>
        <v>1.09012574005372E-011</v>
      </c>
      <c r="AT181" s="37" t="n">
        <f aca="false">0.5*(B181-B180)*(Z181*AL181+Z180*AL180)</f>
        <v>1.7905691706194E-011</v>
      </c>
      <c r="AU181" s="37" t="n">
        <f aca="false">0.5*(B181-B180)*(AA181*AL181+AA180*AL180)</f>
        <v>3.49702916055204E-010</v>
      </c>
      <c r="AV181" s="37" t="n">
        <f aca="false">0.5*(B181-B180)*(S181+S180)</f>
        <v>1.5870501475766E-011</v>
      </c>
      <c r="AW181" s="37" t="n">
        <f aca="false">0.5*(B181-B180)*(T181+T180)</f>
        <v>6.20597175411465E-011</v>
      </c>
      <c r="AX181" s="37" t="n">
        <f aca="false">0.5*(B181-B180)*(U181+U180)</f>
        <v>4.72176917641833E-011</v>
      </c>
      <c r="AY181" s="37" t="n">
        <f aca="false">0.5*(B181-B180)*(V181+V180)</f>
        <v>3.292116055277E-010</v>
      </c>
      <c r="AZ181" s="37" t="n">
        <f aca="false">0.5*(B181-B180)*(W181+W180)</f>
        <v>1.43380763626166E-010</v>
      </c>
      <c r="BA181" s="37" t="n">
        <f aca="false">0.5*(B181-B180)*(X181+X180)</f>
        <v>4.30242061563511E-011</v>
      </c>
      <c r="BB181" s="37" t="n">
        <f aca="false">0.5*(B181-B180)*(Y181+Y180)</f>
        <v>2.1769718336232E-011</v>
      </c>
      <c r="BC181" s="37" t="n">
        <f aca="false">0.5*(B181-B180)*(Z181+Z180)</f>
        <v>3.57440804538356E-011</v>
      </c>
      <c r="BD181" s="37" t="n">
        <f aca="false">0.5*(B181-B180)*(AA181+AA180)</f>
        <v>6.9827828488138E-010</v>
      </c>
      <c r="BE181" s="37" t="n">
        <f aca="false">IF(B181&gt;2000,AK181,-999)</f>
        <v>-999</v>
      </c>
      <c r="BF181" s="37" t="n">
        <f aca="false">IF(AND(B181&lt;1000,AK181&gt;=-3),B181,1000000000)</f>
        <v>526.053598379076</v>
      </c>
    </row>
    <row r="182" customFormat="false" ht="15" hidden="false" customHeight="false" outlineLevel="0" collapsed="false">
      <c r="A182" s="5" t="n">
        <v>143</v>
      </c>
      <c r="B182" s="47" t="n">
        <f aca="false">20*10^(A182/100)</f>
        <v>538.306960785383</v>
      </c>
      <c r="C182" s="37" t="n">
        <f aca="false">2*PI()*B182</f>
        <v>3382.28238675922</v>
      </c>
      <c r="D182" s="37" t="n">
        <f aca="false">SQRT(L_Rp0^2+L_Rp1^2*C182)</f>
        <v>80624360.655977</v>
      </c>
      <c r="E182" s="5" t="str">
        <f aca="false">COMPLEX(D182,C182*L_Mp)</f>
        <v>80624360.655977+49965507.8423289i</v>
      </c>
      <c r="F182" s="5" t="str">
        <f aca="false">IMDIV(1,E182)</f>
        <v>8.96140923821448e-09-5.5536733553884e-09i</v>
      </c>
      <c r="G182" s="5" t="str">
        <f aca="false">COMPLEX(0,C182*L_Cf)</f>
        <v>3.57648555224618e-12i</v>
      </c>
      <c r="H182" s="5" t="str">
        <f aca="false">COMPLEX(0,C182*L_Cbv)</f>
        <v>3.57648555224619e-11i</v>
      </c>
      <c r="I182" s="5" t="str">
        <f aca="false">COMPLEX(L_Rsq+L_Rh,C182*(L_Md+L_Mh)-1/(C182*L_Cd))</f>
        <v>552400610.124532-340579244173.561i</v>
      </c>
      <c r="J182" s="5" t="str">
        <f aca="false">IMDIV(1,I182)</f>
        <v>4.76229892737824e-15+2.93616650577087e-12i</v>
      </c>
      <c r="K182" s="5" t="str">
        <f aca="false">IMSUM(F182,G182,H182)</f>
        <v>8.96140923821448e-09-5.51433201431369e-09i</v>
      </c>
      <c r="L182" s="5" t="str">
        <f aca="false">IMSUM(IMPRODUCT(IMSUM(F182,G182),H182),IMPRODUCT(IMSUM(J182,L_Yv),K182))</f>
        <v>2.32654905033518e-19+3.35760771406083e-19i</v>
      </c>
      <c r="M182" s="37" t="n">
        <f aca="false">IMABS(IMDIV(IMPRODUCT(J182,F182,H182),L182))^2</f>
        <v>7.34554239144112E-024</v>
      </c>
      <c r="N182" s="5" t="str">
        <f aca="false">IMDIV(IMPRODUCT(L_Yv,K182,E182),H182)</f>
        <v>0.000177373593443159-0.0558108945407144i</v>
      </c>
      <c r="O182" s="37" t="n">
        <f aca="false">IMABS(IMSUM(1,IMPRODUCT(E182,G182),N182))^2</f>
        <v>1.00308009810045</v>
      </c>
      <c r="P182" s="37" t="n">
        <f aca="false">IMABS(N182)^2</f>
        <v>0.0031148874108264</v>
      </c>
      <c r="Q182" s="37" t="n">
        <f aca="false">p_Rb^2/(1+(C182*p_Rb*L_Ctot)^2)</f>
        <v>14409627049139200</v>
      </c>
      <c r="R182" s="37" t="n">
        <f aca="false">M182*L_Kt^2*Q182</f>
        <v>2.12429112662552E-005</v>
      </c>
      <c r="S182" s="37" t="n">
        <f aca="false">L_kT4*D182</f>
        <v>1.32753008320803E-012</v>
      </c>
      <c r="T182" s="37" t="n">
        <f aca="false">L_kT4*L_Rsq*O182</f>
        <v>5.18140160386093E-012</v>
      </c>
      <c r="U182" s="37" t="n">
        <f aca="false">L_kT4*L_Rh*O182</f>
        <v>3.94223231318031E-012</v>
      </c>
      <c r="V182" s="37" t="n">
        <f aca="false">L_kT4*p_Rv*P182</f>
        <v>2.56442761842321E-011</v>
      </c>
      <c r="W182" s="37" t="n">
        <f aca="false">L_kT4/p_Rb*Q182/R182</f>
        <v>1.11690643520737E-011</v>
      </c>
      <c r="X182" s="37" t="n">
        <f aca="false">p_en^2*(1+p_fc/B182)/R182</f>
        <v>3.57244477369074E-012</v>
      </c>
      <c r="Y182" s="37" t="n">
        <f aca="false">p_in^2*Q182/R182</f>
        <v>1.69581594402613E-012</v>
      </c>
      <c r="Z182" s="37" t="n">
        <f aca="false">p_eo^2/L_G^2/R182</f>
        <v>2.98432389533868E-012</v>
      </c>
      <c r="AA182" s="37" t="n">
        <f aca="false">SUM(S182:Z182)</f>
        <v>5.55170891496107E-011</v>
      </c>
      <c r="AB182" s="47" t="n">
        <f aca="false">10*LOG10(AA182/L_PREF^2)</f>
        <v>-8.57633304043309</v>
      </c>
      <c r="AC182" s="47" t="n">
        <f aca="false">10*LOG10(S182/L_PREF^2)</f>
        <v>-24.7901561989972</v>
      </c>
      <c r="AD182" s="47" t="n">
        <f aca="false">10*LOG10(T182/L_PREF^2)</f>
        <v>-18.8761273612225</v>
      </c>
      <c r="AE182" s="47" t="n">
        <f aca="false">10*LOG10(U182/L_PREF^2)</f>
        <v>-20.0631777793972</v>
      </c>
      <c r="AF182" s="47" t="n">
        <f aca="false">10*LOG10(V182/L_PREF^2)</f>
        <v>-11.9306954581779</v>
      </c>
      <c r="AG182" s="47" t="n">
        <f aca="false">10*LOG10(W182/L_PREF^2)</f>
        <v>-15.5404319813635</v>
      </c>
      <c r="AH182" s="47" t="n">
        <f aca="false">10*LOG10(X182/L_PREF^2)</f>
        <v>-20.4909446755754</v>
      </c>
      <c r="AI182" s="47" t="n">
        <f aca="false">10*LOG10(Y182/L_PREF^2)</f>
        <v>-23.7268127715226</v>
      </c>
      <c r="AJ182" s="47" t="n">
        <f aca="false">10*LOG10(Z182/L_PREF^2)</f>
        <v>-21.2721403501908</v>
      </c>
      <c r="AK182" s="47" t="n">
        <f aca="false">10*LOG10(R182/$R$6)</f>
        <v>-0.0155686962352318</v>
      </c>
      <c r="AL182" s="37" t="n">
        <f aca="false">(12194^2*B182^4/((B182^2+20.6^2)*SQRT((B182^2+107.7^2)*(B182^2+737.9^2))*(B182^2+12194^2))*1.2589254)^2</f>
        <v>0.525709090875723</v>
      </c>
      <c r="AM182" s="37" t="n">
        <f aca="false">0.5*(B182-B181)*(S182*AL182+S181*AL181)</f>
        <v>8.4120696624412E-012</v>
      </c>
      <c r="AN182" s="37" t="n">
        <f aca="false">0.5*(B182-B181)*(T182*AL182+T181*AL181)</f>
        <v>3.28529668777109E-011</v>
      </c>
      <c r="AO182" s="37" t="n">
        <f aca="false">0.5*(B182-B181)*(U182*AL182+U181*AL181)</f>
        <v>2.49959446325578E-011</v>
      </c>
      <c r="AP182" s="37" t="n">
        <f aca="false">0.5*(B182-B181)*(V182*AL182+V181*AL181)</f>
        <v>1.66370563579461E-010</v>
      </c>
      <c r="AQ182" s="37" t="n">
        <f aca="false">0.5*(B182-B181)*(W182*AL182+W181*AL181)</f>
        <v>7.246000892541E-011</v>
      </c>
      <c r="AR182" s="37" t="n">
        <f aca="false">0.5*(B182-B181)*(X182*AL182+X181*AL181)</f>
        <v>2.26918873908018E-011</v>
      </c>
      <c r="AS182" s="37" t="n">
        <f aca="false">0.5*(B182-B181)*(Y182*AL182+Y181*AL181)</f>
        <v>1.10017128173473E-011</v>
      </c>
      <c r="AT182" s="37" t="n">
        <f aca="false">0.5*(B182-B181)*(Z182*AL182+Z181*AL181)</f>
        <v>1.892221551988E-011</v>
      </c>
      <c r="AU182" s="37" t="n">
        <f aca="false">0.5*(B182-B181)*(AA182*AL182+AA181*AL181)</f>
        <v>3.5770736940561E-010</v>
      </c>
      <c r="AV182" s="37" t="n">
        <f aca="false">0.5*(B182-B181)*(S182+S181)</f>
        <v>1.62577980081092E-011</v>
      </c>
      <c r="AW182" s="37" t="n">
        <f aca="false">0.5*(B182-B181)*(T182+T181)</f>
        <v>6.34947533848686E-011</v>
      </c>
      <c r="AX182" s="37" t="n">
        <f aca="false">0.5*(B182-B181)*(U182+U181)</f>
        <v>4.83095285114985E-011</v>
      </c>
      <c r="AY182" s="37" t="n">
        <f aca="false">0.5*(B182-B181)*(V182+V181)</f>
        <v>3.21662269341775E-010</v>
      </c>
      <c r="AZ182" s="37" t="n">
        <f aca="false">0.5*(B182-B181)*(W182+W181)</f>
        <v>1.40094777599821E-010</v>
      </c>
      <c r="BA182" s="37" t="n">
        <f aca="false">0.5*(B182-B181)*(X182+X181)</f>
        <v>4.38577679750787E-011</v>
      </c>
      <c r="BB182" s="37" t="n">
        <f aca="false">0.5*(B182-B181)*(Y182+Y181)</f>
        <v>2.12708021047851E-011</v>
      </c>
      <c r="BC182" s="37" t="n">
        <f aca="false">0.5*(B182-B181)*(Z182+Z181)</f>
        <v>3.65708629376353E-011</v>
      </c>
      <c r="BD182" s="37" t="n">
        <f aca="false">0.5*(B182-B181)*(AA182+AA181)</f>
        <v>6.91518559863571E-010</v>
      </c>
      <c r="BE182" s="37" t="n">
        <f aca="false">IF(B182&gt;2000,AK182,-999)</f>
        <v>-999</v>
      </c>
      <c r="BF182" s="37" t="n">
        <f aca="false">IF(AND(B182&lt;1000,AK182&gt;=-3),B182,1000000000)</f>
        <v>538.306960785383</v>
      </c>
    </row>
    <row r="183" customFormat="false" ht="15" hidden="false" customHeight="false" outlineLevel="0" collapsed="false">
      <c r="A183" s="5" t="n">
        <v>144</v>
      </c>
      <c r="B183" s="47" t="n">
        <f aca="false">20*10^(A183/100)</f>
        <v>550.845740667633</v>
      </c>
      <c r="C183" s="37" t="n">
        <f aca="false">2*PI()*B183</f>
        <v>3461.06586428533</v>
      </c>
      <c r="D183" s="37" t="n">
        <f aca="false">SQRT(L_Rp0^2+L_Rp1^2*C183)</f>
        <v>80714632.9906361</v>
      </c>
      <c r="E183" s="5" t="str">
        <f aca="false">COMPLEX(D183,C183*L_Mp)</f>
        <v>80714632.9906361+51129354.0308042i</v>
      </c>
      <c r="F183" s="5" t="str">
        <f aca="false">IMDIV(1,E183)</f>
        <v>8.8415026340279e-09-5.60072320953184e-09i</v>
      </c>
      <c r="G183" s="5" t="str">
        <f aca="false">COMPLEX(0,C183*L_Cf)</f>
        <v>3.65979260260688e-12i</v>
      </c>
      <c r="H183" s="5" t="str">
        <f aca="false">COMPLEX(0,C183*L_Cbv)</f>
        <v>3.65979260260688e-11i</v>
      </c>
      <c r="I183" s="5" t="str">
        <f aca="false">COMPLEX(L_Rsq+L_Rh,C183*(L_Md+L_Mh)-1/(C183*L_Cd))</f>
        <v>552400610.124532-332826127137.855i</v>
      </c>
      <c r="J183" s="5" t="str">
        <f aca="false">IMDIV(1,I183)</f>
        <v>4.98675613158302e-15+3.00456353565859e-12i</v>
      </c>
      <c r="K183" s="5" t="str">
        <f aca="false">IMSUM(F183,G183,H183)</f>
        <v>8.8415026340279e-09-5.56046549090316e-09i</v>
      </c>
      <c r="L183" s="5" t="str">
        <f aca="false">IMSUM(IMPRODUCT(IMSUM(F183,G183),H183),IMPRODUCT(IMSUM(J183,L_Yv),K183))</f>
        <v>2.39274780436776e-19+3.38996856106888e-19i</v>
      </c>
      <c r="M183" s="37" t="n">
        <f aca="false">IMABS(IMDIV(IMPRODUCT(J183,F183,H183),L183))^2</f>
        <v>7.69289852963407E-024</v>
      </c>
      <c r="N183" s="5" t="str">
        <f aca="false">IMDIV(IMPRODUCT(L_Yv,K183,E183),H183)</f>
        <v>0.000177572192579449-0.0545354208400183i</v>
      </c>
      <c r="O183" s="37" t="n">
        <f aca="false">IMABS(IMSUM(1,IMPRODUCT(E183,G183),N183))^2</f>
        <v>1.00292287880214</v>
      </c>
      <c r="P183" s="37" t="n">
        <f aca="false">IMABS(N183)^2</f>
        <v>0.00297414365808148</v>
      </c>
      <c r="Q183" s="37" t="n">
        <f aca="false">p_Rb^2/(1+(C183*p_Rb*L_Ctot)^2)</f>
        <v>13761087008186500</v>
      </c>
      <c r="R183" s="37" t="n">
        <f aca="false">M183*L_Kt^2*Q183</f>
        <v>2.12461464113553E-005</v>
      </c>
      <c r="S183" s="37" t="n">
        <f aca="false">L_kT4*D183</f>
        <v>1.3290164731647E-012</v>
      </c>
      <c r="T183" s="37" t="n">
        <f aca="false">L_kT4*L_Rsq*O183</f>
        <v>5.1805894889302E-012</v>
      </c>
      <c r="U183" s="37" t="n">
        <f aca="false">L_kT4*L_Rh*O183</f>
        <v>3.94161442134973E-012</v>
      </c>
      <c r="V183" s="37" t="n">
        <f aca="false">L_kT4*p_Rv*P183</f>
        <v>2.44855596110259E-011</v>
      </c>
      <c r="W183" s="37" t="n">
        <f aca="false">L_kT4/p_Rb*Q183/R183</f>
        <v>1.06647494900461E-011</v>
      </c>
      <c r="X183" s="37" t="n">
        <f aca="false">p_en^2*(1+p_fc/B183)/R183</f>
        <v>3.55916297894981E-012</v>
      </c>
      <c r="Y183" s="37" t="n">
        <f aca="false">p_in^2*Q183/R183</f>
        <v>1.61924505528584E-012</v>
      </c>
      <c r="Z183" s="37" t="n">
        <f aca="false">p_eo^2/L_G^2/R183</f>
        <v>2.98386947312769E-012</v>
      </c>
      <c r="AA183" s="37" t="n">
        <f aca="false">SUM(S183:Z183)</f>
        <v>5.376380699188E-011</v>
      </c>
      <c r="AB183" s="47" t="n">
        <f aca="false">10*LOG10(AA183/L_PREF^2)</f>
        <v>-8.71569977989261</v>
      </c>
      <c r="AC183" s="47" t="n">
        <f aca="false">10*LOG10(S183/L_PREF^2)</f>
        <v>-24.7852962726996</v>
      </c>
      <c r="AD183" s="47" t="n">
        <f aca="false">10*LOG10(T183/L_PREF^2)</f>
        <v>-18.8768081126932</v>
      </c>
      <c r="AE183" s="47" t="n">
        <f aca="false">10*LOG10(U183/L_PREF^2)</f>
        <v>-20.063858530868</v>
      </c>
      <c r="AF183" s="47" t="n">
        <f aca="false">10*LOG10(V183/L_PREF^2)</f>
        <v>-12.1314995717412</v>
      </c>
      <c r="AG183" s="47" t="n">
        <f aca="false">10*LOG10(W183/L_PREF^2)</f>
        <v>-15.74109332796</v>
      </c>
      <c r="AH183" s="47" t="n">
        <f aca="false">10*LOG10(X183/L_PREF^2)</f>
        <v>-20.5071211592935</v>
      </c>
      <c r="AI183" s="47" t="n">
        <f aca="false">10*LOG10(Y183/L_PREF^2)</f>
        <v>-23.9274741181191</v>
      </c>
      <c r="AJ183" s="47" t="n">
        <f aca="false">10*LOG10(Z183/L_PREF^2)</f>
        <v>-21.2728016996038</v>
      </c>
      <c r="AK183" s="47" t="n">
        <f aca="false">10*LOG10(R183/$R$6)</f>
        <v>-0.0149073468221596</v>
      </c>
      <c r="AL183" s="37" t="n">
        <f aca="false">(12194^2*B183^4/((B183^2+20.6^2)*SQRT((B183^2+107.7^2)*(B183^2+737.9^2))*(B183^2+12194^2))*1.2589254)^2</f>
        <v>0.542530736276191</v>
      </c>
      <c r="AM183" s="37" t="n">
        <f aca="false">0.5*(B183-B182)*(S183*AL183+S182*AL182)</f>
        <v>8.89580615230935E-012</v>
      </c>
      <c r="AN183" s="37" t="n">
        <f aca="false">0.5*(B183-B182)*(T183*AL183+T182*AL182)</f>
        <v>3.46981828620298E-011</v>
      </c>
      <c r="AO183" s="37" t="n">
        <f aca="false">0.5*(B183-B182)*(U183*AL183+U182*AL182)</f>
        <v>2.63998640030923E-011</v>
      </c>
      <c r="AP183" s="37" t="n">
        <f aca="false">0.5*(B183-B182)*(V183*AL183+V182*AL182)</f>
        <v>1.67803969633594E-010</v>
      </c>
      <c r="AQ183" s="37" t="n">
        <f aca="false">0.5*(B183-B182)*(W183*AL183+W182*AL182)</f>
        <v>7.30862474405372E-011</v>
      </c>
      <c r="AR183" s="37" t="n">
        <f aca="false">0.5*(B183-B182)*(X183*AL183+X182*AL182)</f>
        <v>2.38802442479171E-011</v>
      </c>
      <c r="AS183" s="37" t="n">
        <f aca="false">0.5*(B183-B182)*(Y183*AL183+Y182*AL182)</f>
        <v>1.1096795558859E-011</v>
      </c>
      <c r="AT183" s="37" t="n">
        <f aca="false">0.5*(B183-B182)*(Z183*AL183+Z182*AL182)</f>
        <v>1.99851042415289E-011</v>
      </c>
      <c r="AU183" s="37" t="n">
        <f aca="false">0.5*(B183-B182)*(AA183*AL183+AA182*AL182)</f>
        <v>3.65846214139867E-010</v>
      </c>
      <c r="AV183" s="37" t="n">
        <f aca="false">0.5*(B183-B182)*(S183+S182)</f>
        <v>1.66549262586536E-011</v>
      </c>
      <c r="AW183" s="37" t="n">
        <f aca="false">0.5*(B183-B182)*(T183+T182)</f>
        <v>6.4963362727172E-011</v>
      </c>
      <c r="AX183" s="37" t="n">
        <f aca="false">0.5*(B183-B182)*(U183+U182)</f>
        <v>4.94269094148341E-011</v>
      </c>
      <c r="AY183" s="37" t="n">
        <f aca="false">0.5*(B183-B182)*(V183+V182)</f>
        <v>3.14283488285041E-010</v>
      </c>
      <c r="AZ183" s="37" t="n">
        <f aca="false">0.5*(B183-B182)*(W183+W182)</f>
        <v>1.36884692878183E-010</v>
      </c>
      <c r="BA183" s="37" t="n">
        <f aca="false">0.5*(B183-B182)*(X183+X182)</f>
        <v>4.47108299084541E-011</v>
      </c>
      <c r="BB183" s="37" t="n">
        <f aca="false">0.5*(B183-B182)*(Y183+Y182)</f>
        <v>2.07834100833024E-011</v>
      </c>
      <c r="BC183" s="37" t="n">
        <f aca="false">0.5*(B183-B182)*(Z183+Z182)</f>
        <v>3.74169314709522E-011</v>
      </c>
      <c r="BD183" s="37" t="n">
        <f aca="false">0.5*(B183-B182)*(AA183+AA182)</f>
        <v>6.85124551026593E-010</v>
      </c>
      <c r="BE183" s="37" t="n">
        <f aca="false">IF(B183&gt;2000,AK183,-999)</f>
        <v>-999</v>
      </c>
      <c r="BF183" s="37" t="n">
        <f aca="false">IF(AND(B183&lt;1000,AK183&gt;=-3),B183,1000000000)</f>
        <v>550.845740667633</v>
      </c>
    </row>
    <row r="184" customFormat="false" ht="15" hidden="false" customHeight="false" outlineLevel="0" collapsed="false">
      <c r="A184" s="5" t="n">
        <v>145</v>
      </c>
      <c r="B184" s="47" t="n">
        <f aca="false">20*10^(A184/100)</f>
        <v>563.676586252891</v>
      </c>
      <c r="C184" s="37" t="n">
        <f aca="false">2*PI()*B184</f>
        <v>3541.68444474531</v>
      </c>
      <c r="D184" s="37" t="n">
        <f aca="false">SQRT(L_Rp0^2+L_Rp1^2*C184)</f>
        <v>80806903.6407614</v>
      </c>
      <c r="E184" s="5" t="str">
        <f aca="false">COMPLEX(D184,C184*L_Mp)</f>
        <v>80806903.6407614+52320309.6795636i</v>
      </c>
      <c r="F184" s="5" t="str">
        <f aca="false">IMDIV(1,E184)</f>
        <v>8.71969538131119e-09-5.64576963237993e-09i</v>
      </c>
      <c r="G184" s="5" t="str">
        <f aca="false">COMPLEX(0,C184*L_Cf)</f>
        <v>3.74504012344857e-12i</v>
      </c>
      <c r="H184" s="5" t="str">
        <f aca="false">COMPLEX(0,C184*L_Cbv)</f>
        <v>3.74504012344857e-11i</v>
      </c>
      <c r="I184" s="5" t="str">
        <f aca="false">COMPLEX(L_Rsq+L_Rh,C184*(L_Md+L_Mh)-1/(C184*L_Cd))</f>
        <v>552400610.124532-325249478920.231i</v>
      </c>
      <c r="J184" s="5" t="str">
        <f aca="false">IMDIV(1,I184)</f>
        <v>5.22179331528737e-15+3.07455408936548e-12i</v>
      </c>
      <c r="K184" s="5" t="str">
        <f aca="false">IMSUM(F184,G184,H184)</f>
        <v>8.71969538131119e-09-5.604574191022e-09i</v>
      </c>
      <c r="L184" s="5" t="str">
        <f aca="false">IMSUM(IMPRODUCT(IMSUM(F184,G184),H184),IMPRODUCT(IMSUM(J184,L_Yv),K184))</f>
        <v>2.46012574462676e-19+3.42126851455138e-19i</v>
      </c>
      <c r="M184" s="37" t="n">
        <f aca="false">IMABS(IMDIV(IMPRODUCT(J184,F184,H184),L184))^2</f>
        <v>8.0566494767033E-024</v>
      </c>
      <c r="N184" s="5" t="str">
        <f aca="false">IMDIV(IMPRODUCT(L_Yv,K184,E184),H184)</f>
        <v>0.000177775188009655-0.0532888625413131i</v>
      </c>
      <c r="O184" s="37" t="n">
        <f aca="false">IMABS(IMSUM(1,IMPRODUCT(E184,G184),N184))^2</f>
        <v>1.00277120874657</v>
      </c>
      <c r="P184" s="37" t="n">
        <f aca="false">IMABS(N184)^2</f>
        <v>0.00283973447496444</v>
      </c>
      <c r="Q184" s="37" t="n">
        <f aca="false">p_Rb^2/(1+(C184*p_Rb*L_Ctot)^2)</f>
        <v>13141736076553300</v>
      </c>
      <c r="R184" s="37" t="n">
        <f aca="false">M184*L_Kt^2*Q184</f>
        <v>2.12493003542035E-005</v>
      </c>
      <c r="S184" s="37" t="n">
        <f aca="false">L_kT4*D184</f>
        <v>1.33053576662441E-012</v>
      </c>
      <c r="T184" s="37" t="n">
        <f aca="false">L_kT4*L_Rsq*O184</f>
        <v>5.17980603856497E-012</v>
      </c>
      <c r="U184" s="37" t="n">
        <f aca="false">L_kT4*L_Rh*O184</f>
        <v>3.94101833874859E-012</v>
      </c>
      <c r="V184" s="37" t="n">
        <f aca="false">L_kT4*p_Rv*P184</f>
        <v>2.33789943459154E-011</v>
      </c>
      <c r="W184" s="37" t="n">
        <f aca="false">L_kT4/p_Rb*Q184/R184</f>
        <v>1.01832450211627E-011</v>
      </c>
      <c r="X184" s="37" t="n">
        <f aca="false">p_en^2*(1+p_fc/B184)/R184</f>
        <v>3.54618868383438E-012</v>
      </c>
      <c r="Y184" s="37" t="n">
        <f aca="false">p_in^2*Q184/R184</f>
        <v>1.54613750305826E-012</v>
      </c>
      <c r="Z184" s="37" t="n">
        <f aca="false">p_eo^2/L_G^2/R184</f>
        <v>2.98342659013259E-012</v>
      </c>
      <c r="AA184" s="37" t="n">
        <f aca="false">SUM(S184:Z184)</f>
        <v>5.20893522880413E-011</v>
      </c>
      <c r="AB184" s="47" t="n">
        <f aca="false">10*LOG10(AA184/L_PREF^2)</f>
        <v>-8.85311034154018</v>
      </c>
      <c r="AC184" s="47" t="n">
        <f aca="false">10*LOG10(S184/L_PREF^2)</f>
        <v>-24.7803343785293</v>
      </c>
      <c r="AD184" s="47" t="n">
        <f aca="false">10*LOG10(T184/L_PREF^2)</f>
        <v>-18.877464937368</v>
      </c>
      <c r="AE184" s="47" t="n">
        <f aca="false">10*LOG10(U184/L_PREF^2)</f>
        <v>-20.0645153555427</v>
      </c>
      <c r="AF184" s="47" t="n">
        <f aca="false">10*LOG10(V184/L_PREF^2)</f>
        <v>-12.332341654009</v>
      </c>
      <c r="AG184" s="47" t="n">
        <f aca="false">10*LOG10(W184/L_PREF^2)</f>
        <v>-15.9417379778539</v>
      </c>
      <c r="AH184" s="47" t="n">
        <f aca="false">10*LOG10(X184/L_PREF^2)</f>
        <v>-20.5229815172465</v>
      </c>
      <c r="AI184" s="47" t="n">
        <f aca="false">10*LOG10(Y184/L_PREF^2)</f>
        <v>-24.1281187680131</v>
      </c>
      <c r="AJ184" s="47" t="n">
        <f aca="false">10*LOG10(Z184/L_PREF^2)</f>
        <v>-21.2734463521876</v>
      </c>
      <c r="AK184" s="47" t="n">
        <f aca="false">10*LOG10(R184/$R$6)</f>
        <v>-0.0142626942384195</v>
      </c>
      <c r="AL184" s="37" t="n">
        <f aca="false">(12194^2*B184^4/((B184^2+20.6^2)*SQRT((B184^2+107.7^2)*(B184^2+737.9^2))*(B184^2+12194^2))*1.2589254)^2</f>
        <v>0.559567641922541</v>
      </c>
      <c r="AM184" s="37" t="n">
        <f aca="false">0.5*(B184-B183)*(S184*AL184+S183*AL183)</f>
        <v>9.40216808407382E-012</v>
      </c>
      <c r="AN184" s="37" t="n">
        <f aca="false">0.5*(B184-B183)*(T184*AL184+T183*AL183)</f>
        <v>3.66261676050147E-011</v>
      </c>
      <c r="AO184" s="37" t="n">
        <f aca="false">0.5*(B184-B183)*(U184*AL184+U183*AL183)</f>
        <v>2.78667573910609E-011</v>
      </c>
      <c r="AP184" s="37" t="n">
        <f aca="false">0.5*(B184-B183)*(V184*AL184+V183*AL183)</f>
        <v>1.69150945429146E-010</v>
      </c>
      <c r="AQ184" s="37" t="n">
        <f aca="false">0.5*(B184-B183)*(W184*AL184+W183*AL183)</f>
        <v>7.36757982524071E-011</v>
      </c>
      <c r="AR184" s="37" t="n">
        <f aca="false">0.5*(B184-B183)*(X184*AL184+X183*AL183)</f>
        <v>2.51182262782496E-011</v>
      </c>
      <c r="AS184" s="37" t="n">
        <f aca="false">0.5*(B184-B183)*(Y184*AL184+Y183*AL183)</f>
        <v>1.11863079508614E-011</v>
      </c>
      <c r="AT184" s="37" t="n">
        <f aca="false">0.5*(B184-B183)*(Z184*AL184+Z183*AL183)</f>
        <v>2.10956415627539E-011</v>
      </c>
      <c r="AU184" s="37" t="n">
        <f aca="false">0.5*(B184-B183)*(AA184*AL184+AA183*AL183)</f>
        <v>3.74122012553567E-010</v>
      </c>
      <c r="AV184" s="37" t="n">
        <f aca="false">0.5*(B184-B183)*(S184+S183)</f>
        <v>1.70621520573299E-011</v>
      </c>
      <c r="AW184" s="37" t="n">
        <f aca="false">0.5*(B184-B183)*(T184+T183)</f>
        <v>6.64663176077415E-011</v>
      </c>
      <c r="AX184" s="37" t="n">
        <f aca="false">0.5*(B184-B183)*(U184+U183)</f>
        <v>5.05704218750569E-011</v>
      </c>
      <c r="AY184" s="37" t="n">
        <f aca="false">0.5*(B184-B183)*(V184+V183)</f>
        <v>3.07071350414371E-010</v>
      </c>
      <c r="AZ184" s="37" t="n">
        <f aca="false">0.5*(B184-B183)*(W184+W183)</f>
        <v>1.33748699167808E-010</v>
      </c>
      <c r="BA184" s="37" t="n">
        <f aca="false">0.5*(B184-B183)*(X184+X183)</f>
        <v>4.55838350070684E-011</v>
      </c>
      <c r="BB184" s="37" t="n">
        <f aca="false">0.5*(B184-B183)*(Y184+Y183)</f>
        <v>2.03072674121903E-011</v>
      </c>
      <c r="BC184" s="37" t="n">
        <f aca="false">0.5*(B184-B183)*(Z184+Z183)</f>
        <v>3.82827271746039E-011</v>
      </c>
      <c r="BD184" s="37" t="n">
        <f aca="false">0.5*(B184-B183)*(AA184+AA183)</f>
        <v>6.7909277071617E-010</v>
      </c>
      <c r="BE184" s="37" t="n">
        <f aca="false">IF(B184&gt;2000,AK184,-999)</f>
        <v>-999</v>
      </c>
      <c r="BF184" s="37" t="n">
        <f aca="false">IF(AND(B184&lt;1000,AK184&gt;=-3),B184,1000000000)</f>
        <v>563.676586252891</v>
      </c>
    </row>
    <row r="185" customFormat="false" ht="15" hidden="false" customHeight="false" outlineLevel="0" collapsed="false">
      <c r="A185" s="5" t="n">
        <v>146</v>
      </c>
      <c r="B185" s="47" t="n">
        <f aca="false">20*10^(A185/100)</f>
        <v>576.806300625321</v>
      </c>
      <c r="C185" s="37" t="n">
        <f aca="false">2*PI()*B185</f>
        <v>3624.18087317763</v>
      </c>
      <c r="D185" s="37" t="n">
        <f aca="false">SQRT(L_Rp0^2+L_Rp1^2*C185)</f>
        <v>80901214.6071072</v>
      </c>
      <c r="E185" s="5" t="str">
        <f aca="false">COMPLEX(D185,C185*L_Mp)</f>
        <v>80901214.6071072+53539006.2490564i</v>
      </c>
      <c r="F185" s="5" t="str">
        <f aca="false">IMDIV(1,E185)</f>
        <v>8.59605818292319e-09-5.68872068247473e-09i</v>
      </c>
      <c r="G185" s="5" t="str">
        <f aca="false">COMPLEX(0,C185*L_Cf)</f>
        <v>3.83227331413517e-12i</v>
      </c>
      <c r="H185" s="5" t="str">
        <f aca="false">COMPLEX(0,C185*L_Cbv)</f>
        <v>3.83227331413517e-11i</v>
      </c>
      <c r="I185" s="5" t="str">
        <f aca="false">COMPLEX(L_Rsq+L_Rh,C185*(L_Md+L_Mh)-1/(C185*L_Cd))</f>
        <v>552400610.124532-317845282281.518i</v>
      </c>
      <c r="J185" s="5" t="str">
        <f aca="false">IMDIV(1,I185)</f>
        <v>5.46790925554758e-15+3.14617531002988e-12i</v>
      </c>
      <c r="K185" s="5" t="str">
        <f aca="false">IMSUM(F185,G185,H185)</f>
        <v>8.59605818292319e-09-5.64656567601924e-09i</v>
      </c>
      <c r="L185" s="5" t="str">
        <f aca="false">IMSUM(IMPRODUCT(IMSUM(F185,G185),H185),IMPRODUCT(IMSUM(J185,L_Yv),K185))</f>
        <v>2.52864665790925e-19+3.45145143569631e-19i</v>
      </c>
      <c r="M185" s="37" t="n">
        <f aca="false">IMABS(IMDIV(IMPRODUCT(J185,F185,H185),L185))^2</f>
        <v>8.43757022787966E-024</v>
      </c>
      <c r="N185" s="5" t="str">
        <f aca="false">IMDIV(IMPRODUCT(L_Yv,K185,E185),H185)</f>
        <v>0.000177982672135625-0.0520705587028889i</v>
      </c>
      <c r="O185" s="37" t="n">
        <f aca="false">IMABS(IMSUM(1,IMPRODUCT(E185,G185),N185))^2</f>
        <v>1.00262476562935</v>
      </c>
      <c r="P185" s="37" t="n">
        <f aca="false">IMABS(N185)^2</f>
        <v>0.00271137476146258</v>
      </c>
      <c r="Q185" s="37" t="n">
        <f aca="false">p_Rb^2/(1+(C185*p_Rb*L_Ctot)^2)</f>
        <v>12550260527982000</v>
      </c>
      <c r="R185" s="37" t="n">
        <f aca="false">M185*L_Kt^2*Q185</f>
        <v>2.12523797238994E-005</v>
      </c>
      <c r="S185" s="37" t="n">
        <f aca="false">L_kT4*D185</f>
        <v>1.33208865515564E-012</v>
      </c>
      <c r="T185" s="37" t="n">
        <f aca="false">L_kT4*L_Rsq*O185</f>
        <v>5.17904958790478E-012</v>
      </c>
      <c r="U185" s="37" t="n">
        <f aca="false">L_kT4*L_Rh*O185</f>
        <v>3.94044279867973E-012</v>
      </c>
      <c r="V185" s="37" t="n">
        <f aca="false">L_kT4*p_Rv*P185</f>
        <v>2.23222332146689E-011</v>
      </c>
      <c r="W185" s="37" t="n">
        <f aca="false">L_kT4/p_Rb*Q185/R185</f>
        <v>9.72351440700349E-012</v>
      </c>
      <c r="X185" s="37" t="n">
        <f aca="false">p_en^2*(1+p_fc/B185)/R185</f>
        <v>3.53351390244699E-012</v>
      </c>
      <c r="Y185" s="37" t="n">
        <f aca="false">p_in^2*Q185/R185</f>
        <v>1.4763359081464E-012</v>
      </c>
      <c r="Z185" s="37" t="n">
        <f aca="false">p_eo^2/L_G^2/R185</f>
        <v>2.98299430567546E-012</v>
      </c>
      <c r="AA185" s="37" t="n">
        <f aca="false">SUM(S185:Z185)</f>
        <v>5.04901727796814E-011</v>
      </c>
      <c r="AB185" s="47" t="n">
        <f aca="false">10*LOG10(AA185/L_PREF^2)</f>
        <v>-8.98853134454346</v>
      </c>
      <c r="AC185" s="47" t="n">
        <f aca="false">10*LOG10(S185/L_PREF^2)</f>
        <v>-24.7752686171619</v>
      </c>
      <c r="AD185" s="47" t="n">
        <f aca="false">10*LOG10(T185/L_PREF^2)</f>
        <v>-18.8780992204586</v>
      </c>
      <c r="AE185" s="47" t="n">
        <f aca="false">10*LOG10(U185/L_PREF^2)</f>
        <v>-20.0651496386334</v>
      </c>
      <c r="AF185" s="47" t="n">
        <f aca="false">10*LOG10(V185/L_PREF^2)</f>
        <v>-12.5332235015334</v>
      </c>
      <c r="AG185" s="47" t="n">
        <f aca="false">10*LOG10(W185/L_PREF^2)</f>
        <v>-16.1423672931223</v>
      </c>
      <c r="AH185" s="47" t="n">
        <f aca="false">10*LOG10(X185/L_PREF^2)</f>
        <v>-20.5385318696231</v>
      </c>
      <c r="AI185" s="47" t="n">
        <f aca="false">10*LOG10(Y185/L_PREF^2)</f>
        <v>-24.3287480832814</v>
      </c>
      <c r="AJ185" s="47" t="n">
        <f aca="false">10*LOG10(Z185/L_PREF^2)</f>
        <v>-21.2740756700247</v>
      </c>
      <c r="AK185" s="47" t="n">
        <f aca="false">10*LOG10(R185/$R$6)</f>
        <v>-0.0136333764013131</v>
      </c>
      <c r="AL185" s="37" t="n">
        <f aca="false">(12194^2*B185^4/((B185^2+20.6^2)*SQRT((B185^2+107.7^2)*(B185^2+737.9^2))*(B185^2+12194^2))*1.2589254)^2</f>
        <v>0.576804772703598</v>
      </c>
      <c r="AM185" s="37" t="n">
        <f aca="false">0.5*(B185-B184)*(S185*AL185+S184*AL184)</f>
        <v>9.93184019048296E-012</v>
      </c>
      <c r="AN185" s="37" t="n">
        <f aca="false">0.5*(B185-B184)*(T185*AL185+T184*AL184)</f>
        <v>3.86391237489641E-011</v>
      </c>
      <c r="AO185" s="37" t="n">
        <f aca="false">0.5*(B185-B184)*(U185*AL185+U184*AL184)</f>
        <v>2.93983006610864E-011</v>
      </c>
      <c r="AP185" s="37" t="n">
        <f aca="false">0.5*(B185-B184)*(V185*AL185+V184*AL184)</f>
        <v>1.70408589393078E-010</v>
      </c>
      <c r="AQ185" s="37" t="n">
        <f aca="false">0.5*(B185-B184)*(W185*AL185+W184*AL184)</f>
        <v>7.42274216769125E-011</v>
      </c>
      <c r="AR185" s="37" t="n">
        <f aca="false">0.5*(B185-B184)*(X185*AL185+X184*AL184)</f>
        <v>2.64070075416977E-011</v>
      </c>
      <c r="AS185" s="37" t="n">
        <f aca="false">0.5*(B185-B184)*(Y185*AL185+Y184*AL184)</f>
        <v>1.12700617702402E-011</v>
      </c>
      <c r="AT185" s="37" t="n">
        <f aca="false">0.5*(B185-B184)*(Z185*AL185+Z184*AL184)</f>
        <v>2.2255091261379E-011</v>
      </c>
      <c r="AU185" s="37" t="n">
        <f aca="false">0.5*(B185-B184)*(AA185*AL185+AA184*AL184)</f>
        <v>3.82537436243841E-010</v>
      </c>
      <c r="AV185" s="37" t="n">
        <f aca="false">0.5*(B185-B184)*(S185+S184)</f>
        <v>1.7479749069515E-011</v>
      </c>
      <c r="AW185" s="37" t="n">
        <f aca="false">0.5*(B185-B184)*(T185+T184)</f>
        <v>6.80044078003962E-011</v>
      </c>
      <c r="AX185" s="37" t="n">
        <f aca="false">0.5*(B185-B184)*(U185+U184)</f>
        <v>5.17406667859225E-011</v>
      </c>
      <c r="AY185" s="37" t="n">
        <f aca="false">0.5*(B185-B184)*(V185+V184)</f>
        <v>3.0002203216996E-010</v>
      </c>
      <c r="AZ185" s="37" t="n">
        <f aca="false">0.5*(B185-B184)*(W185+W184)</f>
        <v>1.30685032686255E-010</v>
      </c>
      <c r="BA185" s="37" t="n">
        <f aca="false">0.5*(B185-B184)*(X185+X184)</f>
        <v>4.64772363998159E-011</v>
      </c>
      <c r="BB185" s="37" t="n">
        <f aca="false">0.5*(B185-B184)*(Y185+Y184)</f>
        <v>1.98421062936914E-011</v>
      </c>
      <c r="BC185" s="37" t="n">
        <f aca="false">0.5*(B185-B184)*(Z185+Z184)</f>
        <v>3.91687010938303E-011</v>
      </c>
      <c r="BD185" s="37" t="n">
        <f aca="false">0.5*(B185-B184)*(AA185+AA184)</f>
        <v>6.73419932299386E-010</v>
      </c>
      <c r="BE185" s="37" t="n">
        <f aca="false">IF(B185&gt;2000,AK185,-999)</f>
        <v>-999</v>
      </c>
      <c r="BF185" s="37" t="n">
        <f aca="false">IF(AND(B185&lt;1000,AK185&gt;=-3),B185,1000000000)</f>
        <v>576.806300625321</v>
      </c>
    </row>
    <row r="186" customFormat="false" ht="15" hidden="false" customHeight="false" outlineLevel="0" collapsed="false">
      <c r="A186" s="5" t="n">
        <v>147</v>
      </c>
      <c r="B186" s="47" t="n">
        <f aca="false">20*10^(A186/100)</f>
        <v>590.241845333277</v>
      </c>
      <c r="C186" s="37" t="n">
        <f aca="false">2*PI()*B186</f>
        <v>3708.59889028061</v>
      </c>
      <c r="D186" s="37" t="n">
        <f aca="false">SQRT(L_Rp0^2+L_Rp1^2*C186)</f>
        <v>80997608.6789528</v>
      </c>
      <c r="E186" s="5" t="str">
        <f aca="false">COMPLEX(D186,C186*L_Mp)</f>
        <v>80997608.6789528+54786089.9083349i</v>
      </c>
      <c r="F186" s="5" t="str">
        <f aca="false">IMDIV(1,E186)</f>
        <v>8.47066745851494e-09-5.72948703714503e-09i</v>
      </c>
      <c r="G186" s="5" t="str">
        <f aca="false">COMPLEX(0,C186*L_Cf)</f>
        <v>3.92153842685906e-12i</v>
      </c>
      <c r="H186" s="5" t="str">
        <f aca="false">COMPLEX(0,C186*L_Cbv)</f>
        <v>3.92153842685906e-11i</v>
      </c>
      <c r="I186" s="5" t="str">
        <f aca="false">COMPLEX(L_Rsq+L_Rh,C186*(L_Md+L_Mh)-1/(C186*L_Cd))</f>
        <v>552400610.124532-310609611418.649i</v>
      </c>
      <c r="J186" s="5" t="str">
        <f aca="false">IMDIV(1,I186)</f>
        <v>5.72562625130269e-15+3.21946520776764e-12i</v>
      </c>
      <c r="K186" s="5" t="str">
        <f aca="false">IMSUM(F186,G186,H186)</f>
        <v>8.47066745851494e-09-5.68635011444958e-09i</v>
      </c>
      <c r="L186" s="5" t="str">
        <f aca="false">IMSUM(IMPRODUCT(IMSUM(F186,G186),H186),IMPRODUCT(IMSUM(J186,L_Yv),K186))</f>
        <v>2.5982709233287e-19+3.48046240421979e-19i</v>
      </c>
      <c r="M186" s="37" t="n">
        <f aca="false">IMABS(IMDIV(IMPRODUCT(J186,F186,H186),L186))^2</f>
        <v>8.83647252970685E-024</v>
      </c>
      <c r="N186" s="5" t="str">
        <f aca="false">IMDIV(IMPRODUCT(L_Yv,K186,E186),H186)</f>
        <v>0.000178194739093713-0.0508798633639244i</v>
      </c>
      <c r="O186" s="37" t="n">
        <f aca="false">IMABS(IMSUM(1,IMPRODUCT(E186,G186),N186))^2</f>
        <v>1.00248323822119</v>
      </c>
      <c r="P186" s="37" t="n">
        <f aca="false">IMABS(N186)^2</f>
        <v>0.00258879224929666</v>
      </c>
      <c r="Q186" s="37" t="n">
        <f aca="false">p_Rb^2/(1+(C186*p_Rb*L_Ctot)^2)</f>
        <v>11985405763630300</v>
      </c>
      <c r="R186" s="37" t="n">
        <f aca="false">M186*L_Kt^2*Q186</f>
        <v>2.12553909988044E-005</v>
      </c>
      <c r="S186" s="37" t="n">
        <f aca="false">L_kT4*D186</f>
        <v>1.3336758433104E-012</v>
      </c>
      <c r="T186" s="37" t="n">
        <f aca="false">L_kT4*L_Rsq*O186</f>
        <v>5.17831852929737E-012</v>
      </c>
      <c r="U186" s="37" t="n">
        <f aca="false">L_kT4*L_Rh*O186</f>
        <v>3.93988657797241E-012</v>
      </c>
      <c r="V186" s="37" t="n">
        <f aca="false">L_kT4*p_Rv*P186</f>
        <v>2.13130346842777E-011</v>
      </c>
      <c r="W186" s="37" t="n">
        <f aca="false">L_kT4/p_Rb*Q186/R186</f>
        <v>9.28456863245784E-012</v>
      </c>
      <c r="X186" s="37" t="n">
        <f aca="false">p_en^2*(1+p_fc/B186)/R186</f>
        <v>3.52113085102336E-012</v>
      </c>
      <c r="Y186" s="37" t="n">
        <f aca="false">p_in^2*Q186/R186</f>
        <v>1.40969010688918E-012</v>
      </c>
      <c r="Z186" s="37" t="n">
        <f aca="false">p_eo^2/L_G^2/R186</f>
        <v>2.98257170155141E-012</v>
      </c>
      <c r="AA186" s="37" t="n">
        <f aca="false">SUM(S186:Z186)</f>
        <v>4.89628769267797E-011</v>
      </c>
      <c r="AB186" s="47" t="n">
        <f aca="false">10*LOG10(AA186/L_PREF^2)</f>
        <v>-9.12193063466645</v>
      </c>
      <c r="AC186" s="47" t="n">
        <f aca="false">10*LOG10(S186/L_PREF^2)</f>
        <v>-24.7700970640168</v>
      </c>
      <c r="AD186" s="47" t="n">
        <f aca="false">10*LOG10(T186/L_PREF^2)</f>
        <v>-18.8787123003764</v>
      </c>
      <c r="AE186" s="47" t="n">
        <f aca="false">10*LOG10(U186/L_PREF^2)</f>
        <v>-20.0657627185511</v>
      </c>
      <c r="AF186" s="47" t="n">
        <f aca="false">10*LOG10(V186/L_PREF^2)</f>
        <v>-12.7341469962395</v>
      </c>
      <c r="AG186" s="47" t="n">
        <f aca="false">10*LOG10(W186/L_PREF^2)</f>
        <v>-16.3429826040835</v>
      </c>
      <c r="AH186" s="47" t="n">
        <f aca="false">10*LOG10(X186/L_PREF^2)</f>
        <v>-20.5537782685946</v>
      </c>
      <c r="AI186" s="47" t="n">
        <f aca="false">10*LOG10(Y186/L_PREF^2)</f>
        <v>-24.5293633942426</v>
      </c>
      <c r="AJ186" s="47" t="n">
        <f aca="false">10*LOG10(Z186/L_PREF^2)</f>
        <v>-21.274690983439</v>
      </c>
      <c r="AK186" s="47" t="n">
        <f aca="false">10*LOG10(R186/$R$6)</f>
        <v>-0.0130180629869928</v>
      </c>
      <c r="AL186" s="37" t="n">
        <f aca="false">(12194^2*B186^4/((B186^2+20.6^2)*SQRT((B186^2+107.7^2)*(B186^2+737.9^2))*(B186^2+12194^2))*1.2589254)^2</f>
        <v>0.594226262414476</v>
      </c>
      <c r="AM186" s="37" t="n">
        <f aca="false">0.5*(B186-B185)*(S186*AL186+S185*AL185)</f>
        <v>1.04855042093873E-011</v>
      </c>
      <c r="AN186" s="37" t="n">
        <f aca="false">0.5*(B186-B185)*(T186*AL186+T185*AL185)</f>
        <v>4.07392142296189E-011</v>
      </c>
      <c r="AO186" s="37" t="n">
        <f aca="false">0.5*(B186-B185)*(U186*AL186+U185*AL185)</f>
        <v>3.09961394673412E-011</v>
      </c>
      <c r="AP186" s="37" t="n">
        <f aca="false">0.5*(B186-B185)*(V186*AL186+V185*AL185)</f>
        <v>1.71574160383315E-010</v>
      </c>
      <c r="AQ186" s="37" t="n">
        <f aca="false">0.5*(B186-B185)*(W186*AL186+W185*AL185)</f>
        <v>7.4739946978199E-011</v>
      </c>
      <c r="AR186" s="37" t="n">
        <f aca="false">0.5*(B186-B185)*(X186*AL186+X185*AL185)</f>
        <v>2.77477325653697E-011</v>
      </c>
      <c r="AS186" s="37" t="n">
        <f aca="false">0.5*(B186-B185)*(Y186*AL186+Y185*AL185)</f>
        <v>1.1347879262399E-011</v>
      </c>
      <c r="AT186" s="37" t="n">
        <f aca="false">0.5*(B186-B185)*(Z186*AL186+Z185*AL185)</f>
        <v>2.34646937223351E-011</v>
      </c>
      <c r="AU186" s="37" t="n">
        <f aca="false">0.5*(B186-B185)*(AA186*AL186+AA185*AL185)</f>
        <v>3.91095270817965E-010</v>
      </c>
      <c r="AV186" s="37" t="n">
        <f aca="false">0.5*(B186-B185)*(S186+S185)</f>
        <v>1.7907999050011E-011</v>
      </c>
      <c r="AW186" s="37" t="n">
        <f aca="false">0.5*(B186-B185)*(T186+T185)</f>
        <v>6.9578441197713E-011</v>
      </c>
      <c r="AX186" s="37" t="n">
        <f aca="false">0.5*(B186-B185)*(U186+U185)</f>
        <v>5.29382588267138E-011</v>
      </c>
      <c r="AY186" s="37" t="n">
        <f aca="false">0.5*(B186-B185)*(V186+V185)</f>
        <v>2.93131796349964E-010</v>
      </c>
      <c r="AZ186" s="37" t="n">
        <f aca="false">0.5*(B186-B185)*(W186+W185)</f>
        <v>1.2769197474461E-010</v>
      </c>
      <c r="BA186" s="37" t="n">
        <f aca="false">0.5*(B186-B185)*(X186+X185)</f>
        <v>4.73914974919985E-011</v>
      </c>
      <c r="BB186" s="37" t="n">
        <f aca="false">0.5*(B186-B185)*(Y186+Y185)</f>
        <v>1.9387665776667E-011</v>
      </c>
      <c r="BC186" s="37" t="n">
        <f aca="false">0.5*(B186-B185)*(Z186+Z185)</f>
        <v>4.00753143991791E-011</v>
      </c>
      <c r="BD186" s="37" t="n">
        <f aca="false">0.5*(B186-B185)*(AA186+AA185)</f>
        <v>6.68102947836856E-010</v>
      </c>
      <c r="BE186" s="37" t="n">
        <f aca="false">IF(B186&gt;2000,AK186,-999)</f>
        <v>-999</v>
      </c>
      <c r="BF186" s="37" t="n">
        <f aca="false">IF(AND(B186&lt;1000,AK186&gt;=-3),B186,1000000000)</f>
        <v>590.241845333277</v>
      </c>
    </row>
    <row r="187" customFormat="false" ht="15" hidden="false" customHeight="false" outlineLevel="0" collapsed="false">
      <c r="A187" s="5" t="n">
        <v>148</v>
      </c>
      <c r="B187" s="47" t="n">
        <f aca="false">20*10^(A187/100)</f>
        <v>603.990344080403</v>
      </c>
      <c r="C187" s="37" t="n">
        <f aca="false">2*PI()*B187</f>
        <v>3794.98325560433</v>
      </c>
      <c r="D187" s="37" t="n">
        <f aca="false">SQRT(L_Rp0^2+L_Rp1^2*C187)</f>
        <v>81096129.4450715</v>
      </c>
      <c r="E187" s="5" t="str">
        <f aca="false">COMPLEX(D187,C187*L_Mp)</f>
        <v>81096129.4450715+56062221.8776625i</v>
      </c>
      <c r="F187" s="5" t="str">
        <f aca="false">IMDIV(1,E187)</f>
        <v>8.34360523763633e-09-5.76798240918293e-09i</v>
      </c>
      <c r="G187" s="5" t="str">
        <f aca="false">COMPLEX(0,C187*L_Cf)</f>
        <v>4.01288279116457e-12i</v>
      </c>
      <c r="H187" s="5" t="str">
        <f aca="false">COMPLEX(0,C187*L_Cbv)</f>
        <v>4.01288279116457e-11i</v>
      </c>
      <c r="I187" s="5" t="str">
        <f aca="false">COMPLEX(L_Rsq+L_Rh,C187*(L_Md+L_Mh)-1/(C187*L_Cd))</f>
        <v>552400610.124532-303538629883.159i</v>
      </c>
      <c r="J187" s="5" t="str">
        <f aca="false">IMDIV(1,I187)</f>
        <v>5.99549123339736e-15+3.29446267999534e-12i</v>
      </c>
      <c r="K187" s="5" t="str">
        <f aca="false">IMSUM(F187,G187,H187)</f>
        <v>8.34360523763633e-09-5.72384069848012e-09i</v>
      </c>
      <c r="L187" s="5" t="str">
        <f aca="false">IMSUM(IMPRODUCT(IMSUM(F187,G187),H187),IMPRODUCT(IMSUM(J187,L_Yv),K187))</f>
        <v>2.66895555267256e-19+3.50824796182131e-19i</v>
      </c>
      <c r="M187" s="37" t="n">
        <f aca="false">IMABS(IMDIV(IMPRODUCT(J187,F187,H187),L187))^2</f>
        <v>9.25420663397363E-024</v>
      </c>
      <c r="N187" s="5" t="str">
        <f aca="false">IMDIV(IMPRODUCT(L_Yv,K187,E187),H187)</f>
        <v>0.000178411484779187-0.0497161452019898i</v>
      </c>
      <c r="O187" s="37" t="n">
        <f aca="false">IMABS(IMSUM(1,IMPRODUCT(E187,G187),N187))^2</f>
        <v>1.00234632570758</v>
      </c>
      <c r="P187" s="37" t="n">
        <f aca="false">IMABS(N187)^2</f>
        <v>0.00247172692440324</v>
      </c>
      <c r="Q187" s="37" t="n">
        <f aca="false">p_Rb^2/(1+(C187*p_Rb*L_Ctot)^2)</f>
        <v>11445973650899900</v>
      </c>
      <c r="R187" s="37" t="n">
        <f aca="false">M187*L_Kt^2*Q187</f>
        <v>2.1258340519746E-005</v>
      </c>
      <c r="S187" s="37" t="n">
        <f aca="false">L_kT4*D187</f>
        <v>1.33529804880486E-012</v>
      </c>
      <c r="T187" s="37" t="n">
        <f aca="false">L_kT4*L_Rsq*O187</f>
        <v>5.17761130888802E-012</v>
      </c>
      <c r="U187" s="37" t="n">
        <f aca="false">L_kT4*L_Rh*O187</f>
        <v>3.93934849438742E-012</v>
      </c>
      <c r="V187" s="37" t="n">
        <f aca="false">L_kT4*p_Rv*P187</f>
        <v>2.03492581083638E-011</v>
      </c>
      <c r="W187" s="37" t="n">
        <f aca="false">L_kT4/p_Rb*Q187/R187</f>
        <v>8.86546399014903E-012</v>
      </c>
      <c r="X187" s="37" t="n">
        <f aca="false">p_en^2*(1+p_fc/B187)/R187</f>
        <v>3.50903194057662E-012</v>
      </c>
      <c r="Y187" s="37" t="n">
        <f aca="false">p_in^2*Q187/R187</f>
        <v>1.34605681476738E-012</v>
      </c>
      <c r="Z187" s="37" t="n">
        <f aca="false">p_eo^2/L_G^2/R187</f>
        <v>2.98215788008282E-012</v>
      </c>
      <c r="AA187" s="37" t="n">
        <f aca="false">SUM(S187:Z187)</f>
        <v>4.75042265860199E-011</v>
      </c>
      <c r="AB187" s="47" t="n">
        <f aca="false">10*LOG10(AA187/L_PREF^2)</f>
        <v>-9.25327739569942</v>
      </c>
      <c r="AC187" s="47" t="n">
        <f aca="false">10*LOG10(S187/L_PREF^2)</f>
        <v>-24.7648177693516</v>
      </c>
      <c r="AD187" s="47" t="n">
        <f aca="false">10*LOG10(T187/L_PREF^2)</f>
        <v>-18.87930547149</v>
      </c>
      <c r="AE187" s="47" t="n">
        <f aca="false">10*LOG10(U187/L_PREF^2)</f>
        <v>-20.0663558896648</v>
      </c>
      <c r="AF187" s="47" t="n">
        <f aca="false">10*LOG10(V187/L_PREF^2)</f>
        <v>-12.9351141095184</v>
      </c>
      <c r="AG187" s="47" t="n">
        <f aca="false">10*LOG10(W187/L_PREF^2)</f>
        <v>-16.5435852120624</v>
      </c>
      <c r="AH187" s="47" t="n">
        <f aca="false">10*LOG10(X187/L_PREF^2)</f>
        <v>-20.5687266997689</v>
      </c>
      <c r="AI187" s="47" t="n">
        <f aca="false">10*LOG10(Y187/L_PREF^2)</f>
        <v>-24.7299660022216</v>
      </c>
      <c r="AJ187" s="47" t="n">
        <f aca="false">10*LOG10(Z187/L_PREF^2)</f>
        <v>-21.2752935937607</v>
      </c>
      <c r="AK187" s="47" t="n">
        <f aca="false">10*LOG10(R187/$R$6)</f>
        <v>-0.012415452665338</v>
      </c>
      <c r="AL187" s="37" t="n">
        <f aca="false">(12194^2*B187^4/((B187^2+20.6^2)*SQRT((B187^2+107.7^2)*(B187^2+737.9^2))*(B187^2+12194^2))*1.2589254)^2</f>
        <v>0.611815456207541</v>
      </c>
      <c r="AM187" s="37" t="n">
        <f aca="false">0.5*(B187-B186)*(S187*AL187+S186*AL186)</f>
        <v>1.10638376221263E-011</v>
      </c>
      <c r="AN187" s="37" t="n">
        <f aca="false">0.5*(B187-B186)*(T187*AL187+T186*AL186)</f>
        <v>4.29285564569838E-011</v>
      </c>
      <c r="AO187" s="37" t="n">
        <f aca="false">0.5*(B187-B186)*(U187*AL187+U186*AL186)</f>
        <v>3.26618848260674E-011</v>
      </c>
      <c r="AP187" s="37" t="n">
        <f aca="false">0.5*(B187-B186)*(V187*AL187+V186*AL186)</f>
        <v>1.72645092773148E-010</v>
      </c>
      <c r="AQ187" s="37" t="n">
        <f aca="false">0.5*(B187-B186)*(W187*AL187+W186*AL186)</f>
        <v>7.52122788582599E-011</v>
      </c>
      <c r="AR187" s="37" t="n">
        <f aca="false">0.5*(B187-B186)*(X187*AL187+X186*AL186)</f>
        <v>2.91415131912845E-011</v>
      </c>
      <c r="AS187" s="37" t="n">
        <f aca="false">0.5*(B187-B186)*(Y187*AL187+Y186*AL186)</f>
        <v>1.14195941265837E-011</v>
      </c>
      <c r="AT187" s="37" t="n">
        <f aca="false">0.5*(B187-B186)*(Z187*AL187+Z186*AL186)</f>
        <v>2.47256625468226E-011</v>
      </c>
      <c r="AU187" s="37" t="n">
        <f aca="false">0.5*(B187-B186)*(AA187*AL187+AA186*AL186)</f>
        <v>3.99798420401277E-010</v>
      </c>
      <c r="AV187" s="37" t="n">
        <f aca="false">0.5*(B187-B186)*(S187+S186)</f>
        <v>1.83471921059296E-011</v>
      </c>
      <c r="AW187" s="37" t="n">
        <f aca="false">0.5*(B187-B186)*(T187+T186)</f>
        <v>7.11892442028092E-011</v>
      </c>
      <c r="AX187" s="37" t="n">
        <f aca="false">0.5*(B187-B186)*(U187+U186)</f>
        <v>5.41638267603259E-011</v>
      </c>
      <c r="AY187" s="37" t="n">
        <f aca="false">0.5*(B187-B186)*(V187+V186)</f>
        <v>2.86396990131018E-010</v>
      </c>
      <c r="AZ187" s="37" t="n">
        <f aca="false">0.5*(B187-B186)*(W187+W186)</f>
        <v>1.24767850386105E-010</v>
      </c>
      <c r="BA187" s="37" t="n">
        <f aca="false">0.5*(B187-B186)*(X187+X186)</f>
        <v>4.83270921662027E-011</v>
      </c>
      <c r="BB187" s="37" t="n">
        <f aca="false">0.5*(B187-B186)*(Y187+Y186)</f>
        <v>1.8943691549896E-011</v>
      </c>
      <c r="BC187" s="37" t="n">
        <f aca="false">0.5*(B187-B186)*(Z187+Z186)</f>
        <v>4.10030385900223E-011</v>
      </c>
      <c r="BD187" s="37" t="n">
        <f aca="false">0.5*(B187-B186)*(AA187+AA186)</f>
        <v>6.63138925892308E-010</v>
      </c>
      <c r="BE187" s="37" t="n">
        <f aca="false">IF(B187&gt;2000,AK187,-999)</f>
        <v>-999</v>
      </c>
      <c r="BF187" s="37" t="n">
        <f aca="false">IF(AND(B187&lt;1000,AK187&gt;=-3),B187,1000000000)</f>
        <v>603.990344080403</v>
      </c>
    </row>
    <row r="188" customFormat="false" ht="15" hidden="false" customHeight="false" outlineLevel="0" collapsed="false">
      <c r="A188" s="5" t="n">
        <v>149</v>
      </c>
      <c r="B188" s="47" t="n">
        <f aca="false">20*10^(A188/100)</f>
        <v>618.059086502718</v>
      </c>
      <c r="C188" s="37" t="n">
        <f aca="false">2*PI()*B188</f>
        <v>3883.37977128272</v>
      </c>
      <c r="D188" s="37" t="n">
        <f aca="false">SQRT(L_Rp0^2+L_Rp1^2*C188)</f>
        <v>81196821.3046986</v>
      </c>
      <c r="E188" s="5" t="str">
        <f aca="false">COMPLEX(D188,C188*L_Mp)</f>
        <v>81196821.3046986+57368078.7791008i</v>
      </c>
      <c r="F188" s="5" t="str">
        <f aca="false">IMDIV(1,E188)</f>
        <v>8.21495901748686e-09-5.80412396088465e-09i</v>
      </c>
      <c r="G188" s="5" t="str">
        <f aca="false">COMPLEX(0,C188*L_Cf)</f>
        <v>4.10635483904274e-12i</v>
      </c>
      <c r="H188" s="5" t="str">
        <f aca="false">COMPLEX(0,C188*L_Cbv)</f>
        <v>4.10635483904274e-11i</v>
      </c>
      <c r="I188" s="5" t="str">
        <f aca="false">COMPLEX(L_Rsq+L_Rh,C188*(L_Md+L_Mh)-1/(C188*L_Cd))</f>
        <v>552400610.124532-296628588547.042i</v>
      </c>
      <c r="J188" s="5" t="str">
        <f aca="false">IMDIV(1,I188)</f>
        <v>6.27807692706105e-15+3.37120753223652e-12i</v>
      </c>
      <c r="K188" s="5" t="str">
        <f aca="false">IMSUM(F188,G188,H188)</f>
        <v>8.21495901748686e-09-5.75895405765518e-09i</v>
      </c>
      <c r="L188" s="5" t="str">
        <f aca="false">IMSUM(IMPRODUCT(IMSUM(F188,G188),H188),IMPRODUCT(IMSUM(J188,L_Yv),K188))</f>
        <v>2.74065425107794e-19+3.53475635584812e-19i</v>
      </c>
      <c r="M188" s="37" t="n">
        <f aca="false">IMABS(IMDIV(IMPRODUCT(J188,F188,H188),L188))^2</f>
        <v>9.69166313643003E-024</v>
      </c>
      <c r="N188" s="5" t="str">
        <f aca="false">IMDIV(IMPRODUCT(L_Yv,K188,E188),H188)</f>
        <v>0.000178633006870352-0.0485787871983125i</v>
      </c>
      <c r="O188" s="37" t="n">
        <f aca="false">IMABS(IMSUM(1,IMPRODUCT(E188,G188),N188))^2</f>
        <v>1.00221373705066</v>
      </c>
      <c r="P188" s="37" t="n">
        <f aca="false">IMABS(N188)^2</f>
        <v>0.00235993047541008</v>
      </c>
      <c r="Q188" s="37" t="n">
        <f aca="false">p_Rb^2/(1+(C188*p_Rb*L_Ctot)^2)</f>
        <v>10930819982037100</v>
      </c>
      <c r="R188" s="37" t="n">
        <f aca="false">M188*L_Kt^2*Q188</f>
        <v>2.12612345029876E-005</v>
      </c>
      <c r="S188" s="37" t="n">
        <f aca="false">L_kT4*D188</f>
        <v>1.33695600269995E-012</v>
      </c>
      <c r="T188" s="37" t="n">
        <f aca="false">L_kT4*L_Rsq*O188</f>
        <v>5.17692642332312E-012</v>
      </c>
      <c r="U188" s="37" t="n">
        <f aca="false">L_kT4*L_Rh*O188</f>
        <v>3.93882740410892E-012</v>
      </c>
      <c r="V188" s="37" t="n">
        <f aca="false">L_kT4*p_Rv*P188</f>
        <v>1.94288591865817E-011</v>
      </c>
      <c r="W188" s="37" t="n">
        <f aca="false">L_kT4/p_Rb*Q188/R188</f>
        <v>8.46529997132282E-012</v>
      </c>
      <c r="X188" s="37" t="n">
        <f aca="false">p_en^2*(1+p_fc/B188)/R188</f>
        <v>3.49720976979487E-012</v>
      </c>
      <c r="Y188" s="37" t="n">
        <f aca="false">p_in^2*Q188/R188</f>
        <v>1.28529930617401E-012</v>
      </c>
      <c r="Z188" s="37" t="n">
        <f aca="false">p_eo^2/L_G^2/R188</f>
        <v>2.98175196221725E-012</v>
      </c>
      <c r="AA188" s="37" t="n">
        <f aca="false">SUM(S188:Z188)</f>
        <v>4.61111300262227E-011</v>
      </c>
      <c r="AB188" s="47" t="n">
        <f aca="false">10*LOG10(AA188/L_PREF^2)</f>
        <v>-9.38254225904491</v>
      </c>
      <c r="AC188" s="47" t="n">
        <f aca="false">10*LOG10(S188/L_PREF^2)</f>
        <v>-24.7594287583788</v>
      </c>
      <c r="AD188" s="47" t="n">
        <f aca="false">10*LOG10(T188/L_PREF^2)</f>
        <v>-18.8798799867986</v>
      </c>
      <c r="AE188" s="47" t="n">
        <f aca="false">10*LOG10(U188/L_PREF^2)</f>
        <v>-20.0669304049733</v>
      </c>
      <c r="AF188" s="47" t="n">
        <f aca="false">10*LOG10(V188/L_PREF^2)</f>
        <v>-13.136126906519</v>
      </c>
      <c r="AG188" s="47" t="n">
        <f aca="false">10*LOG10(W188/L_PREF^2)</f>
        <v>-16.7441763921</v>
      </c>
      <c r="AH188" s="47" t="n">
        <f aca="false">10*LOG10(X188/L_PREF^2)</f>
        <v>-20.5833830836613</v>
      </c>
      <c r="AI188" s="47" t="n">
        <f aca="false">10*LOG10(Y188/L_PREF^2)</f>
        <v>-24.9305571822592</v>
      </c>
      <c r="AJ188" s="47" t="n">
        <f aca="false">10*LOG10(Z188/L_PREF^2)</f>
        <v>-21.2758847760356</v>
      </c>
      <c r="AK188" s="47" t="n">
        <f aca="false">10*LOG10(R188/$R$6)</f>
        <v>-0.0118242703904351</v>
      </c>
      <c r="AL188" s="37" t="n">
        <f aca="false">(12194^2*B188^4/((B188^2+20.6^2)*SQRT((B188^2+107.7^2)*(B188^2+737.9^2))*(B188^2+12194^2))*1.2589254)^2</f>
        <v>0.629554959011777</v>
      </c>
      <c r="AM188" s="37" t="n">
        <f aca="false">0.5*(B188-B187)*(S188*AL188+S187*AL187)</f>
        <v>1.1667512442624E-011</v>
      </c>
      <c r="AN188" s="37" t="n">
        <f aca="false">0.5*(B188-B187)*(T188*AL188+T187*AL187)</f>
        <v>4.52092167077618E-011</v>
      </c>
      <c r="AO188" s="37" t="n">
        <f aca="false">0.5*(B188-B187)*(U188*AL188+U187*AL187)</f>
        <v>3.43971088491008E-011</v>
      </c>
      <c r="AP188" s="37" t="n">
        <f aca="false">0.5*(B188-B187)*(V188*AL188+V187*AL187)</f>
        <v>1.73619010890505E-010</v>
      </c>
      <c r="AQ188" s="37" t="n">
        <f aca="false">0.5*(B188-B187)*(W188*AL188+W187*AL187)</f>
        <v>7.56434036685669E-011</v>
      </c>
      <c r="AR188" s="37" t="n">
        <f aca="false">0.5*(B188-B187)*(X188*AL188+X187*AL187)</f>
        <v>3.05894255869135E-011</v>
      </c>
      <c r="AS188" s="37" t="n">
        <f aca="false">0.5*(B188-B187)*(Y188*AL188+Y187*AL187)</f>
        <v>1.14850524590042E-011</v>
      </c>
      <c r="AT188" s="37" t="n">
        <f aca="false">0.5*(B188-B187)*(Z188*AL188+Z187*AL187)</f>
        <v>2.60391812812661E-011</v>
      </c>
      <c r="AU188" s="37" t="n">
        <f aca="false">0.5*(B188-B187)*(AA188*AL188+AA187*AL187)</f>
        <v>4.08649911885742E-010</v>
      </c>
      <c r="AV188" s="37" t="n">
        <f aca="false">0.5*(B188-B187)*(S188+S187)</f>
        <v>1.87976269688042E-011</v>
      </c>
      <c r="AW188" s="37" t="n">
        <f aca="false">0.5*(B188-B187)*(T188+T187)</f>
        <v>7.28376621283091E-011</v>
      </c>
      <c r="AX188" s="37" t="n">
        <f aca="false">0.5*(B188-B187)*(U188+U187)</f>
        <v>5.54180137368168E-011</v>
      </c>
      <c r="AY188" s="37" t="n">
        <f aca="false">0.5*(B188-B187)*(V188+V187)</f>
        <v>2.79814043133607E-010</v>
      </c>
      <c r="AZ188" s="37" t="n">
        <f aca="false">0.5*(B188-B187)*(W188+W187)</f>
        <v>1.21911027077942E-010</v>
      </c>
      <c r="BA188" s="37" t="n">
        <f aca="false">0.5*(B188-B187)*(X188+X187)</f>
        <v>4.92845049858474E-011</v>
      </c>
      <c r="BB188" s="37" t="n">
        <f aca="false">0.5*(B188-B187)*(Y188+Y187)</f>
        <v>1.85099357434529E-011</v>
      </c>
      <c r="BC188" s="37" t="n">
        <f aca="false">0.5*(B188-B187)*(Z188+Z187)</f>
        <v>4.19523557006139E-011</v>
      </c>
      <c r="BD188" s="37" t="n">
        <f aca="false">0.5*(B188-B187)*(AA188+AA187)</f>
        <v>6.58525169475393E-010</v>
      </c>
      <c r="BE188" s="37" t="n">
        <f aca="false">IF(B188&gt;2000,AK188,-999)</f>
        <v>-999</v>
      </c>
      <c r="BF188" s="37" t="n">
        <f aca="false">IF(AND(B188&lt;1000,AK188&gt;=-3),B188,1000000000)</f>
        <v>618.059086502718</v>
      </c>
    </row>
    <row r="189" customFormat="false" ht="15" hidden="false" customHeight="false" outlineLevel="0" collapsed="false">
      <c r="A189" s="5" t="n">
        <v>150</v>
      </c>
      <c r="B189" s="47" t="n">
        <f aca="false">20*10^(A189/100)</f>
        <v>632.455532033676</v>
      </c>
      <c r="C189" s="37" t="n">
        <f aca="false">2*PI()*B189</f>
        <v>3973.83530631844</v>
      </c>
      <c r="D189" s="37" t="n">
        <f aca="false">SQRT(L_Rp0^2+L_Rp1^2*C189)</f>
        <v>81299729.4784945</v>
      </c>
      <c r="E189" s="5" t="str">
        <f aca="false">COMPLEX(D189,C189*L_Mp)</f>
        <v>81299729.4784945+58704352.9952641i</v>
      </c>
      <c r="F189" s="5" t="str">
        <f aca="false">IMDIV(1,E189)</f>
        <v>8.08482158502184e-09-5.83783271205593e-09i</v>
      </c>
      <c r="G189" s="5" t="str">
        <f aca="false">COMPLEX(0,C189*L_Cf)</f>
        <v>4.20200413061059e-12i</v>
      </c>
      <c r="H189" s="5" t="str">
        <f aca="false">COMPLEX(0,C189*L_Cbv)</f>
        <v>4.2020041306106e-11i</v>
      </c>
      <c r="I189" s="5" t="str">
        <f aca="false">COMPLEX(L_Rsq+L_Rh,C189*(L_Md+L_Mh)-1/(C189*L_Cd))</f>
        <v>552400610.124532-289875823614.916i</v>
      </c>
      <c r="J189" s="5" t="str">
        <f aca="false">IMDIV(1,I189)</f>
        <v>6.57398306932856e-15+3.4497404994222e-12i</v>
      </c>
      <c r="K189" s="5" t="str">
        <f aca="false">IMSUM(F189,G189,H189)</f>
        <v>8.08482158502184e-09-5.79161066661921e-09i</v>
      </c>
      <c r="L189" s="5" t="str">
        <f aca="false">IMSUM(IMPRODUCT(IMSUM(F189,G189),H189),IMPRODUCT(IMSUM(J189,L_Yv),K189))</f>
        <v>2.81331749835374e-19+3.55993778123863e-19i</v>
      </c>
      <c r="M189" s="37" t="n">
        <f aca="false">IMABS(IMDIV(IMPRODUCT(J189,F189,H189),L189))^2</f>
        <v>1.01497749044879E-023</v>
      </c>
      <c r="N189" s="5" t="str">
        <f aca="false">IMDIV(IMPRODUCT(L_Yv,K189,E189),H189)</f>
        <v>0.000178859404852685-0.0474671863106238i</v>
      </c>
      <c r="O189" s="37" t="n">
        <f aca="false">IMABS(IMSUM(1,IMPRODUCT(E189,G189),N189))^2</f>
        <v>1.00208519037178</v>
      </c>
      <c r="P189" s="37" t="n">
        <f aca="false">IMABS(N189)^2</f>
        <v>0.00225316576693417</v>
      </c>
      <c r="Q189" s="37" t="n">
        <f aca="false">p_Rb^2/(1+(C189*p_Rb*L_Ctot)^2)</f>
        <v>10438852047116000</v>
      </c>
      <c r="R189" s="37" t="n">
        <f aca="false">M189*L_Kt^2*Q189</f>
        <v>2.12640790529848E-005</v>
      </c>
      <c r="S189" s="37" t="n">
        <f aca="false">L_kT4*D189</f>
        <v>1.3386504495819E-012</v>
      </c>
      <c r="T189" s="37" t="n">
        <f aca="false">L_kT4*L_Rsq*O189</f>
        <v>5.17626241656095E-012</v>
      </c>
      <c r="U189" s="37" t="n">
        <f aca="false">L_kT4*L_Rh*O189</f>
        <v>3.93832219931799E-012</v>
      </c>
      <c r="V189" s="37" t="n">
        <f aca="false">L_kT4*p_Rv*P189</f>
        <v>1.85498856283822E-011</v>
      </c>
      <c r="W189" s="37" t="n">
        <f aca="false">L_kT4/p_Rb*Q189/R189</f>
        <v>8.08321725781476E-012</v>
      </c>
      <c r="X189" s="37" t="n">
        <f aca="false">p_en^2*(1+p_fc/B189)/R189</f>
        <v>3.48565711817812E-012</v>
      </c>
      <c r="Y189" s="37" t="n">
        <f aca="false">p_in^2*Q189/R189</f>
        <v>1.22728710953164E-012</v>
      </c>
      <c r="Z189" s="37" t="n">
        <f aca="false">p_eo^2/L_G^2/R189</f>
        <v>2.98135308566518E-012</v>
      </c>
      <c r="AA189" s="37" t="n">
        <f aca="false">SUM(S189:Z189)</f>
        <v>4.47806352650327E-011</v>
      </c>
      <c r="AB189" s="47" t="n">
        <f aca="false">10*LOG10(AA189/L_PREF^2)</f>
        <v>-9.50969741072416</v>
      </c>
      <c r="AC189" s="47" t="n">
        <f aca="false">10*LOG10(S189/L_PREF^2)</f>
        <v>-24.7539280314056</v>
      </c>
      <c r="AD189" s="47" t="n">
        <f aca="false">10*LOG10(T189/L_PREF^2)</f>
        <v>-18.8804370605227</v>
      </c>
      <c r="AE189" s="47" t="n">
        <f aca="false">10*LOG10(U189/L_PREF^2)</f>
        <v>-20.0674874786974</v>
      </c>
      <c r="AF189" s="47" t="n">
        <f aca="false">10*LOG10(V189/L_PREF^2)</f>
        <v>-13.3371875506507</v>
      </c>
      <c r="AG189" s="47" t="n">
        <f aca="false">10*LOG10(W189/L_PREF^2)</f>
        <v>-16.944757395612</v>
      </c>
      <c r="AH189" s="47" t="n">
        <f aca="false">10*LOG10(X189/L_PREF^2)</f>
        <v>-20.5977532771839</v>
      </c>
      <c r="AI189" s="47" t="n">
        <f aca="false">10*LOG10(Y189/L_PREF^2)</f>
        <v>-25.1311381857711</v>
      </c>
      <c r="AJ189" s="47" t="n">
        <f aca="false">10*LOG10(Z189/L_PREF^2)</f>
        <v>-21.2764657816841</v>
      </c>
      <c r="AK189" s="47" t="n">
        <f aca="false">10*LOG10(R189/$R$6)</f>
        <v>-0.0112432647418851</v>
      </c>
      <c r="AL189" s="37" t="n">
        <f aca="false">(12194^2*B189^4/((B189^2+20.6^2)*SQRT((B189^2+107.7^2)*(B189^2+737.9^2))*(B189^2+12194^2))*1.2589254)^2</f>
        <v>0.647426689658261</v>
      </c>
      <c r="AM189" s="37" t="n">
        <f aca="false">0.5*(B189-B188)*(S189*AL189+S188*AL188)</f>
        <v>1.22971940709664E-011</v>
      </c>
      <c r="AN189" s="37" t="n">
        <f aca="false">0.5*(B189-B188)*(T189*AL189+T188*AL188)</f>
        <v>4.7583204783365E-011</v>
      </c>
      <c r="AO189" s="37" t="n">
        <f aca="false">0.5*(B189-B188)*(U189*AL189+U188*AL188)</f>
        <v>3.6203340679456E-011</v>
      </c>
      <c r="AP189" s="37" t="n">
        <f aca="false">0.5*(B189-B188)*(V189*AL189+V188*AL188)</f>
        <v>1.74493742659254E-010</v>
      </c>
      <c r="AQ189" s="37" t="n">
        <f aca="false">0.5*(B189-B188)*(W189*AL189+W188*AL188)</f>
        <v>7.60323952780463E-011</v>
      </c>
      <c r="AR189" s="37" t="n">
        <f aca="false">0.5*(B189-B188)*(X189*AL189+X188*AL188)</f>
        <v>3.20925074483008E-011</v>
      </c>
      <c r="AS189" s="37" t="n">
        <f aca="false">0.5*(B189-B188)*(Y189*AL189+Y188*AL188)</f>
        <v>1.15441136437779E-011</v>
      </c>
      <c r="AT189" s="37" t="n">
        <f aca="false">0.5*(B189-B188)*(Z189*AL189+Z188*AL188)</f>
        <v>2.74064002970424E-011</v>
      </c>
      <c r="AU189" s="37" t="n">
        <f aca="false">0.5*(B189-B188)*(AA189*AL189+AA188*AL188)</f>
        <v>4.17652898860209E-010</v>
      </c>
      <c r="AV189" s="37" t="n">
        <f aca="false">0.5*(B189-B188)*(S189+S188)</f>
        <v>1.92596112762774E-011</v>
      </c>
      <c r="AW189" s="37" t="n">
        <f aca="false">0.5*(B189-B188)*(T189+T188)</f>
        <v>7.45245596025553E-011</v>
      </c>
      <c r="AX189" s="37" t="n">
        <f aca="false">0.5*(B189-B188)*(U189+U188)</f>
        <v>5.67014776024705E-011</v>
      </c>
      <c r="AY189" s="37" t="n">
        <f aca="false">0.5*(B189-B188)*(V189+V188)</f>
        <v>2.73379465531386E-010</v>
      </c>
      <c r="AZ189" s="37" t="n">
        <f aca="false">0.5*(B189-B188)*(W189+W188)</f>
        <v>1.19119913453697E-010</v>
      </c>
      <c r="BA189" s="37" t="n">
        <f aca="false">0.5*(B189-B188)*(X189+X188)</f>
        <v>5.02642314013158E-011</v>
      </c>
      <c r="BB189" s="37" t="n">
        <f aca="false">0.5*(B189-B188)*(Y189+Y188)</f>
        <v>1.80861567377653E-011</v>
      </c>
      <c r="BC189" s="37" t="n">
        <f aca="false">0.5*(B189-B188)*(Z189+Z188)</f>
        <v>4.29237585086093E-011</v>
      </c>
      <c r="BD189" s="37" t="n">
        <f aca="false">0.5*(B189-B188)*(AA189+AA188)</f>
        <v>6.54259174114077E-010</v>
      </c>
      <c r="BE189" s="37" t="n">
        <f aca="false">IF(B189&gt;2000,AK189,-999)</f>
        <v>-999</v>
      </c>
      <c r="BF189" s="37" t="n">
        <f aca="false">IF(AND(B189&lt;1000,AK189&gt;=-3),B189,1000000000)</f>
        <v>632.455532033676</v>
      </c>
    </row>
    <row r="190" customFormat="false" ht="15" hidden="false" customHeight="false" outlineLevel="0" collapsed="false">
      <c r="A190" s="5" t="n">
        <v>151</v>
      </c>
      <c r="B190" s="47" t="n">
        <f aca="false">20*10^(A190/100)</f>
        <v>647.187313859257</v>
      </c>
      <c r="C190" s="37" t="n">
        <f aca="false">2*PI()*B190</f>
        <v>4066.3978214335</v>
      </c>
      <c r="D190" s="37" t="n">
        <f aca="false">SQRT(L_Rp0^2+L_Rp1^2*C190)</f>
        <v>81404900.0194928</v>
      </c>
      <c r="E190" s="5" t="str">
        <f aca="false">COMPLEX(D190,C190*L_Mp)</f>
        <v>81404900.0194928+60071753.0364294i</v>
      </c>
      <c r="F190" s="5" t="str">
        <f aca="false">IMDIV(1,E190)</f>
        <v>7.95329080349222e-09-5.86903393849616e-09i</v>
      </c>
      <c r="G190" s="5" t="str">
        <f aca="false">COMPLEX(0,C190*L_Cf)</f>
        <v>4.29988138038861e-12i</v>
      </c>
      <c r="H190" s="5" t="str">
        <f aca="false">COMPLEX(0,C190*L_Cbv)</f>
        <v>4.29988138038861e-11i</v>
      </c>
      <c r="I190" s="5" t="str">
        <f aca="false">COMPLEX(L_Rsq+L_Rh,C190*(L_Md+L_Mh)-1/(C190*L_Cd))</f>
        <v>552400610.124532-283276754681.431i</v>
      </c>
      <c r="J190" s="5" t="str">
        <f aca="false">IMDIV(1,I190)</f>
        <v>6.88383768400648e-15+3.53010326769821e-12i</v>
      </c>
      <c r="K190" s="5" t="str">
        <f aca="false">IMSUM(F190,G190,H190)</f>
        <v>7.95329080349222e-09-5.82173524331189e-09i</v>
      </c>
      <c r="L190" s="5" t="str">
        <f aca="false">IMSUM(IMPRODUCT(IMSUM(F190,G190),H190),IMPRODUCT(IMSUM(J190,L_Yv),K190))</f>
        <v>2.8868926510725e-19+3.58374461874806e-19i</v>
      </c>
      <c r="M190" s="37" t="n">
        <f aca="false">IMABS(IMDIV(IMPRODUCT(J190,F190,H190),L190))^2</f>
        <v>1.06295190983254E-023</v>
      </c>
      <c r="N190" s="5" t="str">
        <f aca="false">IMDIV(IMPRODUCT(L_Yv,K190,E190),H190)</f>
        <v>0.000179090780042857-0.0463807531534195i</v>
      </c>
      <c r="O190" s="37" t="n">
        <f aca="false">IMABS(IMSUM(1,IMPRODUCT(E190,G190),N190))^2</f>
        <v>1.00196041235354</v>
      </c>
      <c r="P190" s="37" t="n">
        <f aca="false">IMABS(N190)^2</f>
        <v>0.00215120633658593</v>
      </c>
      <c r="Q190" s="37" t="n">
        <f aca="false">p_Rb^2/(1+(C190*p_Rb*L_Ctot)^2)</f>
        <v>9969026316254180</v>
      </c>
      <c r="R190" s="37" t="n">
        <f aca="false">M190*L_Kt^2*Q190</f>
        <v>2.12668801749522E-005</v>
      </c>
      <c r="S190" s="37" t="n">
        <f aca="false">L_kT4*D190</f>
        <v>1.34038214774243E-012</v>
      </c>
      <c r="T190" s="37" t="n">
        <f aca="false">L_kT4*L_Rsq*O190</f>
        <v>5.17561787678286E-012</v>
      </c>
      <c r="U190" s="37" t="n">
        <f aca="false">L_kT4*L_Rh*O190</f>
        <v>3.93783180584253E-012</v>
      </c>
      <c r="V190" s="37" t="n">
        <f aca="false">L_kT4*p_Rv*P190</f>
        <v>1.77104730119423E-011</v>
      </c>
      <c r="W190" s="37" t="n">
        <f aca="false">L_kT4/p_Rb*Q190/R190</f>
        <v>7.71839581000581E-012</v>
      </c>
      <c r="X190" s="37" t="n">
        <f aca="false">p_en^2*(1+p_fc/B190)/R190</f>
        <v>3.47436693940039E-012</v>
      </c>
      <c r="Y190" s="37" t="n">
        <f aca="false">p_in^2*Q190/R190</f>
        <v>1.17189571698386E-012</v>
      </c>
      <c r="Z190" s="37" t="n">
        <f aca="false">p_eo^2/L_G^2/R190</f>
        <v>2.98096040307365E-012</v>
      </c>
      <c r="AA190" s="37" t="n">
        <f aca="false">SUM(S190:Z190)</f>
        <v>4.35099237117739E-011</v>
      </c>
      <c r="AB190" s="47" t="n">
        <f aca="false">10*LOG10(AA190/L_PREF^2)</f>
        <v>-9.6347166950582</v>
      </c>
      <c r="AC190" s="47" t="n">
        <f aca="false">10*LOG10(S190/L_PREF^2)</f>
        <v>-24.7483135639972</v>
      </c>
      <c r="AD190" s="47" t="n">
        <f aca="false">10*LOG10(T190/L_PREF^2)</f>
        <v>-18.8809778706198</v>
      </c>
      <c r="AE190" s="47" t="n">
        <f aca="false">10*LOG10(U190/L_PREF^2)</f>
        <v>-20.0680282887945</v>
      </c>
      <c r="AF190" s="47" t="n">
        <f aca="false">10*LOG10(V190/L_PREF^2)</f>
        <v>-13.5382983083054</v>
      </c>
      <c r="AG190" s="47" t="n">
        <f aca="false">10*LOG10(W190/L_PREF^2)</f>
        <v>-17.1453294530018</v>
      </c>
      <c r="AH190" s="47" t="n">
        <f aca="false">10*LOG10(X190/L_PREF^2)</f>
        <v>-20.6118430751589</v>
      </c>
      <c r="AI190" s="47" t="n">
        <f aca="false">10*LOG10(Y190/L_PREF^2)</f>
        <v>-25.331710243161</v>
      </c>
      <c r="AJ190" s="47" t="n">
        <f aca="false">10*LOG10(Z190/L_PREF^2)</f>
        <v>-21.2770378411144</v>
      </c>
      <c r="AK190" s="47" t="n">
        <f aca="false">10*LOG10(R190/$R$6)</f>
        <v>-0.010671205311579</v>
      </c>
      <c r="AL190" s="37" t="n">
        <f aca="false">(12194^2*B190^4/((B190^2+20.6^2)*SQRT((B190^2+107.7^2)*(B190^2+737.9^2))*(B190^2+12194^2))*1.2589254)^2</f>
        <v>0.665411940371821</v>
      </c>
      <c r="AM190" s="37" t="n">
        <f aca="false">0.5*(B190-B189)*(S190*AL190+S189*AL189)</f>
        <v>1.29535402248761E-011</v>
      </c>
      <c r="AN190" s="37" t="n">
        <f aca="false">0.5*(B190-B189)*(T190*AL190+T189*AL189)</f>
        <v>5.00524689855428E-011</v>
      </c>
      <c r="AO190" s="37" t="n">
        <f aca="false">0.5*(B190-B189)*(U190*AL190+U189*AL189)</f>
        <v>3.80820626685702E-011</v>
      </c>
      <c r="AP190" s="37" t="n">
        <f aca="false">0.5*(B190-B189)*(V190*AL190+V189*AL189)</f>
        <v>1.75267332293941E-010</v>
      </c>
      <c r="AQ190" s="37" t="n">
        <f aca="false">0.5*(B190-B189)*(W190*AL190+W189*AL189)</f>
        <v>7.63784205335122E-011</v>
      </c>
      <c r="AR190" s="37" t="n">
        <f aca="false">0.5*(B190-B189)*(X190*AL190+X189*AL189)</f>
        <v>3.36517554238241E-011</v>
      </c>
      <c r="AS190" s="37" t="n">
        <f aca="false">0.5*(B190-B189)*(Y190*AL190+Y189*AL189)</f>
        <v>1.15966511819958E-011</v>
      </c>
      <c r="AT190" s="37" t="n">
        <f aca="false">0.5*(B190-B189)*(Z190*AL190+Z189*AL189)</f>
        <v>2.88284338508473E-011</v>
      </c>
      <c r="AU190" s="37" t="n">
        <f aca="false">0.5*(B190-B189)*(AA190*AL190+AA189*AL189)</f>
        <v>4.2681066516311E-010</v>
      </c>
      <c r="AV190" s="37" t="n">
        <f aca="false">0.5*(B190-B189)*(S190+S189)</f>
        <v>1.97334618637004E-011</v>
      </c>
      <c r="AW190" s="37" t="n">
        <f aca="false">0.5*(B190-B189)*(T190+T189)</f>
        <v>7.62508209830347E-011</v>
      </c>
      <c r="AX190" s="37" t="n">
        <f aca="false">0.5*(B190-B189)*(U190+U189)</f>
        <v>5.80148912143492E-011</v>
      </c>
      <c r="AY190" s="37" t="n">
        <f aca="false">0.5*(B190-B189)*(V190+V189)</f>
        <v>2.67089846203285E-010</v>
      </c>
      <c r="AZ190" s="37" t="n">
        <f aca="false">0.5*(B190-B189)*(W190+W189)</f>
        <v>1.16392958103689E-010</v>
      </c>
      <c r="BA190" s="37" t="n">
        <f aca="false">0.5*(B190-B189)*(X190+X189)</f>
        <v>5.12667779585198E-011</v>
      </c>
      <c r="BB190" s="37" t="n">
        <f aca="false">0.5*(B190-B189)*(Y190+Y189)</f>
        <v>1.76721189799532E-011</v>
      </c>
      <c r="BC190" s="37" t="n">
        <f aca="false">0.5*(B190-B189)*(Z190+Z189)</f>
        <v>4.39177507459087E-011</v>
      </c>
      <c r="BD190" s="37" t="n">
        <f aca="false">0.5*(B190-B189)*(AA190+AA189)</f>
        <v>6.5033862605244E-010</v>
      </c>
      <c r="BE190" s="37" t="n">
        <f aca="false">IF(B190&gt;2000,AK190,-999)</f>
        <v>-999</v>
      </c>
      <c r="BF190" s="37" t="n">
        <f aca="false">IF(AND(B190&lt;1000,AK190&gt;=-3),B190,1000000000)</f>
        <v>647.187313859257</v>
      </c>
    </row>
    <row r="191" customFormat="false" ht="15" hidden="false" customHeight="false" outlineLevel="0" collapsed="false">
      <c r="A191" s="5" t="n">
        <v>152</v>
      </c>
      <c r="B191" s="47" t="n">
        <f aca="false">20*10^(A191/100)</f>
        <v>662.262242965182</v>
      </c>
      <c r="C191" s="37" t="n">
        <f aca="false">2*PI()*B191</f>
        <v>4161.11639449863</v>
      </c>
      <c r="D191" s="37" t="n">
        <f aca="false">SQRT(L_Rp0^2+L_Rp1^2*C191)</f>
        <v>81512379.8240283</v>
      </c>
      <c r="E191" s="5" t="str">
        <f aca="false">COMPLEX(D191,C191*L_Mp)</f>
        <v>81512379.8240283+61471003.9161983i</v>
      </c>
      <c r="F191" s="5" t="str">
        <f aca="false">IMDIV(1,E191)</f>
        <v>7.82046936387876e-09-5.89765755743263e-09i</v>
      </c>
      <c r="G191" s="5" t="str">
        <f aca="false">COMPLEX(0,C191*L_Cf)</f>
        <v>4.40003848419016e-12i</v>
      </c>
      <c r="H191" s="5" t="str">
        <f aca="false">COMPLEX(0,C191*L_Cbv)</f>
        <v>4.40003848419016e-11i</v>
      </c>
      <c r="I191" s="5" t="str">
        <f aca="false">COMPLEX(L_Rsq+L_Rh,C191*(L_Md+L_Mh)-1/(C191*L_Cd))</f>
        <v>552400610.124532-276827882832.889i</v>
      </c>
      <c r="J191" s="5" t="str">
        <f aca="false">IMDIV(1,I191)</f>
        <v>7.20829841691433e-15+3.61233849675185e-12i</v>
      </c>
      <c r="K191" s="5" t="str">
        <f aca="false">IMSUM(F191,G191,H191)</f>
        <v>7.82046936387876e-09-5.84925713410654e-09i</v>
      </c>
      <c r="L191" s="5" t="str">
        <f aca="false">IMSUM(IMPRODUCT(IMSUM(F191,G191),H191),IMPRODUCT(IMSUM(J191,L_Yv),K191))</f>
        <v>2.96132406533788e-19+3.60613166741622e-19i</v>
      </c>
      <c r="M191" s="37" t="n">
        <f aca="false">IMABS(IMDIV(IMPRODUCT(J191,F191,H191),L191))^2</f>
        <v>1.11319192900463E-023</v>
      </c>
      <c r="N191" s="5" t="str">
        <f aca="false">IMDIV(IMPRODUCT(L_Yv,K191,E191),H191)</f>
        <v>0.000179327235612878-0.045318911685459i</v>
      </c>
      <c r="O191" s="37" t="n">
        <f aca="false">IMABS(IMSUM(1,IMPRODUCT(E191,G191),N191))^2</f>
        <v>1.00183913766001</v>
      </c>
      <c r="P191" s="37" t="n">
        <f aca="false">IMABS(N191)^2</f>
        <v>0.00205383591461187</v>
      </c>
      <c r="Q191" s="37" t="n">
        <f aca="false">p_Rb^2/(1+(C191*p_Rb*L_Ctot)^2)</f>
        <v>9520346226146920</v>
      </c>
      <c r="R191" s="37" t="n">
        <f aca="false">M191*L_Kt^2*Q191</f>
        <v>2.12696437872657E-005</v>
      </c>
      <c r="S191" s="37" t="n">
        <f aca="false">L_kT4*D191</f>
        <v>1.34215186935879E-012</v>
      </c>
      <c r="T191" s="37" t="n">
        <f aca="false">L_kT4*L_Rsq*O191</f>
        <v>5.1749914333984E-012</v>
      </c>
      <c r="U191" s="37" t="n">
        <f aca="false">L_kT4*L_Rh*O191</f>
        <v>3.93735518087858E-012</v>
      </c>
      <c r="V191" s="37" t="n">
        <f aca="false">L_kT4*p_Rv*P191</f>
        <v>1.69088408294759E-011</v>
      </c>
      <c r="W191" s="37" t="n">
        <f aca="false">L_kT4/p_Rb*Q191/R191</f>
        <v>7.37005304595145E-012</v>
      </c>
      <c r="X191" s="37" t="n">
        <f aca="false">p_en^2*(1+p_fc/B191)/R191</f>
        <v>3.4633323548836E-012</v>
      </c>
      <c r="Y191" s="37" t="n">
        <f aca="false">p_in^2*Q191/R191</f>
        <v>1.11900630792966E-012</v>
      </c>
      <c r="Z191" s="37" t="n">
        <f aca="false">p_eo^2/L_G^2/R191</f>
        <v>2.98057308023183E-012</v>
      </c>
      <c r="AA191" s="37" t="n">
        <f aca="false">SUM(S191:Z191)</f>
        <v>4.22963041021082E-011</v>
      </c>
      <c r="AB191" s="47" t="n">
        <f aca="false">10*LOG10(AA191/L_PREF^2)</f>
        <v>-9.75757571427769</v>
      </c>
      <c r="AC191" s="47" t="n">
        <f aca="false">10*LOG10(S191/L_PREF^2)</f>
        <v>-24.7425833071647</v>
      </c>
      <c r="AD191" s="47" t="n">
        <f aca="false">10*LOG10(T191/L_PREF^2)</f>
        <v>-18.8815035612285</v>
      </c>
      <c r="AE191" s="47" t="n">
        <f aca="false">10*LOG10(U191/L_PREF^2)</f>
        <v>-20.0685539794032</v>
      </c>
      <c r="AF191" s="47" t="n">
        <f aca="false">10*LOG10(V191/L_PREF^2)</f>
        <v>-13.7394615538117</v>
      </c>
      <c r="AG191" s="47" t="n">
        <f aca="false">10*LOG10(W191/L_PREF^2)</f>
        <v>-17.3458937762344</v>
      </c>
      <c r="AH191" s="47" t="n">
        <f aca="false">10*LOG10(X191/L_PREF^2)</f>
        <v>-20.6256582118594</v>
      </c>
      <c r="AI191" s="47" t="n">
        <f aca="false">10*LOG10(Y191/L_PREF^2)</f>
        <v>-25.5322745663936</v>
      </c>
      <c r="AJ191" s="47" t="n">
        <f aca="false">10*LOG10(Z191/L_PREF^2)</f>
        <v>-21.2776021662956</v>
      </c>
      <c r="AK191" s="47" t="n">
        <f aca="false">10*LOG10(R191/$R$6)</f>
        <v>-0.0101068801303966</v>
      </c>
      <c r="AL191" s="37" t="n">
        <f aca="false">(12194^2*B191^4/((B191^2+20.6^2)*SQRT((B191^2+107.7^2)*(B191^2+737.9^2))*(B191^2+12194^2))*1.2589254)^2</f>
        <v>0.683491441213806</v>
      </c>
      <c r="AM191" s="37" t="n">
        <f aca="false">0.5*(B191-B190)*(S191*AL191+S190*AL190)</f>
        <v>1.36371999619344E-011</v>
      </c>
      <c r="AN191" s="37" t="n">
        <f aca="false">0.5*(B191-B190)*(T191*AL191+T190*AL190)</f>
        <v>5.26188914589168E-011</v>
      </c>
      <c r="AO191" s="37" t="n">
        <f aca="false">0.5*(B191-B190)*(U191*AL191+U190*AL190)</f>
        <v>4.00347068327029E-011</v>
      </c>
      <c r="AP191" s="37" t="n">
        <f aca="false">0.5*(B191-B190)*(V191*AL191+V190*AL190)</f>
        <v>1.75938051906337E-010</v>
      </c>
      <c r="AQ191" s="37" t="n">
        <f aca="false">0.5*(B191-B190)*(W191*AL191+W190*AL190)</f>
        <v>7.66807442516845E-011</v>
      </c>
      <c r="AR191" s="37" t="n">
        <f aca="false">0.5*(B191-B190)*(X191*AL191+X190*AL190)</f>
        <v>3.52681227845197E-011</v>
      </c>
      <c r="AS191" s="37" t="n">
        <f aca="false">0.5*(B191-B190)*(Y191*AL191+Y190*AL190)</f>
        <v>1.16425534496677E-011</v>
      </c>
      <c r="AT191" s="37" t="n">
        <f aca="false">0.5*(B191-B190)*(Z191*AL191+Z190*AL190)</f>
        <v>3.03063573539657E-011</v>
      </c>
      <c r="AU191" s="37" t="n">
        <f aca="false">0.5*(B191-B190)*(AA191*AL191+AA190*AL190)</f>
        <v>4.36126627999729E-010</v>
      </c>
      <c r="AV191" s="37" t="n">
        <f aca="false">0.5*(B191-B190)*(S191+S190)</f>
        <v>2.02195050660176E-011</v>
      </c>
      <c r="AW191" s="37" t="n">
        <f aca="false">0.5*(B191-B190)*(T191+T190)</f>
        <v>7.80173507770589E-011</v>
      </c>
      <c r="AX191" s="37" t="n">
        <f aca="false">0.5*(B191-B190)*(U191+U190)</f>
        <v>5.9358942760365E-011</v>
      </c>
      <c r="AY191" s="37" t="n">
        <f aca="false">0.5*(B191-B190)*(V191+V190)</f>
        <v>2.60941850927587E-010</v>
      </c>
      <c r="AZ191" s="37" t="n">
        <f aca="false">0.5*(B191-B190)*(W191+W190)</f>
        <v>1.13728648410971E-010</v>
      </c>
      <c r="BA191" s="37" t="n">
        <f aca="false">0.5*(B191-B190)*(X191+X190)</f>
        <v>5.22926625097813E-011</v>
      </c>
      <c r="BB191" s="37" t="n">
        <f aca="false">0.5*(B191-B190)*(Y191+Y190)</f>
        <v>1.72675928070966E-011</v>
      </c>
      <c r="BC191" s="37" t="n">
        <f aca="false">0.5*(B191-B190)*(Z191+Z190)</f>
        <v>4.49348473117165E-011</v>
      </c>
      <c r="BD191" s="37" t="n">
        <f aca="false">0.5*(B191-B190)*(AA191+AA190)</f>
        <v>6.46761400570594E-010</v>
      </c>
      <c r="BE191" s="37" t="n">
        <f aca="false">IF(B191&gt;2000,AK191,-999)</f>
        <v>-999</v>
      </c>
      <c r="BF191" s="37" t="n">
        <f aca="false">IF(AND(B191&lt;1000,AK191&gt;=-3),B191,1000000000)</f>
        <v>662.262242965182</v>
      </c>
    </row>
    <row r="192" customFormat="false" ht="15" hidden="false" customHeight="false" outlineLevel="0" collapsed="false">
      <c r="A192" s="5" t="n">
        <v>153</v>
      </c>
      <c r="B192" s="47" t="n">
        <f aca="false">20*10^(A192/100)</f>
        <v>677.688312278405</v>
      </c>
      <c r="C192" s="37" t="n">
        <f aca="false">2*PI()*B192</f>
        <v>4258.04124655501</v>
      </c>
      <c r="D192" s="37" t="n">
        <f aca="false">SQRT(L_Rp0^2+L_Rp1^2*C192)</f>
        <v>81622216.6426369</v>
      </c>
      <c r="E192" s="5" t="str">
        <f aca="false">COMPLEX(D192,C192*L_Mp)</f>
        <v>81622216.6426369+62902847.5359085i</v>
      </c>
      <c r="F192" s="5" t="str">
        <f aca="false">IMDIV(1,E192)</f>
        <v>7.68646450207549e-09-5.92363849638043e-09i</v>
      </c>
      <c r="G192" s="5" t="str">
        <f aca="false">COMPLEX(0,C192*L_Cf)</f>
        <v>4.50252854663742e-12i</v>
      </c>
      <c r="H192" s="5" t="str">
        <f aca="false">COMPLEX(0,C192*L_Cbv)</f>
        <v>4.50252854663742e-11i</v>
      </c>
      <c r="I192" s="5" t="str">
        <f aca="false">COMPLEX(L_Rsq+L_Rh,C192*(L_Md+L_Mh)-1/(C192*L_Cd))</f>
        <v>552400610.124532-270525788792.075i</v>
      </c>
      <c r="J192" s="5" t="str">
        <f aca="false">IMDIV(1,I192)</f>
        <v>7.54805393425872e-15+3.69648984267076e-12i</v>
      </c>
      <c r="K192" s="5" t="str">
        <f aca="false">IMSUM(F192,G192,H192)</f>
        <v>7.68646450207549e-09-5.87411068236742e-09i</v>
      </c>
      <c r="L192" s="5" t="str">
        <f aca="false">IMSUM(IMPRODUCT(IMSUM(F192,G192),H192),IMPRODUCT(IMSUM(J192,L_Yv),K192))</f>
        <v>3.0365532399087e-19+3.62705636922091e-19i</v>
      </c>
      <c r="M192" s="37" t="n">
        <f aca="false">IMABS(IMDIV(IMPRODUCT(J192,F192,H192),L192))^2</f>
        <v>1.16580476857858E-023</v>
      </c>
      <c r="N192" s="5" t="str">
        <f aca="false">IMDIV(IMPRODUCT(L_Yv,K192,E192),H192)</f>
        <v>0.000179568876613798-0.0442810989043411i</v>
      </c>
      <c r="O192" s="37" t="n">
        <f aca="false">IMABS(IMSUM(1,IMPRODUCT(E192,G192),N192))^2</f>
        <v>1.00172110837389</v>
      </c>
      <c r="P192" s="37" t="n">
        <f aca="false">IMABS(N192)^2</f>
        <v>0.00196084796515749</v>
      </c>
      <c r="Q192" s="37" t="n">
        <f aca="false">p_Rb^2/(1+(C192*p_Rb*L_Ctot)^2)</f>
        <v>9091860066223210</v>
      </c>
      <c r="R192" s="37" t="n">
        <f aca="false">M192*L_Kt^2*Q192</f>
        <v>2.12723757337232E-005</v>
      </c>
      <c r="S192" s="37" t="n">
        <f aca="false">L_kT4*D192</f>
        <v>1.34396040067316E-012</v>
      </c>
      <c r="T192" s="37" t="n">
        <f aca="false">L_kT4*L_Rsq*O192</f>
        <v>5.17438175413792E-012</v>
      </c>
      <c r="U192" s="37" t="n">
        <f aca="false">L_kT4*L_Rh*O192</f>
        <v>3.93689131077835E-012</v>
      </c>
      <c r="V192" s="37" t="n">
        <f aca="false">L_kT4*p_Rv*P192</f>
        <v>1.61432887105372E-011</v>
      </c>
      <c r="W192" s="37" t="n">
        <f aca="false">L_kT4/p_Rb*Q192/R192</f>
        <v>7.0374421071311E-012</v>
      </c>
      <c r="X192" s="37" t="n">
        <f aca="false">p_en^2*(1+p_fc/B192)/R192</f>
        <v>3.45254664757079E-012</v>
      </c>
      <c r="Y192" s="37" t="n">
        <f aca="false">p_in^2*Q192/R192</f>
        <v>1.06850548570955E-012</v>
      </c>
      <c r="Z192" s="37" t="n">
        <f aca="false">p_eo^2/L_G^2/R192</f>
        <v>2.98019029430469E-012</v>
      </c>
      <c r="AA192" s="37" t="n">
        <f aca="false">SUM(S192:Z192)</f>
        <v>4.11372067108427E-011</v>
      </c>
      <c r="AB192" s="47" t="n">
        <f aca="false">10*LOG10(AA192/L_PREF^2)</f>
        <v>-9.87825192332227</v>
      </c>
      <c r="AC192" s="47" t="n">
        <f aca="false">10*LOG10(S192/L_PREF^2)</f>
        <v>-24.7367351875785</v>
      </c>
      <c r="AD192" s="47" t="n">
        <f aca="false">10*LOG10(T192/L_PREF^2)</f>
        <v>-18.8820152450456</v>
      </c>
      <c r="AE192" s="47" t="n">
        <f aca="false">10*LOG10(U192/L_PREF^2)</f>
        <v>-20.0690656632203</v>
      </c>
      <c r="AF192" s="47" t="n">
        <f aca="false">10*LOG10(V192/L_PREF^2)</f>
        <v>-13.9406797746325</v>
      </c>
      <c r="AG192" s="47" t="n">
        <f aca="false">10*LOG10(W192/L_PREF^2)</f>
        <v>-17.5464515613739</v>
      </c>
      <c r="AH192" s="47" t="n">
        <f aca="false">10*LOG10(X192/L_PREF^2)</f>
        <v>-20.6392043625811</v>
      </c>
      <c r="AI192" s="47" t="n">
        <f aca="false">10*LOG10(Y192/L_PREF^2)</f>
        <v>-25.7328323515331</v>
      </c>
      <c r="AJ192" s="47" t="n">
        <f aca="false">10*LOG10(Z192/L_PREF^2)</f>
        <v>-21.278159953296</v>
      </c>
      <c r="AK192" s="47" t="n">
        <f aca="false">10*LOG10(R192/$R$6)</f>
        <v>-0.00954909312999682</v>
      </c>
      <c r="AL192" s="37" t="n">
        <f aca="false">(12194^2*B192^4/((B192^2+20.6^2)*SQRT((B192^2+107.7^2)*(B192^2+737.9^2))*(B192^2+12194^2))*1.2589254)^2</f>
        <v>0.70164542898976</v>
      </c>
      <c r="AM192" s="37" t="n">
        <f aca="false">0.5*(B192-B191)*(S192*AL192+S191*AL191)</f>
        <v>1.43488128045874E-011</v>
      </c>
      <c r="AN192" s="37" t="n">
        <f aca="false">0.5*(B192-B191)*(T192*AL192+T191*AL191)</f>
        <v>5.52842839459595E-011</v>
      </c>
      <c r="AO192" s="37" t="n">
        <f aca="false">0.5*(B192-B191)*(U192*AL192+U191*AL191)</f>
        <v>4.2062651623143E-011</v>
      </c>
      <c r="AP192" s="37" t="n">
        <f aca="false">0.5*(B192-B191)*(V192*AL192+V191*AL191)</f>
        <v>1.76504411891344E-010</v>
      </c>
      <c r="AQ192" s="37" t="n">
        <f aca="false">0.5*(B192-B191)*(W192*AL192+W191*AL191)</f>
        <v>7.69387336858376E-011</v>
      </c>
      <c r="AR192" s="37" t="n">
        <f aca="false">0.5*(B192-B191)*(X192*AL192+X191*AL191)</f>
        <v>3.69425173641911E-011</v>
      </c>
      <c r="AS192" s="37" t="n">
        <f aca="false">0.5*(B192-B191)*(Y192*AL192+Y191*AL191)</f>
        <v>1.16817243759007E-011</v>
      </c>
      <c r="AT192" s="37" t="n">
        <f aca="false">0.5*(B192-B191)*(Z192*AL192+Z191*AL191)</f>
        <v>3.18412048765342E-011</v>
      </c>
      <c r="AU192" s="37" t="n">
        <f aca="false">0.5*(B192-B191)*(AA192*AL192+AA191*AL191)</f>
        <v>4.45604340567498E-010</v>
      </c>
      <c r="AV192" s="37" t="n">
        <f aca="false">0.5*(B192-B191)*(S192+S191)</f>
        <v>2.07180770303056E-011</v>
      </c>
      <c r="AW192" s="37" t="n">
        <f aca="false">0.5*(B192-B191)*(T192+T191)</f>
        <v>7.98250740696724E-011</v>
      </c>
      <c r="AX192" s="37" t="n">
        <f aca="false">0.5*(B192-B191)*(U192+U191)</f>
        <v>6.07343360848506E-011</v>
      </c>
      <c r="AY192" s="37" t="n">
        <f aca="false">0.5*(B192-B191)*(V192+V191)</f>
        <v>2.5493222061693E-010</v>
      </c>
      <c r="AZ192" s="37" t="n">
        <f aca="false">0.5*(B192-B191)*(W192+W191)</f>
        <v>1.11125509430686E-010</v>
      </c>
      <c r="BA192" s="37" t="n">
        <f aca="false">0.5*(B192-B191)*(X192+X191)</f>
        <v>5.33424144268618E-011</v>
      </c>
      <c r="BB192" s="37" t="n">
        <f aca="false">0.5*(B192-B191)*(Y192+Y191)</f>
        <v>1.68723542760854E-011</v>
      </c>
      <c r="BC192" s="37" t="n">
        <f aca="false">0.5*(B192-B191)*(Z192+Z191)</f>
        <v>4.59755744876601E-011</v>
      </c>
      <c r="BD192" s="37" t="n">
        <f aca="false">0.5*(B192-B191)*(AA192+AA191)</f>
        <v>6.43525560423052E-010</v>
      </c>
      <c r="BE192" s="37" t="n">
        <f aca="false">IF(B192&gt;2000,AK192,-999)</f>
        <v>-999</v>
      </c>
      <c r="BF192" s="37" t="n">
        <f aca="false">IF(AND(B192&lt;1000,AK192&gt;=-3),B192,1000000000)</f>
        <v>677.688312278405</v>
      </c>
    </row>
    <row r="193" customFormat="false" ht="15" hidden="false" customHeight="false" outlineLevel="0" collapsed="false">
      <c r="A193" s="5" t="n">
        <v>154</v>
      </c>
      <c r="B193" s="47" t="n">
        <f aca="false">20*10^(A193/100)</f>
        <v>693.473700905063</v>
      </c>
      <c r="C193" s="37" t="n">
        <f aca="false">2*PI()*B193</f>
        <v>4357.22376844214</v>
      </c>
      <c r="D193" s="37" t="n">
        <f aca="false">SQRT(L_Rp0^2+L_Rp1^2*C193)</f>
        <v>81734459.0909198</v>
      </c>
      <c r="E193" s="5" t="str">
        <f aca="false">COMPLEX(D193,C193*L_Mp)</f>
        <v>81734459.0909198+64368043.0779999i</v>
      </c>
      <c r="F193" s="5" t="str">
        <f aca="false">IMDIV(1,E193)</f>
        <v>7.55138768307585e-09-5.94691704195671e-09i</v>
      </c>
      <c r="G193" s="5" t="str">
        <f aca="false">COMPLEX(0,C193*L_Cf)</f>
        <v>4.60740590931812e-12i</v>
      </c>
      <c r="H193" s="5" t="str">
        <f aca="false">COMPLEX(0,C193*L_Cbv)</f>
        <v>4.60740590931812e-11i</v>
      </c>
      <c r="I193" s="5" t="str">
        <f aca="false">COMPLEX(L_Rsq+L_Rh,C193*(L_Md+L_Mh)-1/(C193*L_Cd))</f>
        <v>552400610.124532-264367131105.311i</v>
      </c>
      <c r="J193" s="5" t="str">
        <f aca="false">IMDIV(1,I193)</f>
        <v>7.90382538713603e-15+3.78260198134724e-12i</v>
      </c>
      <c r="K193" s="5" t="str">
        <f aca="false">IMSUM(F193,G193,H193)</f>
        <v>7.55138768307585e-09-5.89623557695421e-09i</v>
      </c>
      <c r="L193" s="5" t="str">
        <f aca="false">IMSUM(IMPRODUCT(IMSUM(F193,G193),H193),IMPRODUCT(IMSUM(J193,L_Yv),K193))</f>
        <v>3.11251897912934e-19+3.64647902387131e-19i</v>
      </c>
      <c r="M193" s="37" t="n">
        <f aca="false">IMABS(IMDIV(IMPRODUCT(J193,F193,H193),L193))^2</f>
        <v>1.22090274559125E-023</v>
      </c>
      <c r="N193" s="5" t="str">
        <f aca="false">IMDIV(IMPRODUCT(L_Yv,K193,E193),H193)</f>
        <v>0.000179815810000017-0.0432667645479918i</v>
      </c>
      <c r="O193" s="37" t="n">
        <f aca="false">IMABS(IMSUM(1,IMPRODUCT(E193,G193),N193))^2</f>
        <v>1.00160607344941</v>
      </c>
      <c r="P193" s="37" t="n">
        <f aca="false">IMABS(N193)^2</f>
        <v>0.00187204524817689</v>
      </c>
      <c r="Q193" s="37" t="n">
        <f aca="false">p_Rb^2/(1+(C193*p_Rb*L_Ctot)^2)</f>
        <v>8682658959940475</v>
      </c>
      <c r="R193" s="37" t="n">
        <f aca="false">M193*L_Kt^2*Q193</f>
        <v>2.12750817956834E-005</v>
      </c>
      <c r="S193" s="37" t="n">
        <f aca="false">L_kT4*D193</f>
        <v>1.34580854217153E-012</v>
      </c>
      <c r="T193" s="37" t="n">
        <f aca="false">L_kT4*L_Rsq*O193</f>
        <v>5.17378754222671E-012</v>
      </c>
      <c r="U193" s="37" t="n">
        <f aca="false">L_kT4*L_Rh*O193</f>
        <v>3.93643920890006E-012</v>
      </c>
      <c r="V193" s="37" t="n">
        <f aca="false">L_kT4*p_Rv*P193</f>
        <v>1.54121928153066E-011</v>
      </c>
      <c r="W193" s="37" t="n">
        <f aca="false">L_kT4/p_Rb*Q193/R193</f>
        <v>6.71985020650932E-012</v>
      </c>
      <c r="X193" s="37" t="n">
        <f aca="false">p_en^2*(1+p_fc/B193)/R193</f>
        <v>3.44200325588702E-012</v>
      </c>
      <c r="Y193" s="37" t="n">
        <f aca="false">p_in^2*Q193/R193</f>
        <v>1.0202850267892E-012</v>
      </c>
      <c r="Z193" s="37" t="n">
        <f aca="false">p_eo^2/L_G^2/R193</f>
        <v>2.97981123209158E-012</v>
      </c>
      <c r="AA193" s="37" t="n">
        <f aca="false">SUM(S193:Z193)</f>
        <v>4.0030177829882E-011</v>
      </c>
      <c r="AB193" s="47" t="n">
        <f aca="false">10*LOG10(AA193/L_PREF^2)</f>
        <v>-9.99672471910719</v>
      </c>
      <c r="AC193" s="47" t="n">
        <f aca="false">10*LOG10(S193/L_PREF^2)</f>
        <v>-24.7307671078074</v>
      </c>
      <c r="AD193" s="47" t="n">
        <f aca="false">10*LOG10(T193/L_PREF^2)</f>
        <v>-18.8825140056418</v>
      </c>
      <c r="AE193" s="47" t="n">
        <f aca="false">10*LOG10(U193/L_PREF^2)</f>
        <v>-20.0695644238166</v>
      </c>
      <c r="AF193" s="47" t="n">
        <f aca="false">10*LOG10(V193/L_PREF^2)</f>
        <v>-14.1419555768179</v>
      </c>
      <c r="AG193" s="47" t="n">
        <f aca="false">10*LOG10(W193/L_PREF^2)</f>
        <v>-17.7470039910918</v>
      </c>
      <c r="AH193" s="47" t="n">
        <f aca="false">10*LOG10(X193/L_PREF^2)</f>
        <v>-20.6524871452495</v>
      </c>
      <c r="AI193" s="47" t="n">
        <f aca="false">10*LOG10(Y193/L_PREF^2)</f>
        <v>-25.933384781251</v>
      </c>
      <c r="AJ193" s="47" t="n">
        <f aca="false">10*LOG10(Z193/L_PREF^2)</f>
        <v>-21.278712384791</v>
      </c>
      <c r="AK193" s="47" t="n">
        <f aca="false">10*LOG10(R193/$R$6)</f>
        <v>-0.00899666163499149</v>
      </c>
      <c r="AL193" s="37" t="n">
        <f aca="false">(12194^2*B193^4/((B193^2+20.6^2)*SQRT((B193^2+107.7^2)*(B193^2+737.9^2))*(B193^2+12194^2))*1.2589254)^2</f>
        <v>0.719853720070148</v>
      </c>
      <c r="AM193" s="37" t="n">
        <f aca="false">0.5*(B193-B192)*(S193*AL193+S192*AL192)</f>
        <v>1.50890079789431E-011</v>
      </c>
      <c r="AN193" s="37" t="n">
        <f aca="false">0.5*(B193-B192)*(T193*AL193+T192*AL192)</f>
        <v>5.80503839953842E-011</v>
      </c>
      <c r="AO193" s="37" t="n">
        <f aca="false">0.5*(B193-B192)*(U193*AL193+U192*AL192)</f>
        <v>4.41672190413887E-011</v>
      </c>
      <c r="AP193" s="37" t="n">
        <f aca="false">0.5*(B193-B192)*(V193*AL193+V192*AL192)</f>
        <v>1.76965169971427E-010</v>
      </c>
      <c r="AQ193" s="37" t="n">
        <f aca="false">0.5*(B193-B192)*(W193*AL193+W192*AL192)</f>
        <v>7.71518624151427E-011</v>
      </c>
      <c r="AR193" s="37" t="n">
        <f aca="false">0.5*(B193-B192)*(X193*AL193+X192*AL192)</f>
        <v>3.86757997893796E-011</v>
      </c>
      <c r="AS193" s="37" t="n">
        <f aca="false">0.5*(B193-B192)*(Y193*AL193+Y192*AL192)</f>
        <v>1.17140840334238E-011</v>
      </c>
      <c r="AT193" s="37" t="n">
        <f aca="false">0.5*(B193-B192)*(Z193*AL193+Z192*AL192)</f>
        <v>3.34339669102433E-011</v>
      </c>
      <c r="AU193" s="37" t="n">
        <f aca="false">0.5*(B193-B192)*(AA193*AL193+AA192*AL192)</f>
        <v>4.55247494135333E-010</v>
      </c>
      <c r="AV193" s="37" t="n">
        <f aca="false">0.5*(B193-B192)*(S193+S192)</f>
        <v>2.12295240393596E-011</v>
      </c>
      <c r="AW193" s="37" t="n">
        <f aca="false">0.5*(B193-B192)*(T193+T192)</f>
        <v>8.1674936958784E-011</v>
      </c>
      <c r="AX193" s="37" t="n">
        <f aca="false">0.5*(B193-B192)*(U193+U192)</f>
        <v>6.21417910196264E-011</v>
      </c>
      <c r="AY193" s="37" t="n">
        <f aca="false">0.5*(B193-B192)*(V193+V192)</f>
        <v>2.49057769593389E-010</v>
      </c>
      <c r="AZ193" s="37" t="n">
        <f aca="false">0.5*(B193-B192)*(W193+W192)</f>
        <v>1.08582102810676E-010</v>
      </c>
      <c r="BA193" s="37" t="n">
        <f aca="false">0.5*(B193-B192)*(X193+X192)</f>
        <v>5.44165748159853E-011</v>
      </c>
      <c r="BB193" s="37" t="n">
        <f aca="false">0.5*(B193-B192)*(Y193+Y192)</f>
        <v>1.64861849997347E-011</v>
      </c>
      <c r="BC193" s="37" t="n">
        <f aca="false">0.5*(B193-B192)*(Z193+Z192)</f>
        <v>4.70404701548206E-011</v>
      </c>
      <c r="BD193" s="37" t="n">
        <f aca="false">0.5*(B193-B192)*(AA193+AA192)</f>
        <v>6.40629354392376E-010</v>
      </c>
      <c r="BE193" s="37" t="n">
        <f aca="false">IF(B193&gt;2000,AK193,-999)</f>
        <v>-999</v>
      </c>
      <c r="BF193" s="37" t="n">
        <f aca="false">IF(AND(B193&lt;1000,AK193&gt;=-3),B193,1000000000)</f>
        <v>693.473700905063</v>
      </c>
    </row>
    <row r="194" customFormat="false" ht="15" hidden="false" customHeight="false" outlineLevel="0" collapsed="false">
      <c r="A194" s="5" t="n">
        <v>155</v>
      </c>
      <c r="B194" s="47" t="n">
        <f aca="false">20*10^(A194/100)</f>
        <v>709.626778467151</v>
      </c>
      <c r="C194" s="37" t="n">
        <f aca="false">2*PI()*B194</f>
        <v>4458.71654804599</v>
      </c>
      <c r="D194" s="37" t="n">
        <f aca="false">SQRT(L_Rp0^2+L_Rp1^2*C194)</f>
        <v>81849156.6603634</v>
      </c>
      <c r="E194" s="5" t="str">
        <f aca="false">COMPLEX(D194,C194*L_Mp)</f>
        <v>81849156.6603634+65867367.408543i</v>
      </c>
      <c r="F194" s="5" t="str">
        <f aca="false">IMDIV(1,E194)</f>
        <v>7.41535425381129e-09-5.96743916528122e-09i</v>
      </c>
      <c r="G194" s="5" t="str">
        <f aca="false">COMPLEX(0,C194*L_Cf)</f>
        <v>4.71472617959817e-12i</v>
      </c>
      <c r="H194" s="5" t="str">
        <f aca="false">COMPLEX(0,C194*L_Cbv)</f>
        <v>4.71472617959817e-11i</v>
      </c>
      <c r="I194" s="5" t="str">
        <f aca="false">COMPLEX(L_Rsq+L_Rh,C194*(L_Md+L_Mh)-1/(C194*L_Cd))</f>
        <v>552400610.124532-258348644370.771i</v>
      </c>
      <c r="J194" s="5" t="str">
        <f aca="false">IMDIV(1,I194)</f>
        <v>8.27636794530183e-15+3.87072063244174e-12i</v>
      </c>
      <c r="K194" s="5" t="str">
        <f aca="false">IMSUM(F194,G194,H194)</f>
        <v>7.41535425381129e-09-5.91557717730564e-09i</v>
      </c>
      <c r="L194" s="5" t="str">
        <f aca="false">IMSUM(IMPRODUCT(IMSUM(F194,G194),H194),IMPRODUCT(IMSUM(J194,L_Yv),K194))</f>
        <v>3.18915757488492e-19+3.6643629917354e-19i</v>
      </c>
      <c r="M194" s="37" t="n">
        <f aca="false">IMABS(IMDIV(IMPRODUCT(J194,F194,H194),L194))^2</f>
        <v>1.27860351787509E-023</v>
      </c>
      <c r="N194" s="5" t="str">
        <f aca="false">IMDIV(IMPRODUCT(L_Yv,K194,E194),H194)</f>
        <v>0.000180068144652787-0.042275370802909i</v>
      </c>
      <c r="O194" s="37" t="n">
        <f aca="false">IMABS(IMSUM(1,IMPRODUCT(E194,G194),N194))^2</f>
        <v>1.00149378817989</v>
      </c>
      <c r="P194" s="37" t="n">
        <f aca="false">IMABS(N194)^2</f>
        <v>0.00178723940106017</v>
      </c>
      <c r="Q194" s="37" t="n">
        <f aca="false">p_Rb^2/(1+(C194*p_Rb*L_Ctot)^2)</f>
        <v>8291874936936078</v>
      </c>
      <c r="R194" s="37" t="n">
        <f aca="false">M194*L_Kt^2*Q194</f>
        <v>2.12777677041151E-005</v>
      </c>
      <c r="S194" s="37" t="n">
        <f aca="false">L_kT4*D194</f>
        <v>1.34769710876194E-012</v>
      </c>
      <c r="T194" s="37" t="n">
        <f aca="false">L_kT4*L_Rsq*O194</f>
        <v>5.17320753363448E-012</v>
      </c>
      <c r="U194" s="37" t="n">
        <f aca="false">L_kT4*L_Rh*O194</f>
        <v>3.93599791351534E-012</v>
      </c>
      <c r="V194" s="37" t="n">
        <f aca="false">L_kT4*p_Rv*P194</f>
        <v>1.47140023902081E-011</v>
      </c>
      <c r="W194" s="37" t="n">
        <f aca="false">L_kT4/p_Rb*Q194/R194</f>
        <v>6.41659705482733E-012</v>
      </c>
      <c r="X194" s="37" t="n">
        <f aca="false">p_en^2*(1+p_fc/B194)/R194</f>
        <v>3.43169576787534E-012</v>
      </c>
      <c r="Y194" s="37" t="n">
        <f aca="false">p_in^2*Q194/R194</f>
        <v>9.74241641820873E-013</v>
      </c>
      <c r="Z194" s="37" t="n">
        <f aca="false">p_eo^2/L_G^2/R194</f>
        <v>2.97943508830506E-012</v>
      </c>
      <c r="AA194" s="37" t="n">
        <f aca="false">SUM(S194:Z194)</f>
        <v>3.89728744989484E-011</v>
      </c>
      <c r="AB194" s="47" t="n">
        <f aca="false">10*LOG10(AA194/L_PREF^2)</f>
        <v>-10.112975523561</v>
      </c>
      <c r="AC194" s="47" t="n">
        <f aca="false">10*LOG10(S194/L_PREF^2)</f>
        <v>-24.7246769465854</v>
      </c>
      <c r="AD194" s="47" t="n">
        <f aca="false">10*LOG10(T194/L_PREF^2)</f>
        <v>-18.8830008997197</v>
      </c>
      <c r="AE194" s="47" t="n">
        <f aca="false">10*LOG10(U194/L_PREF^2)</f>
        <v>-20.0700513178945</v>
      </c>
      <c r="AF194" s="47" t="n">
        <f aca="false">10*LOG10(V194/L_PREF^2)</f>
        <v>-14.3432916907275</v>
      </c>
      <c r="AG194" s="47" t="n">
        <f aca="false">10*LOG10(W194/L_PREF^2)</f>
        <v>-17.9475522371506</v>
      </c>
      <c r="AH194" s="47" t="n">
        <f aca="false">10*LOG10(X194/L_PREF^2)</f>
        <v>-20.6655121220652</v>
      </c>
      <c r="AI194" s="47" t="n">
        <f aca="false">10*LOG10(Y194/L_PREF^2)</f>
        <v>-26.1339330273097</v>
      </c>
      <c r="AJ194" s="47" t="n">
        <f aca="false">10*LOG10(Z194/L_PREF^2)</f>
        <v>-21.2792606325469</v>
      </c>
      <c r="AK194" s="47" t="n">
        <f aca="false">10*LOG10(R194/$R$6)</f>
        <v>-0.00844841387907829</v>
      </c>
      <c r="AL194" s="37" t="n">
        <f aca="false">(12194^2*B194^4/((B194^2+20.6^2)*SQRT((B194^2+107.7^2)*(B194^2+737.9^2))*(B194^2+12194^2))*1.2589254)^2</f>
        <v>0.738095786513651</v>
      </c>
      <c r="AM194" s="37" t="n">
        <f aca="false">0.5*(B194-B193)*(S194*AL194+S193*AL193)</f>
        <v>1.58584037771146E-011</v>
      </c>
      <c r="AN194" s="37" t="n">
        <f aca="false">0.5*(B194-B193)*(T194*AL194+T193*AL193)</f>
        <v>6.09188516594632E-011</v>
      </c>
      <c r="AO194" s="37" t="n">
        <f aca="false">0.5*(B194-B193)*(U194*AL194+U193*AL193)</f>
        <v>4.63496721263259E-011</v>
      </c>
      <c r="AP194" s="37" t="n">
        <f aca="false">0.5*(B194-B193)*(V194*AL194+V193*AL193)</f>
        <v>1.773193387924E-010</v>
      </c>
      <c r="AQ194" s="37" t="n">
        <f aca="false">0.5*(B194-B193)*(W194*AL194+W193*AL193)</f>
        <v>7.73197136106098E-011</v>
      </c>
      <c r="AR194" s="37" t="n">
        <f aca="false">0.5*(B194-B193)*(X194*AL194+X193*AL193)</f>
        <v>4.04687820156484E-011</v>
      </c>
      <c r="AS194" s="37" t="n">
        <f aca="false">0.5*(B194-B193)*(Y194*AL194+Y193*AL193)</f>
        <v>1.17395691344604E-011</v>
      </c>
      <c r="AT194" s="37" t="n">
        <f aca="false">0.5*(B194-B193)*(Z194*AL194+Z193*AL193)</f>
        <v>3.50855884097627E-011</v>
      </c>
      <c r="AU194" s="37" t="n">
        <f aca="false">0.5*(B194-B193)*(AA194*AL194+AA193*AL193)</f>
        <v>4.65059919525785E-010</v>
      </c>
      <c r="AV194" s="37" t="n">
        <f aca="false">0.5*(B194-B193)*(S194+S193)</f>
        <v>2.17542028467249E-011</v>
      </c>
      <c r="AW194" s="37" t="n">
        <f aca="false">0.5*(B194-B193)*(T194+T193)</f>
        <v>8.35679069974625E-011</v>
      </c>
      <c r="AX194" s="37" t="n">
        <f aca="false">0.5*(B194-B193)*(U194+U193)</f>
        <v>6.35820437205171E-011</v>
      </c>
      <c r="AY194" s="37" t="n">
        <f aca="false">0.5*(B194-B193)*(V194+V193)</f>
        <v>2.43315383902636E-010</v>
      </c>
      <c r="AZ194" s="37" t="n">
        <f aca="false">0.5*(B194-B193)*(W194+W193)</f>
        <v>1.06097025751323E-010</v>
      </c>
      <c r="BA194" s="37" t="n">
        <f aca="false">0.5*(B194-B193)*(X194+X193)</f>
        <v>5.55156967346399E-011</v>
      </c>
      <c r="BB194" s="37" t="n">
        <f aca="false">0.5*(B194-B193)*(Y194+Y193)</f>
        <v>1.61088719888554E-011</v>
      </c>
      <c r="BC194" s="37" t="n">
        <f aca="false">0.5*(B194-B193)*(Z194+Z193)</f>
        <v>4.81300840124762E-011</v>
      </c>
      <c r="BD194" s="37" t="n">
        <f aca="false">0.5*(B194-B193)*(AA194+AA193)</f>
        <v>6.38071215954634E-010</v>
      </c>
      <c r="BE194" s="37" t="n">
        <f aca="false">IF(B194&gt;2000,AK194,-999)</f>
        <v>-999</v>
      </c>
      <c r="BF194" s="37" t="n">
        <f aca="false">IF(AND(B194&lt;1000,AK194&gt;=-3),B194,1000000000)</f>
        <v>709.626778467151</v>
      </c>
    </row>
    <row r="195" customFormat="false" ht="15" hidden="false" customHeight="false" outlineLevel="0" collapsed="false">
      <c r="A195" s="5" t="n">
        <v>156</v>
      </c>
      <c r="B195" s="47" t="n">
        <f aca="false">20*10^(A195/100)</f>
        <v>726.156109540203</v>
      </c>
      <c r="C195" s="37" t="n">
        <f aca="false">2*PI()*B195</f>
        <v>4562.57339818169</v>
      </c>
      <c r="D195" s="37" t="n">
        <f aca="false">SQRT(L_Rp0^2+L_Rp1^2*C195)</f>
        <v>81966359.7291092</v>
      </c>
      <c r="E195" s="5" t="str">
        <f aca="false">COMPLEX(D195,C195*L_Mp)</f>
        <v>81966359.7291092+67401615.4891438i</v>
      </c>
      <c r="F195" s="5" t="str">
        <f aca="false">IMDIV(1,E195)</f>
        <v>7.27848306667967e-09-5.98515682074831e-09i</v>
      </c>
      <c r="G195" s="5" t="str">
        <f aca="false">COMPLEX(0,C195*L_Cf)</f>
        <v>4.82454626010542e-12i</v>
      </c>
      <c r="H195" s="5" t="str">
        <f aca="false">COMPLEX(0,C195*L_Cbv)</f>
        <v>4.82454626010542e-11i</v>
      </c>
      <c r="I195" s="5" t="str">
        <f aca="false">COMPLEX(L_Rsq+L_Rh,C195*(L_Md+L_Mh)-1/(C195*L_Cd))</f>
        <v>552400610.124532-252467137507.126i</v>
      </c>
      <c r="J195" s="5" t="str">
        <f aca="false">IMDIV(1,I195)</f>
        <v>8.6664724034949e-15+3.96089258391949e-12i</v>
      </c>
      <c r="K195" s="5" t="str">
        <f aca="false">IMSUM(F195,G195,H195)</f>
        <v>7.27848306667967e-09-5.93208681188715e-09i</v>
      </c>
      <c r="L195" s="5" t="str">
        <f aca="false">IMSUM(IMPRODUCT(IMSUM(F195,G195),H195),IMPRODUCT(IMSUM(J195,L_Yv),K195))</f>
        <v>3.26640300657064e-19+3.68067488296471e-19i</v>
      </c>
      <c r="M195" s="37" t="n">
        <f aca="false">IMABS(IMDIV(IMPRODUCT(J195,F195,H195),L195))^2</f>
        <v>1.33903034035297E-023</v>
      </c>
      <c r="N195" s="5" t="str">
        <f aca="false">IMDIV(IMPRODUCT(L_Yv,K195,E195),H195)</f>
        <v>0.00018032599140404-0.0413063920190067i</v>
      </c>
      <c r="O195" s="37" t="n">
        <f aca="false">IMABS(IMSUM(1,IMPRODUCT(E195,G195),N195))^2</f>
        <v>1.00138401367871</v>
      </c>
      <c r="P195" s="37" t="n">
        <f aca="false">IMABS(N195)^2</f>
        <v>0.00170625053909104</v>
      </c>
      <c r="Q195" s="37" t="n">
        <f aca="false">p_Rb^2/(1+(C195*p_Rb*L_Ctot)^2)</f>
        <v>7918679091946132</v>
      </c>
      <c r="R195" s="37" t="n">
        <f aca="false">M195*L_Kt^2*Q195</f>
        <v>2.12804391515696E-005</v>
      </c>
      <c r="S195" s="37" t="n">
        <f aca="false">L_kT4*D195</f>
        <v>1.34962692995169E-012</v>
      </c>
      <c r="T195" s="37" t="n">
        <f aca="false">L_kT4*L_Rsq*O195</f>
        <v>5.17264049439447E-012</v>
      </c>
      <c r="U195" s="37" t="n">
        <f aca="false">L_kT4*L_Rh*O195</f>
        <v>3.93556648576939E-012</v>
      </c>
      <c r="V195" s="37" t="n">
        <f aca="false">L_kT4*p_Rv*P195</f>
        <v>1.40472364785528E-011</v>
      </c>
      <c r="W195" s="37" t="n">
        <f aca="false">L_kT4/p_Rb*Q195/R195</f>
        <v>6.12703336126535E-012</v>
      </c>
      <c r="X195" s="37" t="n">
        <f aca="false">p_en^2*(1+p_fc/B195)/R195</f>
        <v>3.4216179154983E-012</v>
      </c>
      <c r="Y195" s="37" t="n">
        <f aca="false">p_in^2*Q195/R195</f>
        <v>9.3027674799677E-013</v>
      </c>
      <c r="Z195" s="37" t="n">
        <f aca="false">p_eo^2/L_G^2/R195</f>
        <v>2.97906106386759E-012</v>
      </c>
      <c r="AA195" s="37" t="n">
        <f aca="false">SUM(S195:Z195)</f>
        <v>3.79630594772964E-011</v>
      </c>
      <c r="AB195" s="47" t="n">
        <f aca="false">10*LOG10(AA195/L_PREF^2)</f>
        <v>-10.2269878597722</v>
      </c>
      <c r="AC195" s="47" t="n">
        <f aca="false">10*LOG10(S195/L_PREF^2)</f>
        <v>-24.7184625591055</v>
      </c>
      <c r="AD195" s="47" t="n">
        <f aca="false">10*LOG10(T195/L_PREF^2)</f>
        <v>-18.8834769593188</v>
      </c>
      <c r="AE195" s="47" t="n">
        <f aca="false">10*LOG10(U195/L_PREF^2)</f>
        <v>-20.0705273774935</v>
      </c>
      <c r="AF195" s="47" t="n">
        <f aca="false">10*LOG10(V195/L_PREF^2)</f>
        <v>-14.544690977035</v>
      </c>
      <c r="AG195" s="47" t="n">
        <f aca="false">10*LOG10(W195/L_PREF^2)</f>
        <v>-18.1480974628669</v>
      </c>
      <c r="AH195" s="47" t="n">
        <f aca="false">10*LOG10(X195/L_PREF^2)</f>
        <v>-20.6782848011916</v>
      </c>
      <c r="AI195" s="47" t="n">
        <f aca="false">10*LOG10(Y195/L_PREF^2)</f>
        <v>-26.334478253026</v>
      </c>
      <c r="AJ195" s="47" t="n">
        <f aca="false">10*LOG10(Z195/L_PREF^2)</f>
        <v>-21.279805859884</v>
      </c>
      <c r="AK195" s="47" t="n">
        <f aca="false">10*LOG10(R195/$R$6)</f>
        <v>-0.00790318654199907</v>
      </c>
      <c r="AL195" s="37" t="n">
        <f aca="false">(12194^2*B195^4/((B195^2+20.6^2)*SQRT((B195^2+107.7^2)*(B195^2+737.9^2))*(B195^2+12194^2))*1.2589254)^2</f>
        <v>0.756350834832081</v>
      </c>
      <c r="AM195" s="37" t="n">
        <f aca="false">0.5*(B195-B194)*(S195*AL195+S194*AL194)</f>
        <v>1.66576070514305E-011</v>
      </c>
      <c r="AN195" s="37" t="n">
        <f aca="false">0.5*(B195-B194)*(T195*AL195+T194*AL194)</f>
        <v>6.38912667096717E-011</v>
      </c>
      <c r="AO195" s="37" t="n">
        <f aca="false">0.5*(B195-B194)*(U195*AL195+U194*AL194)</f>
        <v>4.8611212835771E-011</v>
      </c>
      <c r="AP195" s="37" t="n">
        <f aca="false">0.5*(B195-B194)*(V195*AL195+V194*AL194)</f>
        <v>1.77566191979242E-010</v>
      </c>
      <c r="AQ195" s="37" t="n">
        <f aca="false">0.5*(B195-B194)*(W195*AL195+W194*AL194)</f>
        <v>7.74419826383607E-011</v>
      </c>
      <c r="AR195" s="37" t="n">
        <f aca="false">0.5*(B195-B194)*(X195*AL195+X194*AL194)</f>
        <v>4.23222261826893E-011</v>
      </c>
      <c r="AS195" s="37" t="n">
        <f aca="false">0.5*(B195-B194)*(Y195*AL195+Y194*AL194)</f>
        <v>1.17581334259878E-011</v>
      </c>
      <c r="AT195" s="37" t="n">
        <f aca="false">0.5*(B195-B194)*(Z195*AL195+Z194*AL194)</f>
        <v>3.6796967129637E-011</v>
      </c>
      <c r="AU195" s="37" t="n">
        <f aca="false">0.5*(B195-B194)*(AA195*AL195+AA194*AL194)</f>
        <v>4.7504558795279E-010</v>
      </c>
      <c r="AV195" s="37" t="n">
        <f aca="false">0.5*(B195-B194)*(S195+S194)</f>
        <v>2.22924810235994E-011</v>
      </c>
      <c r="AW195" s="37" t="n">
        <f aca="false">0.5*(B195-B194)*(T195+T194)</f>
        <v>8.55049736433854E-011</v>
      </c>
      <c r="AX195" s="37" t="n">
        <f aca="false">0.5*(B195-B194)*(U195+U194)</f>
        <v>6.50558470093128E-011</v>
      </c>
      <c r="AY195" s="37" t="n">
        <f aca="false">0.5*(B195-B194)*(V195+V194)</f>
        <v>2.37702019666438E-010</v>
      </c>
      <c r="AZ195" s="37" t="n">
        <f aca="false">0.5*(B195-B194)*(W195+W194)</f>
        <v>1.03668910002799E-010</v>
      </c>
      <c r="BA195" s="37" t="n">
        <f aca="false">0.5*(B195-B194)*(X195+X194)</f>
        <v>5.66403454099796E-011</v>
      </c>
      <c r="BB195" s="37" t="n">
        <f aca="false">0.5*(B195-B194)*(Y195+Y194)</f>
        <v>1.57402075000057E-011</v>
      </c>
      <c r="BC195" s="37" t="n">
        <f aca="false">0.5*(B195-B194)*(Z195+Z194)</f>
        <v>4.92449777983835E-011</v>
      </c>
      <c r="BD195" s="37" t="n">
        <f aca="false">0.5*(B195-B194)*(AA195+AA194)</f>
        <v>6.35849762053903E-010</v>
      </c>
      <c r="BE195" s="37" t="n">
        <f aca="false">IF(B195&gt;2000,AK195,-999)</f>
        <v>-999</v>
      </c>
      <c r="BF195" s="37" t="n">
        <f aca="false">IF(AND(B195&lt;1000,AK195&gt;=-3),B195,1000000000)</f>
        <v>726.156109540203</v>
      </c>
    </row>
    <row r="196" customFormat="false" ht="15" hidden="false" customHeight="false" outlineLevel="0" collapsed="false">
      <c r="A196" s="5" t="n">
        <v>157</v>
      </c>
      <c r="B196" s="47" t="n">
        <f aca="false">20*10^(A196/100)</f>
        <v>743.070458194345</v>
      </c>
      <c r="C196" s="37" t="n">
        <f aca="false">2*PI()*B196</f>
        <v>4668.84938512591</v>
      </c>
      <c r="D196" s="37" t="n">
        <f aca="false">SQRT(L_Rp0^2+L_Rp1^2*C196)</f>
        <v>82086119.5726622</v>
      </c>
      <c r="E196" s="5" t="str">
        <f aca="false">COMPLEX(D196,C196*L_Mp)</f>
        <v>82086119.5726622+68971600.7984428i</v>
      </c>
      <c r="F196" s="5" t="str">
        <f aca="false">IMDIV(1,E196)</f>
        <v>7.14089607617229e-09-6.0000282151594e-09i</v>
      </c>
      <c r="G196" s="5" t="str">
        <f aca="false">COMPLEX(0,C196*L_Cf)</f>
        <v>4.93692437890019e-12i</v>
      </c>
      <c r="H196" s="5" t="str">
        <f aca="false">COMPLEX(0,C196*L_Cbv)</f>
        <v>4.93692437890019e-11i</v>
      </c>
      <c r="I196" s="5" t="str">
        <f aca="false">COMPLEX(L_Rsq+L_Rh,C196*(L_Md+L_Mh)-1/(C196*L_Cd))</f>
        <v>552400610.124532-246719492061.584i</v>
      </c>
      <c r="J196" s="5" t="str">
        <f aca="false">IMDIV(1,I196)</f>
        <v>9.0749668637623e-15+4.0531657171747e-12i</v>
      </c>
      <c r="K196" s="5" t="str">
        <f aca="false">IMSUM(F196,G196,H196)</f>
        <v>7.14089607617229e-09-5.9457220469915e-09i</v>
      </c>
      <c r="L196" s="5" t="str">
        <f aca="false">IMSUM(IMPRODUCT(IMSUM(F196,G196),H196),IMPRODUCT(IMSUM(J196,L_Yv),K196))</f>
        <v>3.34418715784194e-19+3.69538473097785e-19i</v>
      </c>
      <c r="M196" s="37" t="n">
        <f aca="false">IMABS(IMDIV(IMPRODUCT(J196,F196,H196),L196))^2</f>
        <v>1.40231233385737E-023</v>
      </c>
      <c r="N196" s="5" t="str">
        <f aca="false">IMDIV(IMPRODUCT(L_Yv,K196,E196),H196)</f>
        <v>0.000180589463059858-0.0403593144309076i</v>
      </c>
      <c r="O196" s="37" t="n">
        <f aca="false">IMABS(IMSUM(1,IMPRODUCT(E196,G196),N196))^2</f>
        <v>1.00127651637269</v>
      </c>
      <c r="P196" s="37" t="n">
        <f aca="false">IMABS(N196)^2</f>
        <v>0.00162890687388704</v>
      </c>
      <c r="Q196" s="37" t="n">
        <f aca="false">p_Rb^2/(1+(C196*p_Rb*L_Ctot)^2)</f>
        <v>7562279826586703</v>
      </c>
      <c r="R196" s="37" t="n">
        <f aca="false">M196*L_Kt^2*Q196</f>
        <v>2.12831018041118E-005</v>
      </c>
      <c r="S196" s="37" t="n">
        <f aca="false">L_kT4*D196</f>
        <v>1.35159885002378E-012</v>
      </c>
      <c r="T196" s="37" t="n">
        <f aca="false">L_kT4*L_Rsq*O196</f>
        <v>5.17208521798646E-012</v>
      </c>
      <c r="U196" s="37" t="n">
        <f aca="false">L_kT4*L_Rh*O196</f>
        <v>3.93514400768995E-012</v>
      </c>
      <c r="V196" s="37" t="n">
        <f aca="false">L_kT4*p_Rv*P196</f>
        <v>1.34104807792301E-011</v>
      </c>
      <c r="W196" s="37" t="n">
        <f aca="false">L_kT4/p_Rb*Q196/R196</f>
        <v>5.85053940481396E-012</v>
      </c>
      <c r="X196" s="37" t="n">
        <f aca="false">p_en^2*(1+p_fc/B196)/R196</f>
        <v>3.41176356909299E-012</v>
      </c>
      <c r="Y196" s="37" t="n">
        <f aca="false">p_in^2*Q196/R196</f>
        <v>8.88296252138128E-013</v>
      </c>
      <c r="Z196" s="37" t="n">
        <f aca="false">p_eo^2/L_G^2/R196</f>
        <v>2.97868836422127E-012</v>
      </c>
      <c r="AA196" s="37" t="n">
        <f aca="false">SUM(S196:Z196)</f>
        <v>3.69985964451967E-011</v>
      </c>
      <c r="AB196" s="47" t="n">
        <f aca="false">10*LOG10(AA196/L_PREF^2)</f>
        <v>-10.338747420628</v>
      </c>
      <c r="AC196" s="47" t="n">
        <f aca="false">10*LOG10(S196/L_PREF^2)</f>
        <v>-24.7121217773423</v>
      </c>
      <c r="AD196" s="47" t="n">
        <f aca="false">10*LOG10(T196/L_PREF^2)</f>
        <v>-18.8839431939718</v>
      </c>
      <c r="AE196" s="47" t="n">
        <f aca="false">10*LOG10(U196/L_PREF^2)</f>
        <v>-20.0709936121465</v>
      </c>
      <c r="AF196" s="47" t="n">
        <f aca="false">10*LOG10(V196/L_PREF^2)</f>
        <v>-14.7461564330308</v>
      </c>
      <c r="AG196" s="47" t="n">
        <f aca="false">10*LOG10(W196/L_PREF^2)</f>
        <v>-18.3486408255608</v>
      </c>
      <c r="AH196" s="47" t="n">
        <f aca="false">10*LOG10(X196/L_PREF^2)</f>
        <v>-20.6908106384889</v>
      </c>
      <c r="AI196" s="47" t="n">
        <f aca="false">10*LOG10(Y196/L_PREF^2)</f>
        <v>-26.5350216157199</v>
      </c>
      <c r="AJ196" s="47" t="n">
        <f aca="false">10*LOG10(Z196/L_PREF^2)</f>
        <v>-21.2803492241257</v>
      </c>
      <c r="AK196" s="47" t="n">
        <f aca="false">10*LOG10(R196/$R$6)</f>
        <v>-0.00735982230027944</v>
      </c>
      <c r="AL196" s="37" t="n">
        <f aca="false">(12194^2*B196^4/((B196^2+20.6^2)*SQRT((B196^2+107.7^2)*(B196^2+737.9^2))*(B196^2+12194^2))*1.2589254)^2</f>
        <v>0.774597886694994</v>
      </c>
      <c r="AM196" s="37" t="n">
        <f aca="false">0.5*(B196-B195)*(S196*AL196+S195*AL195)</f>
        <v>1.74872128472034E-011</v>
      </c>
      <c r="AN196" s="37" t="n">
        <f aca="false">0.5*(B196-B195)*(T196*AL196+T195*AL195)</f>
        <v>6.69691263931895E-011</v>
      </c>
      <c r="AO196" s="37" t="n">
        <f aca="false">0.5*(B196-B195)*(U196*AL196+U195*AL195)</f>
        <v>5.09529803395209E-011</v>
      </c>
      <c r="AP196" s="37" t="n">
        <f aca="false">0.5*(B196-B195)*(V196*AL196+V195*AL195)</f>
        <v>1.77705268577824E-010</v>
      </c>
      <c r="AQ196" s="37" t="n">
        <f aca="false">0.5*(B196-B195)*(W196*AL196+W195*AL195)</f>
        <v>7.75184789683539E-011</v>
      </c>
      <c r="AR196" s="37" t="n">
        <f aca="false">0.5*(B196-B195)*(X196*AL196+X195*AL195)</f>
        <v>4.4236843796425E-011</v>
      </c>
      <c r="AS196" s="37" t="n">
        <f aca="false">0.5*(B196-B195)*(Y196*AL196+Y195*AL195)</f>
        <v>1.17697479795415E-011</v>
      </c>
      <c r="AT196" s="37" t="n">
        <f aca="false">0.5*(B196-B195)*(Z196*AL196+Z195*AL195)</f>
        <v>3.8568952269422E-011</v>
      </c>
      <c r="AU196" s="37" t="n">
        <f aca="false">0.5*(B196-B195)*(AA196*AL196+AA195*AL195)</f>
        <v>4.85208611171481E-010</v>
      </c>
      <c r="AV196" s="37" t="n">
        <f aca="false">0.5*(B196-B195)*(S196+S195)</f>
        <v>2.28447373180314E-011</v>
      </c>
      <c r="AW196" s="37" t="n">
        <f aca="false">0.5*(B196-B195)*(T196+T195)</f>
        <v>8.74871487153412E-011</v>
      </c>
      <c r="AX196" s="37" t="n">
        <f aca="false">0.5*(B196-B195)*(U196+U195)</f>
        <v>6.65639707210941E-011</v>
      </c>
      <c r="AY196" s="37" t="n">
        <f aca="false">0.5*(B196-B195)*(V196+V195)</f>
        <v>2.32214701472502E-010</v>
      </c>
      <c r="AZ196" s="37" t="n">
        <f aca="false">0.5*(B196-B195)*(W196+W195)</f>
        <v>1.01296420897913E-010</v>
      </c>
      <c r="BA196" s="37" t="n">
        <f aca="false">0.5*(B196-B195)*(X196+X195)</f>
        <v>5.77910984585691E-011</v>
      </c>
      <c r="BB196" s="37" t="n">
        <f aca="false">0.5*(B196-B195)*(Y196+Y195)</f>
        <v>1.53799888886457E-011</v>
      </c>
      <c r="BC196" s="37" t="n">
        <f aca="false">0.5*(B196-B195)*(Z196+Z195)</f>
        <v>5.03857255103561E-011</v>
      </c>
      <c r="BD196" s="37" t="n">
        <f aca="false">0.5*(B196-B195)*(AA196+AA195)</f>
        <v>6.33963791982452E-010</v>
      </c>
      <c r="BE196" s="37" t="n">
        <f aca="false">IF(B196&gt;2000,AK196,-999)</f>
        <v>-999</v>
      </c>
      <c r="BF196" s="37" t="n">
        <f aca="false">IF(AND(B196&lt;1000,AK196&gt;=-3),B196,1000000000)</f>
        <v>743.070458194345</v>
      </c>
    </row>
    <row r="197" customFormat="false" ht="15" hidden="false" customHeight="false" outlineLevel="0" collapsed="false">
      <c r="A197" s="5" t="n">
        <v>158</v>
      </c>
      <c r="B197" s="47" t="n">
        <f aca="false">20*10^(A197/100)</f>
        <v>760.378792641123</v>
      </c>
      <c r="C197" s="37" t="n">
        <f aca="false">2*PI()*B197</f>
        <v>4777.60085781365</v>
      </c>
      <c r="D197" s="37" t="n">
        <f aca="false">SQRT(L_Rp0^2+L_Rp1^2*C197)</f>
        <v>82208488.3745333</v>
      </c>
      <c r="E197" s="5" t="str">
        <f aca="false">COMPLEX(D197,C197*L_Mp)</f>
        <v>82208488.3745333+70578155.7634322i</v>
      </c>
      <c r="F197" s="5" t="str">
        <f aca="false">IMDIV(1,E197)</f>
        <v>7.00271791135633e-09-6.01201804445524e-09i</v>
      </c>
      <c r="G197" s="5" t="str">
        <f aca="false">COMPLEX(0,C197*L_Cf)</f>
        <v>5.05192012034858e-12i</v>
      </c>
      <c r="H197" s="5" t="str">
        <f aca="false">COMPLEX(0,C197*L_Cbv)</f>
        <v>5.05192012034858e-11i</v>
      </c>
      <c r="I197" s="5" t="str">
        <f aca="false">COMPLEX(L_Rsq+L_Rh,C197*(L_Md+L_Mh)-1/(C197*L_Cd))</f>
        <v>552400610.124532-241102660556.452i</v>
      </c>
      <c r="J197" s="5" t="str">
        <f aca="false">IMDIV(1,I197)</f>
        <v>9.50271849739462e-15+4.14758903275713e-12i</v>
      </c>
      <c r="K197" s="5" t="str">
        <f aca="false">IMSUM(F197,G197,H197)</f>
        <v>7.00271791135633e-09-5.95644692313141e-09i</v>
      </c>
      <c r="L197" s="5" t="str">
        <f aca="false">IMSUM(IMPRODUCT(IMSUM(F197,G197),H197),IMPRODUCT(IMSUM(J197,L_Yv),K197))</f>
        <v>3.42244004870119e-19+3.70846614859079e-19i</v>
      </c>
      <c r="M197" s="37" t="n">
        <f aca="false">IMABS(IMDIV(IMPRODUCT(J197,F197,H197),L197))^2</f>
        <v>1.46858476710684E-023</v>
      </c>
      <c r="N197" s="5" t="str">
        <f aca="false">IMDIV(IMPRODUCT(L_Yv,K197,E197),H197)</f>
        <v>0.000180858674423983-0.0394336358855386i</v>
      </c>
      <c r="O197" s="37" t="n">
        <f aca="false">IMABS(IMSUM(1,IMPRODUCT(E197,G197),N197))^2</f>
        <v>1.0011710675068</v>
      </c>
      <c r="P197" s="37" t="n">
        <f aca="false">IMABS(N197)^2</f>
        <v>0.00155504434901335</v>
      </c>
      <c r="Q197" s="37" t="n">
        <f aca="false">p_Rb^2/(1+(C197*p_Rb*L_Ctot)^2)</f>
        <v>7221921170267817</v>
      </c>
      <c r="R197" s="37" t="n">
        <f aca="false">M197*L_Kt^2*Q197</f>
        <v>2.12857613132215E-005</v>
      </c>
      <c r="S197" s="37" t="n">
        <f aca="false">L_kT4*D197</f>
        <v>1.35361372821206E-012</v>
      </c>
      <c r="T197" s="37" t="n">
        <f aca="false">L_kT4*L_Rsq*O197</f>
        <v>5.17154052277831E-012</v>
      </c>
      <c r="U197" s="37" t="n">
        <f aca="false">L_kT4*L_Rh*O197</f>
        <v>3.93472958024067E-012</v>
      </c>
      <c r="V197" s="37" t="n">
        <f aca="false">L_kT4*p_Rv*P197</f>
        <v>1.2802384646785E-011</v>
      </c>
      <c r="W197" s="37" t="n">
        <f aca="false">L_kT4/p_Rb*Q197/R197</f>
        <v>5.58652367289079E-012</v>
      </c>
      <c r="X197" s="37" t="n">
        <f aca="false">p_en^2*(1+p_fc/B197)/R197</f>
        <v>3.402126731971E-012</v>
      </c>
      <c r="Y197" s="37" t="n">
        <f aca="false">p_in^2*Q197/R197</f>
        <v>8.48210343994363E-013</v>
      </c>
      <c r="Z197" s="37" t="n">
        <f aca="false">p_eo^2/L_G^2/R197</f>
        <v>2.97831619764836E-012</v>
      </c>
      <c r="AA197" s="37" t="n">
        <f aca="false">SUM(S197:Z197)</f>
        <v>3.60774454245206E-011</v>
      </c>
      <c r="AB197" s="47" t="n">
        <f aca="false">10*LOG10(AA197/L_PREF^2)</f>
        <v>-10.4482421293788</v>
      </c>
      <c r="AC197" s="47" t="n">
        <f aca="false">10*LOG10(S197/L_PREF^2)</f>
        <v>-24.7056524104044</v>
      </c>
      <c r="AD197" s="47" t="n">
        <f aca="false">10*LOG10(T197/L_PREF^2)</f>
        <v>-18.884400592817</v>
      </c>
      <c r="AE197" s="47" t="n">
        <f aca="false">10*LOG10(U197/L_PREF^2)</f>
        <v>-20.0714510109917</v>
      </c>
      <c r="AF197" s="47" t="n">
        <f aca="false">10*LOG10(V197/L_PREF^2)</f>
        <v>-14.9476911992369</v>
      </c>
      <c r="AG197" s="47" t="n">
        <f aca="false">10*LOG10(W197/L_PREF^2)</f>
        <v>-18.5491834789941</v>
      </c>
      <c r="AH197" s="47" t="n">
        <f aca="false">10*LOG10(X197/L_PREF^2)</f>
        <v>-20.7030950392956</v>
      </c>
      <c r="AI197" s="47" t="n">
        <f aca="false">10*LOG10(Y197/L_PREF^2)</f>
        <v>-26.7355642691533</v>
      </c>
      <c r="AJ197" s="47" t="n">
        <f aca="false">10*LOG10(Z197/L_PREF^2)</f>
        <v>-21.2808918790373</v>
      </c>
      <c r="AK197" s="47" t="n">
        <f aca="false">10*LOG10(R197/$R$6)</f>
        <v>-0.00681716738875939</v>
      </c>
      <c r="AL197" s="37" t="n">
        <f aca="false">(12194^2*B197^4/((B197^2+20.6^2)*SQRT((B197^2+107.7^2)*(B197^2+737.9^2))*(B197^2+12194^2))*1.2589254)^2</f>
        <v>0.792815860841356</v>
      </c>
      <c r="AM197" s="37" t="n">
        <f aca="false">0.5*(B197-B196)*(S197*AL197+S196*AL196)</f>
        <v>1.83478041789838E-011</v>
      </c>
      <c r="AN197" s="37" t="n">
        <f aca="false">0.5*(B197-B196)*(T197*AL197+T196*AL196)</f>
        <v>7.01538437454799E-011</v>
      </c>
      <c r="AO197" s="37" t="n">
        <f aca="false">0.5*(B197-B196)*(U197*AL197+U196*AL196)</f>
        <v>5.33760497354908E-011</v>
      </c>
      <c r="AP197" s="37" t="n">
        <f aca="false">0.5*(B197-B196)*(V197*AL197+V196*AL196)</f>
        <v>1.77736375827383E-010</v>
      </c>
      <c r="AQ197" s="37" t="n">
        <f aca="false">0.5*(B197-B196)*(W197*AL197+W196*AL196)</f>
        <v>7.75491273648182E-011</v>
      </c>
      <c r="AR197" s="37" t="n">
        <f aca="false">0.5*(B197-B196)*(X197*AL197+X196*AL196)</f>
        <v>4.62132952417639E-011</v>
      </c>
      <c r="AS197" s="37" t="n">
        <f aca="false">0.5*(B197-B196)*(Y197*AL197+Y196*AL196)</f>
        <v>1.17744013719605E-011</v>
      </c>
      <c r="AT197" s="37" t="n">
        <f aca="false">0.5*(B197-B196)*(Z197*AL197+Z196*AL196)</f>
        <v>4.04023434356023E-011</v>
      </c>
      <c r="AU197" s="37" t="n">
        <f aca="false">0.5*(B197-B196)*(AA197*AL197+AA196*AL196)</f>
        <v>4.95553240901482E-010</v>
      </c>
      <c r="AV197" s="37" t="n">
        <f aca="false">0.5*(B197-B196)*(S197+S196)</f>
        <v>2.34113620268673E-011</v>
      </c>
      <c r="AW197" s="37" t="n">
        <f aca="false">0.5*(B197-B196)*(T197+T196)</f>
        <v>8.95154668567255E-011</v>
      </c>
      <c r="AX197" s="37" t="n">
        <f aca="false">0.5*(B197-B196)*(U197+U196)</f>
        <v>6.81072020568811E-011</v>
      </c>
      <c r="AY197" s="37" t="n">
        <f aca="false">0.5*(B197-B196)*(V197+V196)</f>
        <v>2.26850520800918E-010</v>
      </c>
      <c r="AZ197" s="37" t="n">
        <f aca="false">0.5*(B197-B196)*(W197+W196)</f>
        <v>9.89782564189009E-011</v>
      </c>
      <c r="BA197" s="37" t="n">
        <f aca="false">0.5*(B197-B196)*(X197+X196)</f>
        <v>5.89685461072338E-011</v>
      </c>
      <c r="BB197" s="37" t="n">
        <f aca="false">0.5*(B197-B196)*(Y197+Y196)</f>
        <v>1.5028018467448E-011</v>
      </c>
      <c r="BC197" s="37" t="n">
        <f aca="false">0.5*(B197-B196)*(Z197+Z196)</f>
        <v>5.15529136289087E-011</v>
      </c>
      <c r="BD197" s="37" t="n">
        <f aca="false">0.5*(B197-B196)*(AA197+AA196)</f>
        <v>6.32412286363883E-010</v>
      </c>
      <c r="BE197" s="37" t="n">
        <f aca="false">IF(B197&gt;2000,AK197,-999)</f>
        <v>-999</v>
      </c>
      <c r="BF197" s="37" t="n">
        <f aca="false">IF(AND(B197&lt;1000,AK197&gt;=-3),B197,1000000000)</f>
        <v>760.378792641123</v>
      </c>
    </row>
    <row r="198" customFormat="false" ht="15" hidden="false" customHeight="false" outlineLevel="0" collapsed="false">
      <c r="A198" s="5" t="n">
        <v>159</v>
      </c>
      <c r="B198" s="47" t="n">
        <f aca="false">20*10^(A198/100)</f>
        <v>778.090289988561</v>
      </c>
      <c r="C198" s="37" t="n">
        <f aca="false">2*PI()*B198</f>
        <v>4888.88547771523</v>
      </c>
      <c r="D198" s="37" t="n">
        <f aca="false">SQRT(L_Rp0^2+L_Rp1^2*C198)</f>
        <v>82333519.2368034</v>
      </c>
      <c r="E198" s="5" t="str">
        <f aca="false">COMPLEX(D198,C198*L_Mp)</f>
        <v>82333519.2368034+72222132.2008197i</v>
      </c>
      <c r="F198" s="5" t="str">
        <f aca="false">IMDIV(1,E198)</f>
        <v>6.86407542728825e-09-6.02109769558366e-09i</v>
      </c>
      <c r="G198" s="5" t="str">
        <f aca="false">COMPLEX(0,C198*L_Cf)</f>
        <v>5.16959445671485e-12i</v>
      </c>
      <c r="H198" s="5" t="str">
        <f aca="false">COMPLEX(0,C198*L_Cbv)</f>
        <v>5.16959445671485e-11i</v>
      </c>
      <c r="I198" s="5" t="str">
        <f aca="false">COMPLEX(L_Rsq+L_Rh,C198*(L_Md+L_Mh)-1/(C198*L_Cd))</f>
        <v>552400610.124532-235613664873.318i</v>
      </c>
      <c r="J198" s="5" t="str">
        <f aca="false">IMDIV(1,I198)</f>
        <v>9.95063539025618e-15+4.24421267671637e-12i</v>
      </c>
      <c r="K198" s="5" t="str">
        <f aca="false">IMSUM(F198,G198,H198)</f>
        <v>6.86407542728825e-09-5.9642321565598e-09i</v>
      </c>
      <c r="L198" s="5" t="str">
        <f aca="false">IMSUM(IMPRODUCT(IMSUM(F198,G198),H198),IMPRODUCT(IMSUM(J198,L_Yv),K198))</f>
        <v>3.50109008128005e-19+3.71989646523562e-19i</v>
      </c>
      <c r="M198" s="37" t="n">
        <f aca="false">IMABS(IMDIV(IMPRODUCT(J198,F198,H198),L198))^2</f>
        <v>1.53798935250794E-023</v>
      </c>
      <c r="N198" s="5" t="str">
        <f aca="false">IMDIV(IMPRODUCT(L_Yv,K198,E198),H198)</f>
        <v>0.000181133742320961-0.0385288655758818i</v>
      </c>
      <c r="O198" s="37" t="n">
        <f aca="false">IMABS(IMSUM(1,IMPRODUCT(E198,G198),N198))^2</f>
        <v>1.0010674426591</v>
      </c>
      <c r="P198" s="37" t="n">
        <f aca="false">IMABS(N198)^2</f>
        <v>0.00148450629199698</v>
      </c>
      <c r="Q198" s="37" t="n">
        <f aca="false">p_Rb^2/(1+(C198*p_Rb*L_Ctot)^2)</f>
        <v>6896881176678776</v>
      </c>
      <c r="R198" s="37" t="n">
        <f aca="false">M198*L_Kt^2*Q198</f>
        <v>2.12884233277009E-005</v>
      </c>
      <c r="S198" s="37" t="n">
        <f aca="false">L_kT4*D198</f>
        <v>1.35567243887522E-012</v>
      </c>
      <c r="T198" s="37" t="n">
        <f aca="false">L_kT4*L_Rsq*O198</f>
        <v>5.17100524952037E-012</v>
      </c>
      <c r="U198" s="37" t="n">
        <f aca="false">L_kT4*L_Rh*O198</f>
        <v>3.93432232141474E-012</v>
      </c>
      <c r="V198" s="37" t="n">
        <f aca="false">L_kT4*p_Rv*P198</f>
        <v>1.22216582265171E-011</v>
      </c>
      <c r="W198" s="37" t="n">
        <f aca="false">L_kT4/p_Rb*Q198/R198</f>
        <v>5.33442156391442E-012</v>
      </c>
      <c r="X198" s="37" t="n">
        <f aca="false">p_en^2*(1+p_fc/B198)/R198</f>
        <v>3.39270153515218E-012</v>
      </c>
      <c r="Y198" s="37" t="n">
        <f aca="false">p_in^2*Q198/R198</f>
        <v>8.09933299252887E-013</v>
      </c>
      <c r="Z198" s="37" t="n">
        <f aca="false">p_eo^2/L_G^2/R198</f>
        <v>2.97794377359796E-012</v>
      </c>
      <c r="AA198" s="37" t="n">
        <f aca="false">SUM(S198:Z198)</f>
        <v>3.51976584082448E-011</v>
      </c>
      <c r="AB198" s="47" t="n">
        <f aca="false">10*LOG10(AA198/L_PREF^2)</f>
        <v>-10.5554621916246</v>
      </c>
      <c r="AC198" s="47" t="n">
        <f aca="false">10*LOG10(S198/L_PREF^2)</f>
        <v>-24.6990522449158</v>
      </c>
      <c r="AD198" s="47" t="n">
        <f aca="false">10*LOG10(T198/L_PREF^2)</f>
        <v>-18.8848501266698</v>
      </c>
      <c r="AE198" s="47" t="n">
        <f aca="false">10*LOG10(U198/L_PREF^2)</f>
        <v>-20.0719005448445</v>
      </c>
      <c r="AF198" s="47" t="n">
        <f aca="false">10*LOG10(V198/L_PREF^2)</f>
        <v>-15.1492985663513</v>
      </c>
      <c r="AG198" s="47" t="n">
        <f aca="false">10*LOG10(W198/L_PREF^2)</f>
        <v>-18.7497265758052</v>
      </c>
      <c r="AH198" s="47" t="n">
        <f aca="false">10*LOG10(X198/L_PREF^2)</f>
        <v>-20.7151433602645</v>
      </c>
      <c r="AI198" s="47" t="n">
        <f aca="false">10*LOG10(Y198/L_PREF^2)</f>
        <v>-26.9361073659644</v>
      </c>
      <c r="AJ198" s="47" t="n">
        <f aca="false">10*LOG10(Z198/L_PREF^2)</f>
        <v>-21.28143497726</v>
      </c>
      <c r="AK198" s="47" t="n">
        <f aca="false">10*LOG10(R198/$R$6)</f>
        <v>-0.00627406916602016</v>
      </c>
      <c r="AL198" s="37" t="n">
        <f aca="false">(12194^2*B198^4/((B198^2+20.6^2)*SQRT((B198^2+107.7^2)*(B198^2+737.9^2))*(B198^2+12194^2))*1.2589254)^2</f>
        <v>0.810983655445992</v>
      </c>
      <c r="AM198" s="37" t="n">
        <f aca="false">0.5*(B198-B197)*(S198*AL198+S197*AL197)</f>
        <v>1.92399519533367E-011</v>
      </c>
      <c r="AN198" s="37" t="n">
        <f aca="false">0.5*(B198-B197)*(T198*AL198+T197*AL197)</f>
        <v>7.34467464663825E-011</v>
      </c>
      <c r="AO198" s="37" t="n">
        <f aca="false">0.5*(B198-B197)*(U198*AL198+U197*AL197)</f>
        <v>5.58814311945981E-011</v>
      </c>
      <c r="AP198" s="37" t="n">
        <f aca="false">0.5*(B198-B197)*(V198*AL198+V197*AL197)</f>
        <v>1.77659590228301E-010</v>
      </c>
      <c r="AQ198" s="37" t="n">
        <f aca="false">0.5*(B198-B197)*(W198*AL198+W197*AL197)</f>
        <v>7.75339683431359E-011</v>
      </c>
      <c r="AR198" s="37" t="n">
        <f aca="false">0.5*(B198-B197)*(X198*AL198+X197*AL197)</f>
        <v>4.82521896249401E-011</v>
      </c>
      <c r="AS198" s="37" t="n">
        <f aca="false">0.5*(B198-B197)*(Y198*AL198+Y197*AL197)</f>
        <v>1.17720997547565E-011</v>
      </c>
      <c r="AT198" s="37" t="n">
        <f aca="false">0.5*(B198-B197)*(Z198*AL198+Z197*AL197)</f>
        <v>4.22978899243265E-011</v>
      </c>
      <c r="AU198" s="37" t="n">
        <f aca="false">0.5*(B198-B197)*(AA198*AL198+AA197*AL197)</f>
        <v>5.06083867489778E-010</v>
      </c>
      <c r="AV198" s="37" t="n">
        <f aca="false">0.5*(B198-B197)*(S198+S197)</f>
        <v>2.39927573809097E-011</v>
      </c>
      <c r="AW198" s="37" t="n">
        <f aca="false">0.5*(B198-B197)*(T198+T197)</f>
        <v>9.15909860059169E-011</v>
      </c>
      <c r="AX198" s="37" t="n">
        <f aca="false">0.5*(B198-B197)*(U198+U197)</f>
        <v>6.96863459415145E-011</v>
      </c>
      <c r="AY198" s="37" t="n">
        <f aca="false">0.5*(B198-B197)*(V198+V197)</f>
        <v>2.21606634486344E-010</v>
      </c>
      <c r="AZ198" s="37" t="n">
        <f aca="false">0.5*(B198-B197)*(W198+W197)</f>
        <v>9.67131462966007E-011</v>
      </c>
      <c r="BA198" s="37" t="n">
        <f aca="false">0.5*(B198-B197)*(X198+X197)</f>
        <v>6.01732914147276E-011</v>
      </c>
      <c r="BB198" s="37" t="n">
        <f aca="false">0.5*(B198-B197)*(Y198+Y197)</f>
        <v>1.46841033695232E-011</v>
      </c>
      <c r="BC198" s="37" t="n">
        <f aca="false">0.5*(B198-B197)*(Z198+Z197)</f>
        <v>5.27471413406929E-011</v>
      </c>
      <c r="BD198" s="37" t="n">
        <f aca="false">0.5*(B198-B197)*(AA198+AA197)</f>
        <v>6.31194406236229E-010</v>
      </c>
      <c r="BE198" s="37" t="n">
        <f aca="false">IF(B198&gt;2000,AK198,-999)</f>
        <v>-999</v>
      </c>
      <c r="BF198" s="37" t="n">
        <f aca="false">IF(AND(B198&lt;1000,AK198&gt;=-3),B198,1000000000)</f>
        <v>778.090289988561</v>
      </c>
    </row>
    <row r="199" customFormat="false" ht="15" hidden="false" customHeight="false" outlineLevel="0" collapsed="false">
      <c r="A199" s="5" t="n">
        <v>160</v>
      </c>
      <c r="B199" s="47" t="n">
        <f aca="false">20*10^(A199/100)</f>
        <v>796.214341106995</v>
      </c>
      <c r="C199" s="37" t="n">
        <f aca="false">2*PI()*B199</f>
        <v>5002.76224940914</v>
      </c>
      <c r="D199" s="37" t="n">
        <f aca="false">SQRT(L_Rp0^2+L_Rp1^2*C199)</f>
        <v>82461266.1906036</v>
      </c>
      <c r="E199" s="5" t="str">
        <f aca="false">COMPLEX(D199,C199*L_Mp)</f>
        <v>82461266.1906036+73904401.768673i</v>
      </c>
      <c r="F199" s="5" t="str">
        <f aca="false">IMDIV(1,E199)</f>
        <v>6.72509723871548e-09-6.0272454113742e-09i</v>
      </c>
      <c r="G199" s="5" t="str">
        <f aca="false">COMPLEX(0,C199*L_Cf)</f>
        <v>5.29000978048974e-12i</v>
      </c>
      <c r="H199" s="5" t="str">
        <f aca="false">COMPLEX(0,C199*L_Cbv)</f>
        <v>5.29000978048974e-11i</v>
      </c>
      <c r="I199" s="5" t="str">
        <f aca="false">COMPLEX(L_Rsq+L_Rh,C199*(L_Md+L_Mh)-1/(C199*L_Cd))</f>
        <v>552400610.124532-230249594674.016i</v>
      </c>
      <c r="J199" s="5" t="str">
        <f aca="false">IMDIV(1,I199)</f>
        <v>1.04196684754737e-14+4.34308796757951e-12i</v>
      </c>
      <c r="K199" s="5" t="str">
        <f aca="false">IMSUM(F199,G199,H199)</f>
        <v>6.72509723871548e-09-5.96905530378881e-09i</v>
      </c>
      <c r="L199" s="5" t="str">
        <f aca="false">IMSUM(IMPRODUCT(IMSUM(F199,G199),H199),IMPRODUCT(IMSUM(J199,L_Yv),K199))</f>
        <v>3.58006429749863e-19+3.72965684388806e-19i</v>
      </c>
      <c r="M199" s="37" t="n">
        <f aca="false">IMABS(IMDIV(IMPRODUCT(J199,F199,H199),L199))^2</f>
        <v>1.6106745564859E-023</v>
      </c>
      <c r="N199" s="5" t="str">
        <f aca="false">IMDIV(IMPRODUCT(L_Yv,K199,E199),H199)</f>
        <v>0.000181414785619349-0.0376445237807432i</v>
      </c>
      <c r="O199" s="37" t="n">
        <f aca="false">IMABS(IMSUM(1,IMPRODUCT(E199,G199),N199))^2</f>
        <v>1.00096542126491</v>
      </c>
      <c r="P199" s="37" t="n">
        <f aca="false">IMABS(N199)^2</f>
        <v>0.00141714308200338</v>
      </c>
      <c r="Q199" s="37" t="n">
        <f aca="false">p_Rb^2/(1+(C199*p_Rb*L_Ctot)^2)</f>
        <v>6586470392443543</v>
      </c>
      <c r="R199" s="37" t="n">
        <f aca="false">M199*L_Kt^2*Q199</f>
        <v>2.12910935056051E-005</v>
      </c>
      <c r="S199" s="37" t="n">
        <f aca="false">L_kT4*D199</f>
        <v>1.35777587166933E-012</v>
      </c>
      <c r="T199" s="37" t="n">
        <f aca="false">L_kT4*L_Rsq*O199</f>
        <v>5.17047825888773E-012</v>
      </c>
      <c r="U199" s="37" t="n">
        <f aca="false">L_kT4*L_Rh*O199</f>
        <v>3.93392136436497E-012</v>
      </c>
      <c r="V199" s="37" t="n">
        <f aca="false">L_kT4*p_Rv*P199</f>
        <v>1.16670697185254E-011</v>
      </c>
      <c r="W199" s="37" t="n">
        <f aca="false">L_kT4/p_Rb*Q199/R199</f>
        <v>5.0936941507221E-012</v>
      </c>
      <c r="X199" s="37" t="n">
        <f aca="false">p_en^2*(1+p_fc/B199)/R199</f>
        <v>3.38348223222381E-012</v>
      </c>
      <c r="Y199" s="37" t="n">
        <f aca="false">p_in^2*Q199/R199</f>
        <v>7.7338329178696E-013</v>
      </c>
      <c r="Z199" s="37" t="n">
        <f aca="false">p_eo^2/L_G^2/R199</f>
        <v>2.97757030101601E-012</v>
      </c>
      <c r="AA199" s="37" t="n">
        <f aca="false">SUM(S199:Z199)</f>
        <v>3.43573751891963E-011</v>
      </c>
      <c r="AB199" s="47" t="n">
        <f aca="false">10*LOG10(AA199/L_PREF^2)</f>
        <v>-10.6604001382857</v>
      </c>
      <c r="AC199" s="47" t="n">
        <f aca="false">10*LOG10(S199/L_PREF^2)</f>
        <v>-24.6923190454297</v>
      </c>
      <c r="AD199" s="47" t="n">
        <f aca="false">10*LOG10(T199/L_PREF^2)</f>
        <v>-18.8852927500589</v>
      </c>
      <c r="AE199" s="47" t="n">
        <f aca="false">10*LOG10(U199/L_PREF^2)</f>
        <v>-20.0723431682337</v>
      </c>
      <c r="AF199" s="47" t="n">
        <f aca="false">10*LOG10(V199/L_PREF^2)</f>
        <v>-15.3509819825381</v>
      </c>
      <c r="AG199" s="47" t="n">
        <f aca="false">10*LOG10(W199/L_PREF^2)</f>
        <v>-18.9502712699433</v>
      </c>
      <c r="AH199" s="47" t="n">
        <f aca="false">10*LOG10(X199/L_PREF^2)</f>
        <v>-20.7269609112541</v>
      </c>
      <c r="AI199" s="47" t="n">
        <f aca="false">10*LOG10(Y199/L_PREF^2)</f>
        <v>-27.1366520601024</v>
      </c>
      <c r="AJ199" s="47" t="n">
        <f aca="false">10*LOG10(Z199/L_PREF^2)</f>
        <v>-21.2819796727461</v>
      </c>
      <c r="AK199" s="47" t="n">
        <f aca="false">10*LOG10(R199/$R$6)</f>
        <v>-0.00572937367990406</v>
      </c>
      <c r="AL199" s="37" t="n">
        <f aca="false">(12194^2*B199^4/((B199^2+20.6^2)*SQRT((B199^2+107.7^2)*(B199^2+737.9^2))*(B199^2+12194^2))*1.2589254)^2</f>
        <v>0.829080230180424</v>
      </c>
      <c r="AM199" s="37" t="n">
        <f aca="false">0.5*(B199-B198)*(S199*AL199+S198*AL198)</f>
        <v>2.01642150391972E-011</v>
      </c>
      <c r="AN199" s="37" t="n">
        <f aca="false">0.5*(B199-B198)*(T199*AL199+T198*AL198)</f>
        <v>7.68490763591368E-011</v>
      </c>
      <c r="AO199" s="37" t="n">
        <f aca="false">0.5*(B199-B198)*(U199*AL199+U198*AL198)</f>
        <v>5.84700695339463E-011</v>
      </c>
      <c r="AP199" s="37" t="n">
        <f aca="false">0.5*(B199-B198)*(V199*AL199+V198*AL198)</f>
        <v>1.77475256890332E-010</v>
      </c>
      <c r="AQ199" s="37" t="n">
        <f aca="false">0.5*(B199-B198)*(W199*AL199+W198*AL198)</f>
        <v>7.74731578867388E-011</v>
      </c>
      <c r="AR199" s="37" t="n">
        <f aca="false">0.5*(B199-B198)*(X199*AL199+X198*AL198)</f>
        <v>5.03540849395887E-011</v>
      </c>
      <c r="AS199" s="37" t="n">
        <f aca="false">0.5*(B199-B198)*(Y199*AL199+Y198*AL198)</f>
        <v>1.17628668111302E-011</v>
      </c>
      <c r="AT199" s="37" t="n">
        <f aca="false">0.5*(B199-B198)*(Z199*AL199+Z198*AL198)</f>
        <v>4.42562903243513E-011</v>
      </c>
      <c r="AU199" s="37" t="n">
        <f aca="false">0.5*(B199-B198)*(AA199*AL199+AA198*AL198)</f>
        <v>5.16805017784422E-010</v>
      </c>
      <c r="AV199" s="37" t="n">
        <f aca="false">0.5*(B199-B198)*(S199+S198)</f>
        <v>2.4589337943768E-011</v>
      </c>
      <c r="AW199" s="37" t="n">
        <f aca="false">0.5*(B199-B198)*(T199+T198)</f>
        <v>9.37147878734115E-011</v>
      </c>
      <c r="AX199" s="37" t="n">
        <f aca="false">0.5*(B199-B198)*(U199+U198)</f>
        <v>7.13022253866807E-011</v>
      </c>
      <c r="AY199" s="37" t="n">
        <f aca="false">0.5*(B199-B198)*(V199+V198)</f>
        <v>2.16480263215147E-010</v>
      </c>
      <c r="AZ199" s="37" t="n">
        <f aca="false">0.5*(B199-B198)*(W199+W198)</f>
        <v>9.44998511405048E-011</v>
      </c>
      <c r="BA199" s="37" t="n">
        <f aca="false">0.5*(B199-B198)*(X199+X198)</f>
        <v>6.14059504939101E-011</v>
      </c>
      <c r="BB199" s="37" t="n">
        <f aca="false">0.5*(B199-B198)*(Y199+Y198)</f>
        <v>1.43480554163349E-011</v>
      </c>
      <c r="BC199" s="37" t="n">
        <f aca="false">0.5*(B199-B198)*(Z199+Z198)</f>
        <v>5.39690207624262E-011</v>
      </c>
      <c r="BD199" s="37" t="n">
        <f aca="false">0.5*(B199-B198)*(AA199+AA198)</f>
        <v>6.30309492232183E-010</v>
      </c>
      <c r="BE199" s="37" t="n">
        <f aca="false">IF(B199&gt;2000,AK199,-999)</f>
        <v>-999</v>
      </c>
      <c r="BF199" s="37" t="n">
        <f aca="false">IF(AND(B199&lt;1000,AK199&gt;=-3),B199,1000000000)</f>
        <v>796.214341106995</v>
      </c>
    </row>
    <row r="200" customFormat="false" ht="15" hidden="false" customHeight="false" outlineLevel="0" collapsed="false">
      <c r="A200" s="5" t="n">
        <v>161</v>
      </c>
      <c r="B200" s="47" t="n">
        <f aca="false">20*10^(A200/100)</f>
        <v>814.760555608226</v>
      </c>
      <c r="C200" s="37" t="n">
        <f aca="false">2*PI()*B200</f>
        <v>5119.29155186708</v>
      </c>
      <c r="D200" s="37" t="n">
        <f aca="false">SQRT(L_Rp0^2+L_Rp1^2*C200)</f>
        <v>82591784.2065011</v>
      </c>
      <c r="E200" s="5" t="str">
        <f aca="false">COMPLEX(D200,C200*L_Mp)</f>
        <v>82591784.2065011+75625856.4285844i</v>
      </c>
      <c r="F200" s="5" t="str">
        <f aca="false">IMDIV(1,E200)</f>
        <v>6.58591323966442e-09-6.03044641666393e-09i</v>
      </c>
      <c r="G200" s="5" t="str">
        <f aca="false">COMPLEX(0,C200*L_Cf)</f>
        <v>5.4132299374718e-12i</v>
      </c>
      <c r="H200" s="5" t="str">
        <f aca="false">COMPLEX(0,C200*L_Cbv)</f>
        <v>5.4132299374718e-11i</v>
      </c>
      <c r="I200" s="5" t="str">
        <f aca="false">COMPLEX(L_Rsq+L_Rh,C200*(L_Md+L_Mh)-1/(C200*L_Cd))</f>
        <v>552400610.124532-225007605857.523i</v>
      </c>
      <c r="J200" s="5" t="str">
        <f aca="false">IMDIV(1,I200)</f>
        <v>1.09108135576391e-14+4.44426742397828e-12i</v>
      </c>
      <c r="K200" s="5" t="str">
        <f aca="false">IMSUM(F200,G200,H200)</f>
        <v>6.58591323966442e-09-5.97090088735174e-09i</v>
      </c>
      <c r="L200" s="5" t="str">
        <f aca="false">IMSUM(IMPRODUCT(IMSUM(F200,G200),H200),IMPRODUCT(IMSUM(J200,L_Yv),K200))</f>
        <v>3.65928864662742e-19+3.73773237652564e-19i</v>
      </c>
      <c r="M200" s="37" t="n">
        <f aca="false">IMABS(IMDIV(IMPRODUCT(J200,F200,H200),L200))^2</f>
        <v>1.68679592508603E-023</v>
      </c>
      <c r="N200" s="5" t="str">
        <f aca="false">IMDIV(IMPRODUCT(L_Yv,K200,E200),H200)</f>
        <v>0.000181701925254286-0.0367801416103973i</v>
      </c>
      <c r="O200" s="37" t="n">
        <f aca="false">IMABS(IMSUM(1,IMPRODUCT(E200,G200),N200))^2</f>
        <v>1.00086478614924</v>
      </c>
      <c r="P200" s="37" t="n">
        <f aca="false">IMABS(N200)^2</f>
        <v>0.00135281183247052</v>
      </c>
      <c r="Q200" s="37" t="n">
        <f aca="false">p_Rb^2/(1+(C200*p_Rb*L_Ctot)^2)</f>
        <v>6290030394697899</v>
      </c>
      <c r="R200" s="37" t="n">
        <f aca="false">M200*L_Kt^2*Q200</f>
        <v>2.12937775262239E-005</v>
      </c>
      <c r="S200" s="37" t="n">
        <f aca="false">L_kT4*D200</f>
        <v>1.35992493171886E-012</v>
      </c>
      <c r="T200" s="37" t="n">
        <f aca="false">L_kT4*L_Rsq*O200</f>
        <v>5.16995842906483E-012</v>
      </c>
      <c r="U200" s="37" t="n">
        <f aca="false">L_kT4*L_Rh*O200</f>
        <v>3.93352585556603E-012</v>
      </c>
      <c r="V200" s="37" t="n">
        <f aca="false">L_kT4*p_Rv*P200</f>
        <v>1.11374427648951E-011</v>
      </c>
      <c r="W200" s="37" t="n">
        <f aca="false">L_kT4/p_Rb*Q200/R200</f>
        <v>4.86382700187677E-012</v>
      </c>
      <c r="X200" s="37" t="n">
        <f aca="false">p_en^2*(1+p_fc/B200)/R200</f>
        <v>3.37446319431582E-012</v>
      </c>
      <c r="Y200" s="37" t="n">
        <f aca="false">p_in^2*Q200/R200</f>
        <v>7.38482214692947E-013</v>
      </c>
      <c r="Z200" s="37" t="n">
        <f aca="false">p_eo^2/L_G^2/R200</f>
        <v>2.9771949866749E-012</v>
      </c>
      <c r="AA200" s="37" t="n">
        <f aca="false">SUM(S200:Z200)</f>
        <v>3.35548193788052E-011</v>
      </c>
      <c r="AB200" s="47" t="n">
        <f aca="false">10*LOG10(AA200/L_PREF^2)</f>
        <v>-10.7630508591963</v>
      </c>
      <c r="AC200" s="47" t="n">
        <f aca="false">10*LOG10(S200/L_PREF^2)</f>
        <v>-24.685450554872</v>
      </c>
      <c r="AD200" s="47" t="n">
        <f aca="false">10*LOG10(T200/L_PREF^2)</f>
        <v>-18.8857294032306</v>
      </c>
      <c r="AE200" s="47" t="n">
        <f aca="false">10*LOG10(U200/L_PREF^2)</f>
        <v>-20.0727798214053</v>
      </c>
      <c r="AF200" s="47" t="n">
        <f aca="false">10*LOG10(V200/L_PREF^2)</f>
        <v>-15.5527450610832</v>
      </c>
      <c r="AG200" s="47" t="n">
        <f aca="false">10*LOG10(W200/L_PREF^2)</f>
        <v>-19.1508187191083</v>
      </c>
      <c r="AH200" s="47" t="n">
        <f aca="false">10*LOG10(X200/L_PREF^2)</f>
        <v>-20.7385529572793</v>
      </c>
      <c r="AI200" s="47" t="n">
        <f aca="false">10*LOG10(Y200/L_PREF^2)</f>
        <v>-27.3371995092674</v>
      </c>
      <c r="AJ200" s="47" t="n">
        <f aca="false">10*LOG10(Z200/L_PREF^2)</f>
        <v>-21.2825271231985</v>
      </c>
      <c r="AK200" s="47" t="n">
        <f aca="false">10*LOG10(R200/$R$6)</f>
        <v>-0.0051819232274917</v>
      </c>
      <c r="AL200" s="37" t="n">
        <f aca="false">(12194^2*B200^4/((B200^2+20.6^2)*SQRT((B200^2+107.7^2)*(B200^2+737.9^2))*(B200^2+12194^2))*1.2589254)^2</f>
        <v>0.847084687211283</v>
      </c>
      <c r="AM200" s="37" t="n">
        <f aca="false">0.5*(B200-B199)*(S200*AL200+S199*AL199)</f>
        <v>2.112114048484E-011</v>
      </c>
      <c r="AN200" s="37" t="n">
        <f aca="false">0.5*(B200-B199)*(T200*AL200+T199*AL199)</f>
        <v>8.03619893236058E-011</v>
      </c>
      <c r="AO200" s="37" t="n">
        <f aca="false">0.5*(B200-B199)*(U200*AL200+U199*AL199)</f>
        <v>6.11428442116707E-011</v>
      </c>
      <c r="AP200" s="37" t="n">
        <f aca="false">0.5*(B200-B199)*(V200*AL200+V199*AL199)</f>
        <v>1.77183987167184E-010</v>
      </c>
      <c r="AQ200" s="37" t="n">
        <f aca="false">0.5*(B200-B199)*(W200*AL200+W199*AL199)</f>
        <v>7.73669664265308E-011</v>
      </c>
      <c r="AR200" s="37" t="n">
        <f aca="false">0.5*(B200-B199)*(X200*AL200+X199*AL199)</f>
        <v>5.25194885459368E-011</v>
      </c>
      <c r="AS200" s="37" t="n">
        <f aca="false">0.5*(B200-B199)*(Y200*AL200+Y199*AL199)</f>
        <v>1.17467436010149E-011</v>
      </c>
      <c r="AT200" s="37" t="n">
        <f aca="false">0.5*(B200-B199)*(Z200*AL200+Z199*AL199)</f>
        <v>4.62781924348777E-011</v>
      </c>
      <c r="AU200" s="37" t="n">
        <f aca="false">0.5*(B200-B199)*(AA200*AL200+AA199*AL199)</f>
        <v>5.2772135219566E-010</v>
      </c>
      <c r="AV200" s="37" t="n">
        <f aca="false">0.5*(B200-B199)*(S200+S199)</f>
        <v>2.52015310249025E-011</v>
      </c>
      <c r="AW200" s="37" t="n">
        <f aca="false">0.5*(B200-B199)*(T200+T199)</f>
        <v>9.58879784255829E-011</v>
      </c>
      <c r="AX200" s="37" t="n">
        <f aca="false">0.5*(B200-B199)*(U200+U199)</f>
        <v>7.29556818589766E-011</v>
      </c>
      <c r="AY200" s="37" t="n">
        <f aca="false">0.5*(B200-B199)*(V200+V199)</f>
        <v>2.11468690056757E-010</v>
      </c>
      <c r="AZ200" s="37" t="n">
        <f aca="false">0.5*(B200-B199)*(W200+W199)</f>
        <v>9.23371615983213E-011</v>
      </c>
      <c r="BA200" s="37" t="n">
        <f aca="false">0.5*(B200-B199)*(X200+X199)</f>
        <v>6.26671527341082E-011</v>
      </c>
      <c r="BB200" s="37" t="n">
        <f aca="false">0.5*(B200-B199)*(Y200+Y199)</f>
        <v>1.40196909900942E-011</v>
      </c>
      <c r="BC200" s="37" t="n">
        <f aca="false">0.5*(B200-B199)*(Z200+Z199)</f>
        <v>5.52191771649997E-011</v>
      </c>
      <c r="BD200" s="37" t="n">
        <f aca="false">0.5*(B200-B199)*(AA200+AA199)</f>
        <v>6.29757063853743E-010</v>
      </c>
      <c r="BE200" s="37" t="n">
        <f aca="false">IF(B200&gt;2000,AK200,-999)</f>
        <v>-999</v>
      </c>
      <c r="BF200" s="37" t="n">
        <f aca="false">IF(AND(B200&lt;1000,AK200&gt;=-3),B200,1000000000)</f>
        <v>814.760555608226</v>
      </c>
    </row>
    <row r="201" customFormat="false" ht="15" hidden="false" customHeight="false" outlineLevel="0" collapsed="false">
      <c r="A201" s="5" t="n">
        <v>162</v>
      </c>
      <c r="B201" s="47" t="n">
        <f aca="false">20*10^(A201/100)</f>
        <v>833.738766940671</v>
      </c>
      <c r="C201" s="37" t="n">
        <f aca="false">2*PI()*B201</f>
        <v>5238.53517046765</v>
      </c>
      <c r="D201" s="37" t="n">
        <f aca="false">SQRT(L_Rp0^2+L_Rp1^2*C201)</f>
        <v>82725129.2047823</v>
      </c>
      <c r="E201" s="5" t="str">
        <f aca="false">COMPLEX(D201,C201*L_Mp)</f>
        <v>82725129.2047823+77387408.9186009i</v>
      </c>
      <c r="F201" s="5" t="str">
        <f aca="false">IMDIV(1,E201)</f>
        <v>6.44665411270592e-09-6.03069300432005e-09i</v>
      </c>
      <c r="G201" s="5" t="str">
        <f aca="false">COMPLEX(0,C201*L_Cf)</f>
        <v>5.53932026061928e-12i</v>
      </c>
      <c r="H201" s="5" t="str">
        <f aca="false">COMPLEX(0,C201*L_Cbv)</f>
        <v>5.53932026061928e-11i</v>
      </c>
      <c r="I201" s="5" t="str">
        <f aca="false">COMPLEX(L_Rsq+L_Rh,C201*(L_Md+L_Mh)-1/(C201*L_Cd))</f>
        <v>552400610.124532-219884919051.984i</v>
      </c>
      <c r="J201" s="5" t="str">
        <f aca="false">IMDIV(1,I201)</f>
        <v>1.14251134328805e-14+4.54780479294242e-12i</v>
      </c>
      <c r="K201" s="5" t="str">
        <f aca="false">IMSUM(F201,G201,H201)</f>
        <v>6.44665411270592e-09-5.96976048145324e-09i</v>
      </c>
      <c r="L201" s="5" t="str">
        <f aca="false">IMSUM(IMPRODUCT(IMSUM(F201,G201),H201),IMPRODUCT(IMSUM(J201,L_Yv),K201))</f>
        <v>3.73868826064736e-19+3.74411215715797e-19i</v>
      </c>
      <c r="M201" s="37" t="n">
        <f aca="false">IMABS(IMDIV(IMPRODUCT(J201,F201,H201),L201))^2</f>
        <v>1.76651642562841E-023</v>
      </c>
      <c r="N201" s="5" t="str">
        <f aca="false">IMDIV(IMPRODUCT(L_Yv,K201,E201),H201)</f>
        <v>0.000181995284250525-0.0359352607579759i</v>
      </c>
      <c r="O201" s="37" t="n">
        <f aca="false">IMABS(IMSUM(1,IMPRODUCT(E201,G201),N201))^2</f>
        <v>1.00076532306646</v>
      </c>
      <c r="P201" s="37" t="n">
        <f aca="false">IMABS(N201)^2</f>
        <v>0.00129137608802721</v>
      </c>
      <c r="Q201" s="37" t="n">
        <f aca="false">p_Rb^2/(1+(C201*p_Rb*L_Ctot)^2)</f>
        <v>6006932394486526</v>
      </c>
      <c r="R201" s="37" t="n">
        <f aca="false">M201*L_Kt^2*Q201</f>
        <v>2.12964811021392E-005</v>
      </c>
      <c r="S201" s="37" t="n">
        <f aca="false">L_kT4*D201</f>
        <v>1.36212053978599E-012</v>
      </c>
      <c r="T201" s="37" t="n">
        <f aca="false">L_kT4*L_Rsq*O201</f>
        <v>5.16944465336775E-012</v>
      </c>
      <c r="U201" s="37" t="n">
        <f aca="false">L_kT4*L_Rh*O201</f>
        <v>3.93313495300537E-012</v>
      </c>
      <c r="V201" s="37" t="n">
        <f aca="false">L_kT4*p_Rv*P201</f>
        <v>1.06316539544834E-011</v>
      </c>
      <c r="W201" s="37" t="n">
        <f aca="false">L_kT4/p_Rb*Q201/R201</f>
        <v>4.6443290580616E-012</v>
      </c>
      <c r="X201" s="37" t="n">
        <f aca="false">p_en^2*(1+p_fc/B201)/R201</f>
        <v>3.36563890518338E-012</v>
      </c>
      <c r="Y201" s="37" t="n">
        <f aca="false">p_in^2*Q201/R201</f>
        <v>7.0515550969159E-013</v>
      </c>
      <c r="Z201" s="37" t="n">
        <f aca="false">p_eo^2/L_G^2/R201</f>
        <v>2.97681703349932E-012</v>
      </c>
      <c r="AA201" s="37" t="n">
        <f aca="false">SUM(S201:Z201)</f>
        <v>3.27882946070784E-011</v>
      </c>
      <c r="AB201" s="47" t="n">
        <f aca="false">10*LOG10(AA201/L_PREF^2)</f>
        <v>-10.8634116270362</v>
      </c>
      <c r="AC201" s="47" t="n">
        <f aca="false">10*LOG10(S201/L_PREF^2)</f>
        <v>-24.6784444950192</v>
      </c>
      <c r="AD201" s="47" t="n">
        <f aca="false">10*LOG10(T201/L_PREF^2)</f>
        <v>-18.8861610141245</v>
      </c>
      <c r="AE201" s="47" t="n">
        <f aca="false">10*LOG10(U201/L_PREF^2)</f>
        <v>-20.0732114322993</v>
      </c>
      <c r="AF201" s="47" t="n">
        <f aca="false">10*LOG10(V201/L_PREF^2)</f>
        <v>-15.7545915884326</v>
      </c>
      <c r="AG201" s="47" t="n">
        <f aca="false">10*LOG10(W201/L_PREF^2)</f>
        <v>-19.3513700872016</v>
      </c>
      <c r="AH201" s="47" t="n">
        <f aca="false">10*LOG10(X201/L_PREF^2)</f>
        <v>-20.7499247205256</v>
      </c>
      <c r="AI201" s="47" t="n">
        <f aca="false">10*LOG10(Y201/L_PREF^2)</f>
        <v>-27.5377508773608</v>
      </c>
      <c r="AJ201" s="47" t="n">
        <f aca="false">10*LOG10(Z201/L_PREF^2)</f>
        <v>-21.2830784925214</v>
      </c>
      <c r="AK201" s="47" t="n">
        <f aca="false">10*LOG10(R201/$R$6)</f>
        <v>-0.00463055390464116</v>
      </c>
      <c r="AL201" s="37" t="n">
        <f aca="false">(12194^2*B201^4/((B201^2+20.6^2)*SQRT((B201^2+107.7^2)*(B201^2+737.9^2))*(B201^2+12194^2))*1.2589254)^2</f>
        <v>0.864976350394669</v>
      </c>
      <c r="AM201" s="37" t="n">
        <f aca="false">0.5*(B201-B200)*(S201*AL201+S200*AL200)</f>
        <v>2.21112638784381E-011</v>
      </c>
      <c r="AN201" s="37" t="n">
        <f aca="false">0.5*(B201-B200)*(T201*AL201+T200*AL200)</f>
        <v>8.39865558868166E-011</v>
      </c>
      <c r="AO201" s="37" t="n">
        <f aca="false">0.5*(B201-B200)*(U201*AL201+U200*AL200)</f>
        <v>6.3900569730595E-011</v>
      </c>
      <c r="AP201" s="37" t="n">
        <f aca="false">0.5*(B201-B200)*(V201*AL201+V200*AL200)</f>
        <v>1.76786654604012E-010</v>
      </c>
      <c r="AQ201" s="37" t="n">
        <f aca="false">0.5*(B201-B200)*(W201*AL201+W200*AL200)</f>
        <v>7.72157770941947E-011</v>
      </c>
      <c r="AR201" s="37" t="n">
        <f aca="false">0.5*(B201-B200)*(X201*AL201+X200*AL200)</f>
        <v>5.47488579477817E-011</v>
      </c>
      <c r="AS201" s="37" t="n">
        <f aca="false">0.5*(B201-B200)*(Y201*AL201+Y200*AL200)</f>
        <v>1.17237882958738E-011</v>
      </c>
      <c r="AT201" s="37" t="n">
        <f aca="false">0.5*(B201-B200)*(Z201*AL201+Z200*AL200)</f>
        <v>4.83641934882378E-011</v>
      </c>
      <c r="AU201" s="37" t="n">
        <f aca="false">0.5*(B201-B200)*(AA201*AL201+AA200*AL200)</f>
        <v>5.38837660925949E-010</v>
      </c>
      <c r="AV201" s="37" t="n">
        <f aca="false">0.5*(B201-B200)*(S201+S200)</f>
        <v>2.58297771073728E-011</v>
      </c>
      <c r="AW201" s="37" t="n">
        <f aca="false">0.5*(B201-B200)*(T201+T200)</f>
        <v>9.81116883748722E-011</v>
      </c>
      <c r="AX201" s="37" t="n">
        <f aca="false">0.5*(B201-B200)*(U201+U200)</f>
        <v>7.46475756528675E-011</v>
      </c>
      <c r="AY201" s="37" t="n">
        <f aca="false">0.5*(B201-B200)*(V201+V200)</f>
        <v>2.06569259028406E-010</v>
      </c>
      <c r="AZ201" s="37" t="n">
        <f aca="false">0.5*(B201-B200)*(W201+W200)</f>
        <v>9.02238975436916E-011</v>
      </c>
      <c r="BA201" s="37" t="n">
        <f aca="false">0.5*(B201-B200)*(X201+X200)</f>
        <v>6.39575410232778E-011</v>
      </c>
      <c r="BB201" s="37" t="n">
        <f aca="false">0.5*(B201-B200)*(Y201+Y200)</f>
        <v>1.36988309104303E-011</v>
      </c>
      <c r="BC201" s="37" t="n">
        <f aca="false">0.5*(B201-B200)*(Z201+Z200)</f>
        <v>5.64982491973937E-011</v>
      </c>
      <c r="BD201" s="37" t="n">
        <f aca="false">0.5*(B201-B200)*(AA201+AA200)</f>
        <v>6.29536818838312E-010</v>
      </c>
      <c r="BE201" s="37" t="n">
        <f aca="false">IF(B201&gt;2000,AK201,-999)</f>
        <v>-999</v>
      </c>
      <c r="BF201" s="37" t="n">
        <f aca="false">IF(AND(B201&lt;1000,AK201&gt;=-3),B201,1000000000)</f>
        <v>833.738766940671</v>
      </c>
    </row>
    <row r="202" customFormat="false" ht="15" hidden="false" customHeight="false" outlineLevel="0" collapsed="false">
      <c r="A202" s="5" t="n">
        <v>163</v>
      </c>
      <c r="B202" s="47" t="n">
        <f aca="false">20*10^(A202/100)</f>
        <v>853.159037603185</v>
      </c>
      <c r="C202" s="37" t="n">
        <f aca="false">2*PI()*B202</f>
        <v>5360.55632975581</v>
      </c>
      <c r="D202" s="37" t="n">
        <f aca="false">SQRT(L_Rp0^2+L_Rp1^2*C202)</f>
        <v>82861358.0656237</v>
      </c>
      <c r="E202" s="5" t="str">
        <f aca="false">COMPLEX(D202,C202*L_Mp)</f>
        <v>82861358.0656237+79189993.2371694i</v>
      </c>
      <c r="F202" s="5" t="str">
        <f aca="false">IMDIV(1,E202)</f>
        <v>6.30745083183214e-09-6.02798458023083e-09i</v>
      </c>
      <c r="G202" s="5" t="str">
        <f aca="false">COMPLEX(0,C202*L_Cf)</f>
        <v>5.6683476046905e-12i</v>
      </c>
      <c r="H202" s="5" t="str">
        <f aca="false">COMPLEX(0,C202*L_Cbv)</f>
        <v>5.6683476046905e-11i</v>
      </c>
      <c r="I202" s="5" t="str">
        <f aca="false">COMPLEX(L_Rsq+L_Rh,C202*(L_Md+L_Mh)-1/(C202*L_Cd))</f>
        <v>552400610.124532-214878818141.047i</v>
      </c>
      <c r="J202" s="5" t="str">
        <f aca="false">IMDIV(1,I202)</f>
        <v>1.19636601093646e-14+4.6537550788764e-12i</v>
      </c>
      <c r="K202" s="5" t="str">
        <f aca="false">IMSUM(F202,G202,H202)</f>
        <v>6.30745083183214e-09-5.96563275657923e-09i</v>
      </c>
      <c r="L202" s="5" t="str">
        <f aca="false">IMSUM(IMPRODUCT(IMSUM(F202,G202),H202),IMPRODUCT(IMSUM(J202,L_Yv),K202))</f>
        <v>3.81818773520166e-19+3.74878933170795e-19i</v>
      </c>
      <c r="M202" s="37" t="n">
        <f aca="false">IMABS(IMDIV(IMPRODUCT(J202,F202,H202),L202))^2</f>
        <v>1.85000680524127E-023</v>
      </c>
      <c r="N202" s="5" t="str">
        <f aca="false">IMDIV(IMPRODUCT(L_Yv,K202,E202),H202)</f>
        <v>0.000182294987744406-0.0351094332564679i</v>
      </c>
      <c r="O202" s="37" t="n">
        <f aca="false">IMABS(IMSUM(1,IMPRODUCT(E202,G202),N202))^2</f>
        <v>1.00066682024624</v>
      </c>
      <c r="P202" s="37" t="n">
        <f aca="false">IMABS(N202)^2</f>
        <v>0.00123270553505293</v>
      </c>
      <c r="Q202" s="37" t="n">
        <f aca="false">p_Rb^2/(1+(C202*p_Rb*L_Ctot)^2)</f>
        <v>5736575903017554</v>
      </c>
      <c r="R202" s="37" t="n">
        <f aca="false">M202*L_Kt^2*Q202</f>
        <v>2.12992099913834E-005</v>
      </c>
      <c r="S202" s="37" t="n">
        <f aca="false">L_kT4*D202</f>
        <v>1.3643636324381E-012</v>
      </c>
      <c r="T202" s="37" t="n">
        <f aca="false">L_kT4*L_Rsq*O202</f>
        <v>5.16893583789866E-012</v>
      </c>
      <c r="U202" s="37" t="n">
        <f aca="false">L_kT4*L_Rh*O202</f>
        <v>3.93274782439867E-012</v>
      </c>
      <c r="V202" s="37" t="n">
        <f aca="false">L_kT4*p_Rv*P202</f>
        <v>1.01486304400139E-011</v>
      </c>
      <c r="W202" s="37" t="n">
        <f aca="false">L_kT4/p_Rb*Q202/R202</f>
        <v>4.43473156090321E-012</v>
      </c>
      <c r="X202" s="37" t="n">
        <f aca="false">p_en^2*(1+p_fc/B202)/R202</f>
        <v>3.35700395638851E-012</v>
      </c>
      <c r="Y202" s="37" t="n">
        <f aca="false">p_in^2*Q202/R202</f>
        <v>6.73332004489637E-013</v>
      </c>
      <c r="Z202" s="37" t="n">
        <f aca="false">p_eo^2/L_G^2/R202</f>
        <v>2.97643563888479E-012</v>
      </c>
      <c r="AA202" s="37" t="n">
        <f aca="false">SUM(S202:Z202)</f>
        <v>3.20561808954155E-011</v>
      </c>
      <c r="AB202" s="47" t="n">
        <f aca="false">10*LOG10(AA202/L_PREF^2)</f>
        <v>-10.9614821114031</v>
      </c>
      <c r="AC202" s="47" t="n">
        <f aca="false">10*LOG10(S202/L_PREF^2)</f>
        <v>-24.6712985670075</v>
      </c>
      <c r="AD202" s="47" t="n">
        <f aca="false">10*LOG10(T202/L_PREF^2)</f>
        <v>-18.8865885003268</v>
      </c>
      <c r="AE202" s="47" t="n">
        <f aca="false">10*LOG10(U202/L_PREF^2)</f>
        <v>-20.0736389185016</v>
      </c>
      <c r="AF202" s="47" t="n">
        <f aca="false">10*LOG10(V202/L_PREF^2)</f>
        <v>-15.956525532636</v>
      </c>
      <c r="AG202" s="47" t="n">
        <f aca="false">10*LOG10(W202/L_PREF^2)</f>
        <v>-19.5519265467923</v>
      </c>
      <c r="AH202" s="47" t="n">
        <f aca="false">10*LOG10(X202/L_PREF^2)</f>
        <v>-20.7610813824299</v>
      </c>
      <c r="AI202" s="47" t="n">
        <f aca="false">10*LOG10(Y202/L_PREF^2)</f>
        <v>-27.7383073369514</v>
      </c>
      <c r="AJ202" s="47" t="n">
        <f aca="false">10*LOG10(Z202/L_PREF^2)</f>
        <v>-21.2836349532861</v>
      </c>
      <c r="AK202" s="47" t="n">
        <f aca="false">10*LOG10(R202/$R$6)</f>
        <v>-0.00407409313987341</v>
      </c>
      <c r="AL202" s="37" t="n">
        <f aca="false">(12194^2*B202^4/((B202^2+20.6^2)*SQRT((B202^2+107.7^2)*(B202^2+737.9^2))*(B202^2+12194^2))*1.2589254)^2</f>
        <v>0.882734841951303</v>
      </c>
      <c r="AM202" s="37" t="n">
        <f aca="false">0.5*(B202-B201)*(S202*AL202+S201*AL201)</f>
        <v>2.31351098471731E-011</v>
      </c>
      <c r="AN202" s="37" t="n">
        <f aca="false">0.5*(B202-B201)*(T202*AL202+T201*AL201)</f>
        <v>8.7723762246001E-011</v>
      </c>
      <c r="AO202" s="37" t="n">
        <f aca="false">0.5*(B202-B201)*(U202*AL202+U201*AL201)</f>
        <v>6.67439964318222E-011</v>
      </c>
      <c r="AP202" s="37" t="n">
        <f aca="false">0.5*(B202-B201)*(V202*AL202+V201*AL201)</f>
        <v>1.76284389244607E-010</v>
      </c>
      <c r="AQ202" s="37" t="n">
        <f aca="false">0.5*(B202-B201)*(W202*AL202+W201*AL201)</f>
        <v>7.70200832694429E-011</v>
      </c>
      <c r="AR202" s="37" t="n">
        <f aca="false">0.5*(B202-B201)*(X202*AL202+X201*AL201)</f>
        <v>5.70426018474434E-011</v>
      </c>
      <c r="AS202" s="37" t="n">
        <f aca="false">0.5*(B202-B201)*(Y202*AL202+Y201*AL201)</f>
        <v>1.16940758062954E-011</v>
      </c>
      <c r="AT202" s="37" t="n">
        <f aca="false">0.5*(B202-B201)*(Z202*AL202+Z201*AL201)</f>
        <v>5.05148406628001E-011</v>
      </c>
      <c r="AU202" s="37" t="n">
        <f aca="false">0.5*(B202-B201)*(AA202*AL202+AA201*AL201)</f>
        <v>5.50158859355586E-010</v>
      </c>
      <c r="AV202" s="37" t="n">
        <f aca="false">0.5*(B202-B201)*(S202+S201)</f>
        <v>2.64745302908262E-011</v>
      </c>
      <c r="AW202" s="37" t="n">
        <f aca="false">0.5*(B202-B201)*(T202+T201)</f>
        <v>1.00387073676224E-010</v>
      </c>
      <c r="AX202" s="37" t="n">
        <f aca="false">0.5*(B202-B201)*(U202+U201)</f>
        <v>7.63787862683968E-011</v>
      </c>
      <c r="AY202" s="37" t="n">
        <f aca="false">0.5*(B202-B201)*(V202+V201)</f>
        <v>2.01779373692577E-010</v>
      </c>
      <c r="AZ202" s="37" t="n">
        <f aca="false">0.5*(B202-B201)*(W202+W201)</f>
        <v>8.81589072908342E-011</v>
      </c>
      <c r="BA202" s="37" t="n">
        <f aca="false">0.5*(B202-B201)*(X202+X201)</f>
        <v>6.52777719695718E-011</v>
      </c>
      <c r="BB202" s="37" t="n">
        <f aca="false">0.5*(B202-B201)*(Y202+Y201)</f>
        <v>1.33853003151478E-011</v>
      </c>
      <c r="BC202" s="37" t="n">
        <f aca="false">0.5*(B202-B201)*(Z202+Z201)</f>
        <v>5.78068891100171E-011</v>
      </c>
      <c r="BD202" s="37" t="n">
        <f aca="false">0.5*(B202-B201)*(AA202+AA201)</f>
        <v>6.29648632613595E-010</v>
      </c>
      <c r="BE202" s="37" t="n">
        <f aca="false">IF(B202&gt;2000,AK202,-999)</f>
        <v>-999</v>
      </c>
      <c r="BF202" s="37" t="n">
        <f aca="false">IF(AND(B202&lt;1000,AK202&gt;=-3),B202,1000000000)</f>
        <v>853.159037603185</v>
      </c>
    </row>
    <row r="203" customFormat="false" ht="15" hidden="false" customHeight="false" outlineLevel="0" collapsed="false">
      <c r="A203" s="5" t="n">
        <v>164</v>
      </c>
      <c r="B203" s="47" t="n">
        <f aca="false">20*10^(A203/100)</f>
        <v>873.031664480332</v>
      </c>
      <c r="C203" s="37" t="n">
        <f aca="false">2*PI()*B203</f>
        <v>5485.41972696536</v>
      </c>
      <c r="D203" s="37" t="n">
        <f aca="false">SQRT(L_Rp0^2+L_Rp1^2*C203)</f>
        <v>83000528.6391427</v>
      </c>
      <c r="E203" s="5" t="str">
        <f aca="false">COMPLEX(D203,C203*L_Mp)</f>
        <v>83000528.6391426+81034565.1383557i</v>
      </c>
      <c r="F203" s="5" t="str">
        <f aca="false">IMDIV(1,E203)</f>
        <v>6.16843416296729e-09-6.02232766677707e-09i</v>
      </c>
      <c r="G203" s="5" t="str">
        <f aca="false">COMPLEX(0,C203*L_Cf)</f>
        <v>5.80038038169119e-12i</v>
      </c>
      <c r="H203" s="5" t="str">
        <f aca="false">COMPLEX(0,C203*L_Cbv)</f>
        <v>5.80038038169119e-11i</v>
      </c>
      <c r="I203" s="5" t="str">
        <f aca="false">COMPLEX(L_Rsq+L_Rh,C203*(L_Md+L_Mh)-1/(C203*L_Cd))</f>
        <v>552400610.124532-209986648823.746i</v>
      </c>
      <c r="J203" s="5" t="str">
        <f aca="false">IMDIV(1,I203)</f>
        <v>1.25275971330145e-14+4.76217457323705e-12i</v>
      </c>
      <c r="K203" s="5" t="str">
        <f aca="false">IMSUM(F203,G203,H203)</f>
        <v>6.16843416296729e-09-5.95852348257847e-09i</v>
      </c>
      <c r="L203" s="5" t="str">
        <f aca="false">IMSUM(IMPRODUCT(IMSUM(F203,G203),H203),IMPRODUCT(IMSUM(J203,L_Yv),K203))</f>
        <v>3.89771141386016e-19+3.75176112427007e-19i</v>
      </c>
      <c r="M203" s="37" t="n">
        <f aca="false">IMABS(IMDIV(IMPRODUCT(J203,F203,H203),L203))^2</f>
        <v>1.93744596714413E-023</v>
      </c>
      <c r="N203" s="5" t="str">
        <f aca="false">IMDIV(IMPRODUCT(L_Yv,K203,E203),H203)</f>
        <v>0.000182601163006119-0.0343022212412008i</v>
      </c>
      <c r="O203" s="37" t="n">
        <f aca="false">IMABS(IMSUM(1,IMPRODUCT(E203,G203),N203))^2</f>
        <v>1.00056906794482</v>
      </c>
      <c r="P203" s="37" t="n">
        <f aca="false">IMABS(N203)^2</f>
        <v>0.00117667572526502</v>
      </c>
      <c r="Q203" s="37" t="n">
        <f aca="false">p_Rb^2/(1+(C203*p_Rb*L_Ctot)^2)</f>
        <v>5478387457945445</v>
      </c>
      <c r="R203" s="37" t="n">
        <f aca="false">M203*L_Kt^2*Q203</f>
        <v>2.13019700097252E-005</v>
      </c>
      <c r="S203" s="37" t="n">
        <f aca="false">L_kT4*D203</f>
        <v>1.36665516221323E-012</v>
      </c>
      <c r="T203" s="37" t="n">
        <f aca="false">L_kT4*L_Rsq*O203</f>
        <v>5.16843089922794E-012</v>
      </c>
      <c r="U203" s="37" t="n">
        <f aca="false">L_kT4*L_Rh*O203</f>
        <v>3.93236364542624E-012</v>
      </c>
      <c r="V203" s="37" t="n">
        <f aca="false">L_kT4*p_Rv*P203</f>
        <v>9.68734766242232E-012</v>
      </c>
      <c r="W203" s="37" t="n">
        <f aca="false">L_kT4/p_Rb*Q203/R203</f>
        <v>4.2345870317006E-012</v>
      </c>
      <c r="X203" s="37" t="n">
        <f aca="false">p_en^2*(1+p_fc/B203)/R203</f>
        <v>3.34855304257266E-012</v>
      </c>
      <c r="Y203" s="37" t="n">
        <f aca="false">p_in^2*Q203/R203</f>
        <v>6.42943757718692E-013</v>
      </c>
      <c r="Z203" s="37" t="n">
        <f aca="false">p_eo^2/L_G^2/R203</f>
        <v>2.97604999300542E-012</v>
      </c>
      <c r="AA203" s="37" t="n">
        <f aca="false">SUM(S203:Z203)</f>
        <v>3.13569311942871E-011</v>
      </c>
      <c r="AB203" s="47" t="n">
        <f aca="false">10*LOG10(AA203/L_PREF^2)</f>
        <v>-11.0572643829139</v>
      </c>
      <c r="AC203" s="47" t="n">
        <f aca="false">10*LOG10(S203/L_PREF^2)</f>
        <v>-24.6640104518765</v>
      </c>
      <c r="AD203" s="47" t="n">
        <f aca="false">10*LOG10(T203/L_PREF^2)</f>
        <v>-18.8870127710026</v>
      </c>
      <c r="AE203" s="47" t="n">
        <f aca="false">10*LOG10(U203/L_PREF^2)</f>
        <v>-20.0740631891774</v>
      </c>
      <c r="AF203" s="47" t="n">
        <f aca="false">10*LOG10(V203/L_PREF^2)</f>
        <v>-16.1585510522155</v>
      </c>
      <c r="AG203" s="47" t="n">
        <f aca="false">10*LOG10(W203/L_PREF^2)</f>
        <v>-19.7524892816034</v>
      </c>
      <c r="AH203" s="47" t="n">
        <f aca="false">10*LOG10(X203/L_PREF^2)</f>
        <v>-20.7720280858312</v>
      </c>
      <c r="AI203" s="47" t="n">
        <f aca="false">10*LOG10(Y203/L_PREF^2)</f>
        <v>-27.9388700717625</v>
      </c>
      <c r="AJ203" s="47" t="n">
        <f aca="false">10*LOG10(Z203/L_PREF^2)</f>
        <v>-21.2841976892185</v>
      </c>
      <c r="AK203" s="47" t="n">
        <f aca="false">10*LOG10(R203/$R$6)</f>
        <v>-0.0035113572074628</v>
      </c>
      <c r="AL203" s="37" t="n">
        <f aca="false">(12194^2*B203^4/((B203^2+20.6^2)*SQRT((B203^2+107.7^2)*(B203^2+737.9^2))*(B203^2+12194^2))*1.2589254)^2</f>
        <v>0.900340155944443</v>
      </c>
      <c r="AM203" s="37" t="n">
        <f aca="false">0.5*(B203-B202)*(S203*AL203+S202*AL202)</f>
        <v>2.41931926878854E-011</v>
      </c>
      <c r="AN203" s="37" t="n">
        <f aca="false">0.5*(B203-B202)*(T203*AL203+T202*AL202)</f>
        <v>9.15745117916995E-011</v>
      </c>
      <c r="AO203" s="37" t="n">
        <f aca="false">0.5*(B203-B202)*(U203*AL203+U202*AL202)</f>
        <v>6.96738116535771E-011</v>
      </c>
      <c r="AP203" s="37" t="n">
        <f aca="false">0.5*(B203-B202)*(V203*AL203+V202*AL202)</f>
        <v>1.75678570364354E-010</v>
      </c>
      <c r="AQ203" s="37" t="n">
        <f aca="false">0.5*(B203-B202)*(W203*AL203+W202*AL202)</f>
        <v>7.67804854495566E-011</v>
      </c>
      <c r="AR203" s="37" t="n">
        <f aca="false">0.5*(B203-B202)*(X203*AL203+X202*AL202)</f>
        <v>5.94010814546426E-011</v>
      </c>
      <c r="AS203" s="37" t="n">
        <f aca="false">0.5*(B203-B202)*(Y203*AL203+Y202*AL202)</f>
        <v>1.16576973066907E-011</v>
      </c>
      <c r="AT203" s="37" t="n">
        <f aca="false">0.5*(B203-B202)*(Z203*AL203+Z202*AL202)</f>
        <v>5.27306318670496E-011</v>
      </c>
      <c r="AU203" s="37" t="n">
        <f aca="false">0.5*(B203-B202)*(AA203*AL203+AA202*AL202)</f>
        <v>5.61689982575455E-010</v>
      </c>
      <c r="AV203" s="37" t="n">
        <f aca="false">0.5*(B203-B202)*(S203+S202)</f>
        <v>2.71362587502902E-011</v>
      </c>
      <c r="AW203" s="37" t="n">
        <f aca="false">0.5*(B203-B202)*(T203+T202)</f>
        <v>1.02715316029571E-010</v>
      </c>
      <c r="AX203" s="37" t="n">
        <f aca="false">0.5*(B203-B202)*(U203+U202)</f>
        <v>7.81502127934981E-011</v>
      </c>
      <c r="AY203" s="37" t="n">
        <f aca="false">0.5*(B203-B202)*(V203+V202)</f>
        <v>1.97096495786483E-010</v>
      </c>
      <c r="AZ203" s="37" t="n">
        <f aca="false">0.5*(B203-B202)*(W203+W202)</f>
        <v>8.61410668349624E-011</v>
      </c>
      <c r="BA203" s="37" t="n">
        <f aca="false">0.5*(B203-B202)*(X203+X202)</f>
        <v>6.66285161218969E-011</v>
      </c>
      <c r="BB203" s="37" t="n">
        <f aca="false">0.5*(B203-B202)*(Y203+Y202)</f>
        <v>1.30789285448989E-011</v>
      </c>
      <c r="BC203" s="37" t="n">
        <f aca="false">0.5*(B203-B202)*(Z203+Z202)</f>
        <v>5.91457629770651E-011</v>
      </c>
      <c r="BD203" s="37" t="n">
        <f aca="false">0.5*(B203-B202)*(AA203+AA202)</f>
        <v>6.30092557838666E-010</v>
      </c>
      <c r="BE203" s="37" t="n">
        <f aca="false">IF(B203&gt;2000,AK203,-999)</f>
        <v>-999</v>
      </c>
      <c r="BF203" s="37" t="n">
        <f aca="false">IF(AND(B203&lt;1000,AK203&gt;=-3),B203,1000000000)</f>
        <v>873.031664480332</v>
      </c>
    </row>
    <row r="204" customFormat="false" ht="15" hidden="false" customHeight="false" outlineLevel="0" collapsed="false">
      <c r="A204" s="5" t="n">
        <v>165</v>
      </c>
      <c r="B204" s="47" t="n">
        <f aca="false">20*10^(A204/100)</f>
        <v>893.367184301926</v>
      </c>
      <c r="C204" s="37" t="n">
        <f aca="false">2*PI()*B204</f>
        <v>5613.19156632226</v>
      </c>
      <c r="D204" s="37" t="n">
        <f aca="false">SQRT(L_Rp0^2+L_Rp1^2*C204)</f>
        <v>83142699.7553167</v>
      </c>
      <c r="E204" s="5" t="str">
        <f aca="false">COMPLEX(D204,C204*L_Mp)</f>
        <v>83142699.7553167+82922102.6385977i</v>
      </c>
      <c r="F204" s="5" t="str">
        <f aca="false">IMDIV(1,E204)</f>
        <v>6.0297341661677e-09-6.01373586474673e-09i</v>
      </c>
      <c r="G204" s="5" t="str">
        <f aca="false">COMPLEX(0,C204*L_Cf)</f>
        <v>5.93548859714736e-12i</v>
      </c>
      <c r="H204" s="5" t="str">
        <f aca="false">COMPLEX(0,C204*L_Cbv)</f>
        <v>5.93548859714736e-11i</v>
      </c>
      <c r="I204" s="5" t="str">
        <f aca="false">COMPLEX(L_Rsq+L_Rh,C204*(L_Md+L_Mh)-1/(C204*L_Cd))</f>
        <v>552400610.124532-205205817207.153i</v>
      </c>
      <c r="J204" s="5" t="str">
        <f aca="false">IMDIV(1,I204)</f>
        <v>1.31181220234546e-14+4.87312088493042e-12i</v>
      </c>
      <c r="K204" s="5" t="str">
        <f aca="false">IMSUM(F204,G204,H204)</f>
        <v>6.0297341661677e-09-5.94844549017811e-09i</v>
      </c>
      <c r="L204" s="5" t="str">
        <f aca="false">IMSUM(IMPRODUCT(IMSUM(F204,G204),H204),IMPRODUCT(IMSUM(J204,L_Yv),K204))</f>
        <v>3.97718367337688e-19+3.75302883952766e-19i</v>
      </c>
      <c r="M204" s="37" t="n">
        <f aca="false">IMABS(IMDIV(IMPRODUCT(J204,F204,H204),L204))^2</f>
        <v>2.0290213656004E-023</v>
      </c>
      <c r="N204" s="5" t="str">
        <f aca="false">IMDIV(IMPRODUCT(L_Yv,K204,E204),H204)</f>
        <v>0.000182913939461698-0.0335131967176793i</v>
      </c>
      <c r="O204" s="37" t="n">
        <f aca="false">IMABS(IMSUM(1,IMPRODUCT(E204,G204),N204))^2</f>
        <v>1.00047185800063</v>
      </c>
      <c r="P204" s="37" t="n">
        <f aca="false">IMABS(N204)^2</f>
        <v>0.00112316781174712</v>
      </c>
      <c r="Q204" s="37" t="n">
        <f aca="false">p_Rb^2/(1+(C204*p_Rb*L_Ctot)^2)</f>
        <v>5231819406980719</v>
      </c>
      <c r="R204" s="37" t="n">
        <f aca="false">M204*L_Kt^2*Q204</f>
        <v>2.130476704311E-005</v>
      </c>
      <c r="S204" s="37" t="n">
        <f aca="false">L_kT4*D204</f>
        <v>1.36899609778343E-012</v>
      </c>
      <c r="T204" s="37" t="n">
        <f aca="false">L_kT4*L_Rsq*O204</f>
        <v>5.16792876209883E-012</v>
      </c>
      <c r="U204" s="37" t="n">
        <f aca="false">L_kT4*L_Rh*O204</f>
        <v>3.93198159798669E-012</v>
      </c>
      <c r="V204" s="37" t="n">
        <f aca="false">L_kT4*p_Rv*P204</f>
        <v>9.24682717762863E-012</v>
      </c>
      <c r="W204" s="37" t="n">
        <f aca="false">L_kT4/p_Rb*Q204/R204</f>
        <v>4.0434682976645E-012</v>
      </c>
      <c r="X204" s="37" t="n">
        <f aca="false">p_en^2*(1+p_fc/B204)/R204</f>
        <v>3.34028095681212E-012</v>
      </c>
      <c r="Y204" s="37" t="n">
        <f aca="false">p_in^2*Q204/R204</f>
        <v>6.13925911087667E-013</v>
      </c>
      <c r="Z204" s="37" t="n">
        <f aca="false">p_eo^2/L_G^2/R204</f>
        <v>2.97565927710751E-012</v>
      </c>
      <c r="AA204" s="37" t="n">
        <f aca="false">SUM(S204:Z204)</f>
        <v>3.06890680781694E-011</v>
      </c>
      <c r="AB204" s="47" t="n">
        <f aca="false">10*LOG10(AA204/L_PREF^2)</f>
        <v>-11.1507629073106</v>
      </c>
      <c r="AC204" s="47" t="n">
        <f aca="false">10*LOG10(S204/L_PREF^2)</f>
        <v>-24.6565778111475</v>
      </c>
      <c r="AD204" s="47" t="n">
        <f aca="false">10*LOG10(T204/L_PREF^2)</f>
        <v>-18.887434728813</v>
      </c>
      <c r="AE204" s="47" t="n">
        <f aca="false">10*LOG10(U204/L_PREF^2)</f>
        <v>-20.0744851469877</v>
      </c>
      <c r="AF204" s="47" t="n">
        <f aca="false">10*LOG10(V204/L_PREF^2)</f>
        <v>-16.3606725054828</v>
      </c>
      <c r="AG204" s="47" t="n">
        <f aca="false">10*LOG10(W204/L_PREF^2)</f>
        <v>-19.9530594890256</v>
      </c>
      <c r="AH204" s="47" t="n">
        <f aca="false">10*LOG10(X204/L_PREF^2)</f>
        <v>-20.7827699371956</v>
      </c>
      <c r="AI204" s="47" t="n">
        <f aca="false">10*LOG10(Y204/L_PREF^2)</f>
        <v>-28.1394402791847</v>
      </c>
      <c r="AJ204" s="47" t="n">
        <f aca="false">10*LOG10(Z204/L_PREF^2)</f>
        <v>-21.2847678977116</v>
      </c>
      <c r="AK204" s="47" t="n">
        <f aca="false">10*LOG10(R204/$R$6)</f>
        <v>-0.00294114871441061</v>
      </c>
      <c r="AL204" s="37" t="n">
        <f aca="false">(12194^2*B204^4/((B204^2+20.6^2)*SQRT((B204^2+107.7^2)*(B204^2+737.9^2))*(B204^2+12194^2))*1.2589254)^2</f>
        <v>0.91777272792945</v>
      </c>
      <c r="AM204" s="37" t="n">
        <f aca="false">0.5*(B204-B203)*(S204*AL204+S203*AL203)</f>
        <v>2.52860171203475E-011</v>
      </c>
      <c r="AN204" s="37" t="n">
        <f aca="false">0.5*(B204-B203)*(T204*AL204+T203*AL203)</f>
        <v>9.55396270711875E-011</v>
      </c>
      <c r="AO204" s="37" t="n">
        <f aca="false">0.5*(B204-B203)*(U204*AL204+U203*AL203)</f>
        <v>7.2690641225065E-011</v>
      </c>
      <c r="AP204" s="37" t="n">
        <f aca="false">0.5*(B204-B203)*(V204*AL204+V203*AL203)</f>
        <v>1.74970817712844E-010</v>
      </c>
      <c r="AQ204" s="37" t="n">
        <f aca="false">0.5*(B204-B203)*(W204*AL204+W203*AL203)</f>
        <v>7.64976874772081E-011</v>
      </c>
      <c r="AR204" s="37" t="n">
        <f aca="false">0.5*(B204-B203)*(X204*AL204+X203*AL203)</f>
        <v>6.18246120212678E-011</v>
      </c>
      <c r="AS204" s="37" t="n">
        <f aca="false">0.5*(B204-B203)*(Y204*AL204+Y203*AL203)</f>
        <v>1.16147596625577E-011</v>
      </c>
      <c r="AT204" s="37" t="n">
        <f aca="false">0.5*(B204-B203)*(Z204*AL204+Z203*AL203)</f>
        <v>5.50120167715656E-011</v>
      </c>
      <c r="AU204" s="37" t="n">
        <f aca="false">0.5*(B204-B203)*(AA204*AL204+AA203*AL203)</f>
        <v>5.73436179062043E-010</v>
      </c>
      <c r="AV204" s="37" t="n">
        <f aca="false">0.5*(B204-B203)*(S204+S203)</f>
        <v>2.78154452113158E-011</v>
      </c>
      <c r="AW204" s="37" t="n">
        <f aca="false">0.5*(B204-B203)*(T204+T203)</f>
        <v>1.0509762338802E-010</v>
      </c>
      <c r="AX204" s="37" t="n">
        <f aca="false">0.5*(B204-B203)*(U204+U203)</f>
        <v>7.99627742906427E-011</v>
      </c>
      <c r="AY204" s="37" t="n">
        <f aca="false">0.5*(B204-B203)*(V204+V203)</f>
        <v>1.92518143882695E-010</v>
      </c>
      <c r="AZ204" s="37" t="n">
        <f aca="false">0.5*(B204-B203)*(W204+W203)</f>
        <v>8.41692791172796E-011</v>
      </c>
      <c r="BA204" s="37" t="n">
        <f aca="false">0.5*(B204-B203)*(X204+X203)</f>
        <v>6.80104581889218E-011</v>
      </c>
      <c r="BB204" s="37" t="n">
        <f aca="false">0.5*(B204-B203)*(Y204+Y203)</f>
        <v>1.27795490315863E-011</v>
      </c>
      <c r="BC204" s="37" t="n">
        <f aca="false">0.5*(B204-B203)*(Z204+Z203)</f>
        <v>6.05155509173744E-011</v>
      </c>
      <c r="BD204" s="37" t="n">
        <f aca="false">0.5*(B204-B203)*(AA204+AA203)</f>
        <v>6.30868824027835E-010</v>
      </c>
      <c r="BE204" s="37" t="n">
        <f aca="false">IF(B204&gt;2000,AK204,-999)</f>
        <v>-999</v>
      </c>
      <c r="BF204" s="37" t="n">
        <f aca="false">IF(AND(B204&lt;1000,AK204&gt;=-3),B204,1000000000)</f>
        <v>893.367184301926</v>
      </c>
    </row>
    <row r="205" customFormat="false" ht="15" hidden="false" customHeight="false" outlineLevel="0" collapsed="false">
      <c r="A205" s="5" t="n">
        <v>166</v>
      </c>
      <c r="B205" s="47" t="n">
        <f aca="false">20*10^(A205/100)</f>
        <v>914.17637922975</v>
      </c>
      <c r="C205" s="37" t="n">
        <f aca="false">2*PI()*B205</f>
        <v>5743.939594147</v>
      </c>
      <c r="D205" s="37" t="n">
        <f aca="false">SQRT(L_Rp0^2+L_Rp1^2*C205)</f>
        <v>83287931.2337646</v>
      </c>
      <c r="E205" s="5" t="str">
        <f aca="false">COMPLEX(D205,C205*L_Mp)</f>
        <v>83287931.2337646+84853606.5352625i</v>
      </c>
      <c r="F205" s="5" t="str">
        <f aca="false">IMDIV(1,E205)</f>
        <v>5.89147970354321e-09-6.00222977410535e-09i</v>
      </c>
      <c r="G205" s="5" t="str">
        <f aca="false">COMPLEX(0,C205*L_Cf)</f>
        <v>6.07374388722322e-12i</v>
      </c>
      <c r="H205" s="5" t="str">
        <f aca="false">COMPLEX(0,C205*L_Cbv)</f>
        <v>6.07374388722322e-11i</v>
      </c>
      <c r="I205" s="5" t="str">
        <f aca="false">COMPLEX(L_Rsq+L_Rh,C205*(L_Md+L_Mh)-1/(C205*L_Cd))</f>
        <v>552400610.124532-200533788431.063i</v>
      </c>
      <c r="J205" s="5" t="str">
        <f aca="false">IMDIV(1,I205)</f>
        <v>1.37364888254397e-14+4.98665297144654e-12i</v>
      </c>
      <c r="K205" s="5" t="str">
        <f aca="false">IMSUM(F205,G205,H205)</f>
        <v>5.89147970354321e-09-5.9354185913459e-09i</v>
      </c>
      <c r="L205" s="5" t="str">
        <f aca="false">IMSUM(IMPRODUCT(IMSUM(F205,G205),H205),IMPRODUCT(IMSUM(J205,L_Yv),K205))</f>
        <v>4.05652920761253e-19+3.75259784136997e-19i</v>
      </c>
      <c r="M205" s="37" t="n">
        <f aca="false">IMABS(IMDIV(IMPRODUCT(J205,F205,H205),L205))^2</f>
        <v>2.12492942051038E-023</v>
      </c>
      <c r="N205" s="5" t="str">
        <f aca="false">IMDIV(IMPRODUCT(L_Yv,K205,E205),H205)</f>
        <v>0.000183233448714254-0.0327419413346571i</v>
      </c>
      <c r="O205" s="37" t="n">
        <f aca="false">IMABS(IMSUM(1,IMPRODUCT(E205,G205),N205))^2</f>
        <v>1.00037498339339</v>
      </c>
      <c r="P205" s="37" t="n">
        <f aca="false">IMABS(N205)^2</f>
        <v>0.00107206829685886</v>
      </c>
      <c r="Q205" s="37" t="n">
        <f aca="false">p_Rb^2/(1+(C205*p_Rb*L_Ctot)^2)</f>
        <v>4996348746246144</v>
      </c>
      <c r="R205" s="37" t="n">
        <f aca="false">M205*L_Kt^2*Q205</f>
        <v>2.13076070602813E-005</v>
      </c>
      <c r="S205" s="37" t="n">
        <f aca="false">L_kT4*D205</f>
        <v>1.37138742411581E-012</v>
      </c>
      <c r="T205" s="37" t="n">
        <f aca="false">L_kT4*L_Rsq*O205</f>
        <v>5.16742835714984E-012</v>
      </c>
      <c r="U205" s="37" t="n">
        <f aca="false">L_kT4*L_Rh*O205</f>
        <v>3.93160086846399E-012</v>
      </c>
      <c r="V205" s="37" t="n">
        <f aca="false">L_kT4*p_Rv*P205</f>
        <v>8.82613458112566E-012</v>
      </c>
      <c r="W205" s="37" t="n">
        <f aca="false">L_kT4/p_Rb*Q205/R205</f>
        <v>3.86096756339257E-012</v>
      </c>
      <c r="X205" s="37" t="n">
        <f aca="false">p_en^2*(1+p_fc/B205)/R205</f>
        <v>3.33218258604875E-012</v>
      </c>
      <c r="Y205" s="37" t="n">
        <f aca="false">p_in^2*Q205/R205</f>
        <v>5.86216548403464E-013</v>
      </c>
      <c r="Z205" s="37" t="n">
        <f aca="false">p_eo^2/L_G^2/R205</f>
        <v>2.97526266178515E-012</v>
      </c>
      <c r="AA205" s="37" t="n">
        <f aca="false">SUM(S205:Z205)</f>
        <v>3.00511805904852E-011</v>
      </c>
      <c r="AB205" s="47" t="n">
        <f aca="false">10*LOG10(AA205/L_PREF^2)</f>
        <v>-11.2419845296386</v>
      </c>
      <c r="AC205" s="47" t="n">
        <f aca="false">10*LOG10(S205/L_PREF^2)</f>
        <v>-24.6489982874356</v>
      </c>
      <c r="AD205" s="47" t="n">
        <f aca="false">10*LOG10(T205/L_PREF^2)</f>
        <v>-18.8878552718203</v>
      </c>
      <c r="AE205" s="47" t="n">
        <f aca="false">10*LOG10(U205/L_PREF^2)</f>
        <v>-20.0749056899951</v>
      </c>
      <c r="AF205" s="47" t="n">
        <f aca="false">10*LOG10(V205/L_PREF^2)</f>
        <v>-16.5628944603294</v>
      </c>
      <c r="AG205" s="47" t="n">
        <f aca="false">10*LOG10(W205/L_PREF^2)</f>
        <v>-20.1536383826615</v>
      </c>
      <c r="AH205" s="47" t="n">
        <f aca="false">10*LOG10(X205/L_PREF^2)</f>
        <v>-20.7933120089186</v>
      </c>
      <c r="AI205" s="47" t="n">
        <f aca="false">10*LOG10(Y205/L_PREF^2)</f>
        <v>-28.3400191728207</v>
      </c>
      <c r="AJ205" s="47" t="n">
        <f aca="false">10*LOG10(Z205/L_PREF^2)</f>
        <v>-21.2853467923701</v>
      </c>
      <c r="AK205" s="47" t="n">
        <f aca="false">10*LOG10(R205/$R$6)</f>
        <v>-0.00236225405586239</v>
      </c>
      <c r="AL205" s="37" t="n">
        <f aca="false">(12194^2*B205^4/((B205^2+20.6^2)*SQRT((B205^2+107.7^2)*(B205^2+737.9^2))*(B205^2+12194^2))*1.2589254)^2</f>
        <v>0.93501350019954</v>
      </c>
      <c r="AM205" s="37" t="n">
        <f aca="false">0.5*(B205-B204)*(S205*AL205+S204*AL204)</f>
        <v>2.64140791525212E-011</v>
      </c>
      <c r="AN205" s="37" t="n">
        <f aca="false">0.5*(B205-B204)*(T205*AL205+T204*AL204)</f>
        <v>9.96198521460464E-011</v>
      </c>
      <c r="AO205" s="37" t="n">
        <f aca="false">0.5*(B205-B204)*(U205*AL205+U204*AL204)</f>
        <v>7.57950512602129E-011</v>
      </c>
      <c r="AP205" s="37" t="n">
        <f aca="false">0.5*(B205-B204)*(V205*AL205+V204*AL204)</f>
        <v>1.74162981366882E-010</v>
      </c>
      <c r="AQ205" s="37" t="n">
        <f aca="false">0.5*(B205-B204)*(W205*AL205+W204*AL204)</f>
        <v>7.61724921697937E-011</v>
      </c>
      <c r="AR205" s="37" t="n">
        <f aca="false">0.5*(B205-B204)*(X205*AL205+X204*AL204)</f>
        <v>6.43134645705956E-011</v>
      </c>
      <c r="AS205" s="37" t="n">
        <f aca="false">0.5*(B205-B204)*(Y205*AL205+Y204*AL204)</f>
        <v>1.15653847668769E-011</v>
      </c>
      <c r="AT205" s="37" t="n">
        <f aca="false">0.5*(B205-B204)*(Z205*AL205+Z204*AL204)</f>
        <v>5.73593980618911E-011</v>
      </c>
      <c r="AU205" s="37" t="n">
        <f aca="false">0.5*(B205-B204)*(AA205*AL205+AA204*AL204)</f>
        <v>5.8540270349482E-010</v>
      </c>
      <c r="AV205" s="37" t="n">
        <f aca="false">0.5*(B205-B204)*(S205+S204)</f>
        <v>2.8512587442099E-011</v>
      </c>
      <c r="AW205" s="37" t="n">
        <f aca="false">0.5*(B205-B204)*(T205+T204)</f>
        <v>1.07535230471559E-010</v>
      </c>
      <c r="AX205" s="37" t="n">
        <f aca="false">0.5*(B205-B204)*(U205+U204)</f>
        <v>8.18174101876952E-011</v>
      </c>
      <c r="AY205" s="37" t="n">
        <f aca="false">0.5*(B205-B204)*(V205+V204)</f>
        <v>1.88041892080513E-010</v>
      </c>
      <c r="AZ205" s="37" t="n">
        <f aca="false">0.5*(B205-B204)*(W205+W204)</f>
        <v>8.2242473313609E-011</v>
      </c>
      <c r="BA205" s="37" t="n">
        <f aca="false">0.5*(B205-B204)*(X205+X204)</f>
        <v>6.94242972560951E-011</v>
      </c>
      <c r="BB205" s="37" t="n">
        <f aca="false">0.5*(B205-B204)*(Y205+Y204)</f>
        <v>1.24869991903545E-011</v>
      </c>
      <c r="BC205" s="37" t="n">
        <f aca="false">0.5*(B205-B204)*(Z205+Z204)</f>
        <v>6.19169473133406E-011</v>
      </c>
      <c r="BD205" s="37" t="n">
        <f aca="false">0.5*(B205-B204)*(AA205+AA204)</f>
        <v>6.31977837255265E-010</v>
      </c>
      <c r="BE205" s="37" t="n">
        <f aca="false">IF(B205&gt;2000,AK205,-999)</f>
        <v>-999</v>
      </c>
      <c r="BF205" s="37" t="n">
        <f aca="false">IF(AND(B205&lt;1000,AK205&gt;=-3),B205,1000000000)</f>
        <v>914.17637922975</v>
      </c>
    </row>
    <row r="206" customFormat="false" ht="15" hidden="false" customHeight="false" outlineLevel="0" collapsed="false">
      <c r="A206" s="5" t="n">
        <v>167</v>
      </c>
      <c r="B206" s="47" t="n">
        <f aca="false">20*10^(A206/100)</f>
        <v>935.470282574396</v>
      </c>
      <c r="C206" s="37" t="n">
        <f aca="false">2*PI()*B206</f>
        <v>5877.73313477458</v>
      </c>
      <c r="D206" s="37" t="n">
        <f aca="false">SQRT(L_Rp0^2+L_Rp1^2*C206)</f>
        <v>83436283.8933771</v>
      </c>
      <c r="E206" s="5" t="str">
        <f aca="false">COMPLEX(D206,C206*L_Mp)</f>
        <v>83436283.8933771+86830100.9372825i</v>
      </c>
      <c r="F206" s="5" t="str">
        <f aca="false">IMDIV(1,E206)</f>
        <v>5.75379795685226e-09-5.9878368744784e-09i</v>
      </c>
      <c r="G206" s="5" t="str">
        <f aca="false">COMPLEX(0,C206*L_Cf)</f>
        <v>6.21521955670359e-12i</v>
      </c>
      <c r="H206" s="5" t="str">
        <f aca="false">COMPLEX(0,C206*L_Cbv)</f>
        <v>6.21521955670359e-11i</v>
      </c>
      <c r="I206" s="5" t="str">
        <f aca="false">COMPLEX(L_Rsq+L_Rh,C206*(L_Md+L_Mh)-1/(C206*L_Cd))</f>
        <v>552400610.124532-195968085323.978i</v>
      </c>
      <c r="J206" s="5" t="str">
        <f aca="false">IMDIV(1,I206)</f>
        <v>1.43840107812732e-14+5.10283117075142e-12i</v>
      </c>
      <c r="K206" s="5" t="str">
        <f aca="false">IMSUM(F206,G206,H206)</f>
        <v>5.75379795685226e-09-5.91946945935466e-09i</v>
      </c>
      <c r="L206" s="5" t="str">
        <f aca="false">IMSUM(IMPRODUCT(IMSUM(F206,G206),H206),IMPRODUCT(IMSUM(J206,L_Yv),K206))</f>
        <v>4.13567330781765e-19+3.75047750800692e-19i</v>
      </c>
      <c r="M206" s="37" t="n">
        <f aca="false">IMABS(IMDIV(IMPRODUCT(J206,F206,H206),L206))^2</f>
        <v>2.22537595267035E-023</v>
      </c>
      <c r="N206" s="5" t="str">
        <f aca="false">IMDIV(IMPRODUCT(L_Yv,K206,E206),H206)</f>
        <v>0.000183559824565432-0.0319880461623214i</v>
      </c>
      <c r="O206" s="37" t="n">
        <f aca="false">IMABS(IMSUM(1,IMPRODUCT(E206,G206),N206))^2</f>
        <v>1.00027823780571</v>
      </c>
      <c r="P206" s="37" t="n">
        <f aca="false">IMABS(N206)^2</f>
        <v>0.001023268791492</v>
      </c>
      <c r="Q206" s="37" t="n">
        <f aca="false">p_Rb^2/(1+(C206*p_Rb*L_Ctot)^2)</f>
        <v>4771476010915542</v>
      </c>
      <c r="R206" s="37" t="n">
        <f aca="false">M206*L_Kt^2*Q206</f>
        <v>2.13104961256116E-005</v>
      </c>
      <c r="S206" s="37" t="n">
        <f aca="false">L_kT4*D206</f>
        <v>1.37383014263113E-012</v>
      </c>
      <c r="T206" s="37" t="n">
        <f aca="false">L_kT4*L_Rsq*O206</f>
        <v>5.16692861865022E-012</v>
      </c>
      <c r="U206" s="37" t="n">
        <f aca="false">L_kT4*L_Rh*O206</f>
        <v>3.93122064600452E-012</v>
      </c>
      <c r="V206" s="37" t="n">
        <f aca="false">L_kT4*p_Rv*P206</f>
        <v>8.42437752598075E-012</v>
      </c>
      <c r="W206" s="37" t="n">
        <f aca="false">L_kT4/p_Rb*Q206/R206</f>
        <v>3.68669552542094E-012</v>
      </c>
      <c r="X206" s="37" t="n">
        <f aca="false">p_en^2*(1+p_fc/B206)/R206</f>
        <v>3.32425290658849E-012</v>
      </c>
      <c r="Y206" s="37" t="n">
        <f aca="false">p_in^2*Q206/R206</f>
        <v>5.59756561131985E-013</v>
      </c>
      <c r="Z206" s="37" t="n">
        <f aca="false">p_eo^2/L_G^2/R206</f>
        <v>2.97485930523473E-012</v>
      </c>
      <c r="AA206" s="37" t="n">
        <f aca="false">SUM(S206:Z206)</f>
        <v>2.94419212316428E-011</v>
      </c>
      <c r="AB206" s="47" t="n">
        <f aca="false">10*LOG10(AA206/L_PREF^2)</f>
        <v>-11.3309384486506</v>
      </c>
      <c r="AC206" s="47" t="n">
        <f aca="false">10*LOG10(S206/L_PREF^2)</f>
        <v>-24.6412695050988</v>
      </c>
      <c r="AD206" s="47" t="n">
        <f aca="false">10*LOG10(T206/L_PREF^2)</f>
        <v>-18.8882752953853</v>
      </c>
      <c r="AE206" s="47" t="n">
        <f aca="false">10*LOG10(U206/L_PREF^2)</f>
        <v>-20.0753257135601</v>
      </c>
      <c r="AF206" s="47" t="n">
        <f aca="false">10*LOG10(V206/L_PREF^2)</f>
        <v>-16.7652217045153</v>
      </c>
      <c r="AG206" s="47" t="n">
        <f aca="false">10*LOG10(W206/L_PREF^2)</f>
        <v>-20.354227194907</v>
      </c>
      <c r="AH206" s="47" t="n">
        <f aca="false">10*LOG10(X206/L_PREF^2)</f>
        <v>-20.8036593417089</v>
      </c>
      <c r="AI206" s="47" t="n">
        <f aca="false">10*LOG10(Y206/L_PREF^2)</f>
        <v>-28.5406079850661</v>
      </c>
      <c r="AJ206" s="47" t="n">
        <f aca="false">10*LOG10(Z206/L_PREF^2)</f>
        <v>-21.2859356055922</v>
      </c>
      <c r="AK206" s="47" t="n">
        <f aca="false">10*LOG10(R206/$R$6)</f>
        <v>-0.00177344083379594</v>
      </c>
      <c r="AL206" s="37" t="n">
        <f aca="false">(12194^2*B206^4/((B206^2+20.6^2)*SQRT((B206^2+107.7^2)*(B206^2+737.9^2))*(B206^2+12194^2))*1.2589254)^2</f>
        <v>0.952043982115464</v>
      </c>
      <c r="AM206" s="37" t="n">
        <f aca="false">0.5*(B206-B205)*(S206*AL206+S205*AL205)</f>
        <v>2.75778670454924E-011</v>
      </c>
      <c r="AN206" s="37" t="n">
        <f aca="false">0.5*(B206-B205)*(T206*AL206+T205*AL205)</f>
        <v>1.03815855291549E-010</v>
      </c>
      <c r="AO206" s="37" t="n">
        <f aca="false">0.5*(B206-B205)*(U206*AL206+U205*AL205)</f>
        <v>7.89875502114779E-011</v>
      </c>
      <c r="AP206" s="37" t="n">
        <f aca="false">0.5*(B206-B205)*(V206*AL206+V205*AL205)</f>
        <v>1.73257130308801E-010</v>
      </c>
      <c r="AQ206" s="37" t="n">
        <f aca="false">0.5*(B206-B205)*(W206*AL206+W205*AL205)</f>
        <v>7.58057963995981E-011</v>
      </c>
      <c r="AR206" s="37" t="n">
        <f aca="false">0.5*(B206-B205)*(X206*AL206+X205*AL205)</f>
        <v>6.68678677863281E-011</v>
      </c>
      <c r="AS206" s="37" t="n">
        <f aca="false">0.5*(B206-B205)*(Y206*AL206+Y205*AL205)</f>
        <v>1.15097087931246E-011</v>
      </c>
      <c r="AT206" s="37" t="n">
        <f aca="false">0.5*(B206-B205)*(Z206*AL206+Z205*AL205)</f>
        <v>5.97731328817204E-011</v>
      </c>
      <c r="AU206" s="37" t="n">
        <f aca="false">0.5*(B206-B205)*(AA206*AL206+AA205*AL205)</f>
        <v>5.97594908718092E-010</v>
      </c>
      <c r="AV206" s="37" t="n">
        <f aca="false">0.5*(B206-B205)*(S206+S205)</f>
        <v>2.92281987631671E-011</v>
      </c>
      <c r="AW206" s="37" t="n">
        <f aca="false">0.5*(B206-B205)*(T206+T205)</f>
        <v>1.10029399285878E-010</v>
      </c>
      <c r="AX206" s="37" t="n">
        <f aca="false">0.5*(B206-B205)*(U206+U205)</f>
        <v>8.37150806726485E-011</v>
      </c>
      <c r="AY206" s="37" t="n">
        <f aca="false">0.5*(B206-B205)*(V206+V205)</f>
        <v>1.83665368727187E-010</v>
      </c>
      <c r="AZ206" s="37" t="n">
        <f aca="false">0.5*(B206-B205)*(W206+W205)</f>
        <v>8.03596041455743E-011</v>
      </c>
      <c r="BA206" s="37" t="n">
        <f aca="false">0.5*(B206-B205)*(X206+X205)</f>
        <v>7.08707470000448E-011</v>
      </c>
      <c r="BB206" s="37" t="n">
        <f aca="false">0.5*(B206-B205)*(Y206+Y205)</f>
        <v>1.22011203150057E-011</v>
      </c>
      <c r="BC206" s="37" t="n">
        <f aca="false">0.5*(B206-B205)*(Z206+Z205)</f>
        <v>6.33506610272888E-011</v>
      </c>
      <c r="BD206" s="37" t="n">
        <f aca="false">0.5*(B206-B205)*(AA206+AA205)</f>
        <v>6.33420179936794E-010</v>
      </c>
      <c r="BE206" s="37" t="n">
        <f aca="false">IF(B206&gt;2000,AK206,-999)</f>
        <v>-999</v>
      </c>
      <c r="BF206" s="37" t="n">
        <f aca="false">IF(AND(B206&lt;1000,AK206&gt;=-3),B206,1000000000)</f>
        <v>935.470282574396</v>
      </c>
    </row>
    <row r="207" customFormat="false" ht="15" hidden="false" customHeight="false" outlineLevel="0" collapsed="false">
      <c r="A207" s="5" t="n">
        <v>168</v>
      </c>
      <c r="B207" s="47" t="n">
        <f aca="false">20*10^(A207/100)</f>
        <v>957.260184645277</v>
      </c>
      <c r="C207" s="37" t="n">
        <f aca="false">2*PI()*B207</f>
        <v>6014.64312731122</v>
      </c>
      <c r="D207" s="37" t="n">
        <f aca="false">SQRT(L_Rp0^2+L_Rp1^2*C207)</f>
        <v>83587819.5617908</v>
      </c>
      <c r="E207" s="5" t="str">
        <f aca="false">COMPLEX(D207,C207*L_Mp)</f>
        <v>83587819.5617908+88852633.8081517i</v>
      </c>
      <c r="F207" s="5" t="str">
        <f aca="false">IMDIV(1,E207)</f>
        <v>5.61681395858934e-09-5.97059136662999e-09i</v>
      </c>
      <c r="G207" s="5" t="str">
        <f aca="false">COMPLEX(0,C207*L_Cf)</f>
        <v>6.35999061786107e-12i</v>
      </c>
      <c r="H207" s="5" t="str">
        <f aca="false">COMPLEX(0,C207*L_Cbv)</f>
        <v>6.35999061786108e-11i</v>
      </c>
      <c r="I207" s="5" t="str">
        <f aca="false">COMPLEX(L_Rsq+L_Rh,C207*(L_Md+L_Mh)-1/(C207*L_Cd))</f>
        <v>552400610.124532-191506287089.676i</v>
      </c>
      <c r="J207" s="5" t="str">
        <f aca="false">IMDIV(1,I207)</f>
        <v>1.50620631299928e-14+5.22171723395626e-12i</v>
      </c>
      <c r="K207" s="5" t="str">
        <f aca="false">IMSUM(F207,G207,H207)</f>
        <v>5.61681395858934e-09-5.90063146983352e-09i</v>
      </c>
      <c r="L207" s="5" t="str">
        <f aca="false">IMSUM(IMPRODUCT(IMSUM(F207,G207),H207),IMPRODUCT(IMSUM(J207,L_Yv),K207))</f>
        <v>4.21454213702765e-19+3.74668116413114e-19i</v>
      </c>
      <c r="M207" s="37" t="n">
        <f aca="false">IMABS(IMDIV(IMPRODUCT(J207,F207,H207),L207))^2</f>
        <v>2.33057664078159E-023</v>
      </c>
      <c r="N207" s="5" t="str">
        <f aca="false">IMDIV(IMPRODUCT(L_Yv,K207,E207),H207)</f>
        <v>0.000183893203035937-0.0312511114754728i</v>
      </c>
      <c r="O207" s="37" t="n">
        <f aca="false">IMABS(IMSUM(1,IMPRODUCT(E207,G207),N207))^2</f>
        <v>1.00018141518623</v>
      </c>
      <c r="P207" s="37" t="n">
        <f aca="false">IMABS(N207)^2</f>
        <v>0.000976665785162551</v>
      </c>
      <c r="Q207" s="37" t="n">
        <f aca="false">p_Rb^2/(1+(C207*p_Rb*L_Ctot)^2)</f>
        <v>4556724215782042</v>
      </c>
      <c r="R207" s="37" t="n">
        <f aca="false">M207*L_Kt^2*Q207</f>
        <v>2.13134404121703E-005</v>
      </c>
      <c r="S207" s="37" t="n">
        <f aca="false">L_kT4*D207</f>
        <v>1.37632527135973E-012</v>
      </c>
      <c r="T207" s="37" t="n">
        <f aca="false">L_kT4*L_Rsq*O207</f>
        <v>5.1664284822436E-012</v>
      </c>
      <c r="U207" s="37" t="n">
        <f aca="false">L_kT4*L_Rh*O207</f>
        <v>3.93084012080034E-012</v>
      </c>
      <c r="V207" s="37" t="n">
        <f aca="false">L_kT4*p_Rv*P207</f>
        <v>8.04070383004745E-012</v>
      </c>
      <c r="W207" s="37" t="n">
        <f aca="false">L_kT4/p_Rb*Q207/R207</f>
        <v>3.52028052780008E-012</v>
      </c>
      <c r="X207" s="37" t="n">
        <f aca="false">p_en^2*(1+p_fc/B207)/R207</f>
        <v>3.31648697966052E-012</v>
      </c>
      <c r="Y207" s="37" t="n">
        <f aca="false">p_in^2*Q207/R207</f>
        <v>5.34489520187939E-013</v>
      </c>
      <c r="Z207" s="37" t="n">
        <f aca="false">p_eo^2/L_G^2/R207</f>
        <v>2.97444835148457E-012</v>
      </c>
      <c r="AA207" s="37" t="n">
        <f aca="false">SUM(S207:Z207)</f>
        <v>2.88600030835842E-011</v>
      </c>
      <c r="AB207" s="47" t="n">
        <f aca="false">10*LOG10(AA207/L_PREF^2)</f>
        <v>-11.4176361816773</v>
      </c>
      <c r="AC207" s="47" t="n">
        <f aca="false">10*LOG10(S207/L_PREF^2)</f>
        <v>-24.633389070922</v>
      </c>
      <c r="AD207" s="47" t="n">
        <f aca="false">10*LOG10(T207/L_PREF^2)</f>
        <v>-18.8886956940605</v>
      </c>
      <c r="AE207" s="47" t="n">
        <f aca="false">10*LOG10(U207/L_PREF^2)</f>
        <v>-20.0757461122352</v>
      </c>
      <c r="AF207" s="47" t="n">
        <f aca="false">10*LOG10(V207/L_PREF^2)</f>
        <v>-16.9676592564826</v>
      </c>
      <c r="AG207" s="47" t="n">
        <f aca="false">10*LOG10(W207/L_PREF^2)</f>
        <v>-20.5548271795746</v>
      </c>
      <c r="AH207" s="47" t="n">
        <f aca="false">10*LOG10(X207/L_PREF^2)</f>
        <v>-20.8138169470569</v>
      </c>
      <c r="AI207" s="47" t="n">
        <f aca="false">10*LOG10(Y207/L_PREF^2)</f>
        <v>-28.7412079697338</v>
      </c>
      <c r="AJ207" s="47" t="n">
        <f aca="false">10*LOG10(Z207/L_PREF^2)</f>
        <v>-21.2865355911925</v>
      </c>
      <c r="AK207" s="47" t="n">
        <f aca="false">10*LOG10(R207/$R$6)</f>
        <v>-0.00117345523347266</v>
      </c>
      <c r="AL207" s="37" t="n">
        <f aca="false">(12194^2*B207^4/((B207^2+20.6^2)*SQRT((B207^2+107.7^2)*(B207^2+737.9^2))*(B207^2+12194^2))*1.2589254)^2</f>
        <v>0.968846305076061</v>
      </c>
      <c r="AM207" s="37" t="n">
        <f aca="false">0.5*(B207-B206)*(S207*AL207+S206*AL206)</f>
        <v>2.87778623643571E-011</v>
      </c>
      <c r="AN207" s="37" t="n">
        <f aca="false">0.5*(B207-B206)*(T207*AL207+T206*AL206)</f>
        <v>1.08128231980469E-010</v>
      </c>
      <c r="AO207" s="37" t="n">
        <f aca="false">0.5*(B207-B206)*(U207*AL207+U206*AL206)</f>
        <v>8.2268591140055E-011</v>
      </c>
      <c r="AP207" s="37" t="n">
        <f aca="false">0.5*(B207-B206)*(V207*AL207+V206*AL206)</f>
        <v>1.72255539857775E-010</v>
      </c>
      <c r="AQ207" s="37" t="n">
        <f aca="false">0.5*(B207-B206)*(W207*AL207+W206*AL206)</f>
        <v>7.53985856796092E-011</v>
      </c>
      <c r="AR207" s="37" t="n">
        <f aca="false">0.5*(B207-B206)*(X207*AL207+X206*AL206)</f>
        <v>6.94880100243138E-011</v>
      </c>
      <c r="AS207" s="37" t="n">
        <f aca="false">0.5*(B207-B206)*(Y207*AL207+Y206*AL206)</f>
        <v>1.14478813732291E-011</v>
      </c>
      <c r="AT207" s="37" t="n">
        <f aca="false">0.5*(B207-B206)*(Z207*AL207+Z206*AL206)</f>
        <v>6.22535344328955E-011</v>
      </c>
      <c r="AU207" s="37" t="n">
        <f aca="false">0.5*(B207-B206)*(AA207*AL207+AA206*AL206)</f>
        <v>6.10018236852703E-010</v>
      </c>
      <c r="AV207" s="37" t="n">
        <f aca="false">0.5*(B207-B206)*(S207+S206)</f>
        <v>2.99628085752812E-011</v>
      </c>
      <c r="AW207" s="37" t="n">
        <f aca="false">0.5*(B207-B206)*(T207+T206)</f>
        <v>1.12581419645957E-010</v>
      </c>
      <c r="AX207" s="37" t="n">
        <f aca="false">0.5*(B207-B206)*(U207+U206)</f>
        <v>8.56567670919945E-011</v>
      </c>
      <c r="AY207" s="37" t="n">
        <f aca="false">0.5*(B207-B206)*(V207+V206)</f>
        <v>1.79386255168467E-010</v>
      </c>
      <c r="AZ207" s="37" t="n">
        <f aca="false">0.5*(B207-B206)*(W207+W206)</f>
        <v>7.85196512134332E-011</v>
      </c>
      <c r="BA207" s="37" t="n">
        <f aca="false">0.5*(B207-B206)*(X207+X206)</f>
        <v>7.23505358997777E-011</v>
      </c>
      <c r="BB207" s="37" t="n">
        <f aca="false">0.5*(B207-B206)*(Y207+Y206)</f>
        <v>1.19217574767029E-011</v>
      </c>
      <c r="BC207" s="37" t="n">
        <f aca="false">0.5*(B207-B206)*(Z207+Z206)</f>
        <v>6.48174156147264E-011</v>
      </c>
      <c r="BD207" s="37" t="n">
        <f aca="false">0.5*(B207-B206)*(AA207+AA206)</f>
        <v>6.35196610686339E-010</v>
      </c>
      <c r="BE207" s="37" t="n">
        <f aca="false">IF(B207&gt;2000,AK207,-999)</f>
        <v>-999</v>
      </c>
      <c r="BF207" s="37" t="n">
        <f aca="false">IF(AND(B207&lt;1000,AK207&gt;=-3),B207,1000000000)</f>
        <v>957.260184645277</v>
      </c>
    </row>
    <row r="208" customFormat="false" ht="15" hidden="false" customHeight="false" outlineLevel="0" collapsed="false">
      <c r="A208" s="5" t="n">
        <v>169</v>
      </c>
      <c r="B208" s="47" t="n">
        <f aca="false">20*10^(A208/100)</f>
        <v>979.557638736892</v>
      </c>
      <c r="C208" s="37" t="n">
        <f aca="false">2*PI()*B208</f>
        <v>6154.74216324717</v>
      </c>
      <c r="D208" s="37" t="n">
        <f aca="false">SQRT(L_Rp0^2+L_Rp1^2*C208)</f>
        <v>83742601.084693</v>
      </c>
      <c r="E208" s="5" t="str">
        <f aca="false">COMPLEX(D208,C208*L_Mp)</f>
        <v>83742601.084693+90922277.5215697i</v>
      </c>
      <c r="F208" s="5" t="str">
        <f aca="false">IMDIV(1,E208)</f>
        <v>5.48065014019847e-09-5.95053397662901e-09i</v>
      </c>
      <c r="G208" s="5" t="str">
        <f aca="false">COMPLEX(0,C208*L_Cf)</f>
        <v>6.50813383022858e-12i</v>
      </c>
      <c r="H208" s="5" t="str">
        <f aca="false">COMPLEX(0,C208*L_Cbv)</f>
        <v>6.50813383022858e-11i</v>
      </c>
      <c r="I208" s="5" t="str">
        <f aca="false">COMPLEX(L_Rsq+L_Rh,C208*(L_Md+L_Mh)-1/(C208*L_Cd))</f>
        <v>552400610.124532-187146028023.675i</v>
      </c>
      <c r="J208" s="5" t="str">
        <f aca="false">IMDIV(1,I208)</f>
        <v>1.57720860393728e-14+5.34337435878439e-12i</v>
      </c>
      <c r="K208" s="5" t="str">
        <f aca="false">IMSUM(F208,G208,H208)</f>
        <v>5.48065014019847e-09-5.8789445044965e-09i</v>
      </c>
      <c r="L208" s="5" t="str">
        <f aca="false">IMSUM(IMPRODUCT(IMSUM(F208,G208),H208),IMPRODUCT(IMSUM(J208,L_Yv),K208))</f>
        <v>4.2930629964072e-19+3.74122599091793e-19i</v>
      </c>
      <c r="M208" s="37" t="n">
        <f aca="false">IMABS(IMDIV(IMPRODUCT(J208,F208,H208),L208))^2</f>
        <v>2.44075750135548E-023</v>
      </c>
      <c r="N208" s="5" t="str">
        <f aca="false">IMDIV(IMPRODUCT(L_Yv,K208,E208),H208)</f>
        <v>0.000184233722386317-0.0305307465415858i</v>
      </c>
      <c r="O208" s="37" t="n">
        <f aca="false">IMABS(IMSUM(1,IMPRODUCT(E208,G208),N208))^2</f>
        <v>1.00008430931359</v>
      </c>
      <c r="P208" s="37" t="n">
        <f aca="false">IMABS(N208)^2</f>
        <v>0.000932160426451018</v>
      </c>
      <c r="Q208" s="37" t="n">
        <f aca="false">p_Rb^2/(1+(C208*p_Rb*L_Ctot)^2)</f>
        <v>4351637843508653</v>
      </c>
      <c r="R208" s="37" t="n">
        <f aca="false">M208*L_Kt^2*Q208</f>
        <v>2.13164462150613E-005</v>
      </c>
      <c r="S208" s="37" t="n">
        <f aca="false">L_kT4*D208</f>
        <v>1.37887384509484E-012</v>
      </c>
      <c r="T208" s="37" t="n">
        <f aca="false">L_kT4*L_Rsq*O208</f>
        <v>5.16592688269517E-012</v>
      </c>
      <c r="U208" s="37" t="n">
        <f aca="false">L_kT4*L_Rh*O208</f>
        <v>3.93045848237521E-012</v>
      </c>
      <c r="V208" s="37" t="n">
        <f aca="false">L_kT4*p_Rv*P208</f>
        <v>7.67429966837212E-012</v>
      </c>
      <c r="W208" s="37" t="n">
        <f aca="false">L_kT4/p_Rb*Q208/R208</f>
        <v>3.36136775674474E-012</v>
      </c>
      <c r="X208" s="37" t="n">
        <f aca="false">p_en^2*(1+p_fc/B208)/R208</f>
        <v>3.30887994702919E-012</v>
      </c>
      <c r="Y208" s="37" t="n">
        <f aca="false">p_in^2*Q208/R208</f>
        <v>5.10361553657333E-013</v>
      </c>
      <c r="Z208" s="37" t="n">
        <f aca="false">p_eo^2/L_G^2/R208</f>
        <v>2.97402892859561E-012</v>
      </c>
      <c r="AA208" s="37" t="n">
        <f aca="false">SUM(S208:Z208)</f>
        <v>2.83041970645642E-011</v>
      </c>
      <c r="AB208" s="47" t="n">
        <f aca="false">10*LOG10(AA208/L_PREF^2)</f>
        <v>-11.5020915202875</v>
      </c>
      <c r="AC208" s="47" t="n">
        <f aca="false">10*LOG10(S208/L_PREF^2)</f>
        <v>-24.6253545748382</v>
      </c>
      <c r="AD208" s="47" t="n">
        <f aca="false">10*LOG10(T208/L_PREF^2)</f>
        <v>-18.8891173634834</v>
      </c>
      <c r="AE208" s="47" t="n">
        <f aca="false">10*LOG10(U208/L_PREF^2)</f>
        <v>-20.0761677816581</v>
      </c>
      <c r="AF208" s="47" t="n">
        <f aca="false">10*LOG10(V208/L_PREF^2)</f>
        <v>-17.1702123767241</v>
      </c>
      <c r="AG208" s="47" t="n">
        <f aca="false">10*LOG10(W208/L_PREF^2)</f>
        <v>-20.7554396145662</v>
      </c>
      <c r="AH208" s="47" t="n">
        <f aca="false">10*LOG10(X208/L_PREF^2)</f>
        <v>-20.8237898097941</v>
      </c>
      <c r="AI208" s="47" t="n">
        <f aca="false">10*LOG10(Y208/L_PREF^2)</f>
        <v>-28.9418204047254</v>
      </c>
      <c r="AJ208" s="47" t="n">
        <f aca="false">10*LOG10(Z208/L_PREF^2)</f>
        <v>-21.2871480270748</v>
      </c>
      <c r="AK208" s="47" t="n">
        <f aca="false">10*LOG10(R208/$R$6)</f>
        <v>-0.00056101935118833</v>
      </c>
      <c r="AL208" s="37" t="n">
        <f aca="false">(12194^2*B208^4/((B208^2+20.6^2)*SQRT((B208^2+107.7^2)*(B208^2+737.9^2))*(B208^2+12194^2))*1.2589254)^2</f>
        <v>0.985403271760609</v>
      </c>
      <c r="AM208" s="37" t="n">
        <f aca="false">0.5*(B208-B207)*(S208*AL208+S207*AL207)</f>
        <v>3.00145411000461E-011</v>
      </c>
      <c r="AN208" s="37" t="n">
        <f aca="false">0.5*(B208-B207)*(T208*AL208+T207*AL207)</f>
        <v>1.12557508089462E-010</v>
      </c>
      <c r="AO208" s="37" t="n">
        <f aca="false">0.5*(B208-B207)*(U208*AL208+U207*AL207)</f>
        <v>8.56385741554343E-011</v>
      </c>
      <c r="AP208" s="37" t="n">
        <f aca="false">0.5*(B208-B207)*(V208*AL208+V207*AL207)</f>
        <v>1.71160678091994E-010</v>
      </c>
      <c r="AQ208" s="37" t="n">
        <f aca="false">0.5*(B208-B207)*(W208*AL208+W207*AL207)</f>
        <v>7.49519283141314E-011</v>
      </c>
      <c r="AR208" s="37" t="n">
        <f aca="false">0.5*(B208-B207)*(X208*AL208+X207*AL207)</f>
        <v>7.21740414076883E-011</v>
      </c>
      <c r="AS208" s="37" t="n">
        <f aca="false">0.5*(B208-B207)*(Y208*AL208+Y207*AL207)</f>
        <v>1.13800647094498E-011</v>
      </c>
      <c r="AT208" s="37" t="n">
        <f aca="false">0.5*(B208-B207)*(Z208*AL208+Z207*AL207)</f>
        <v>6.48008736961079E-011</v>
      </c>
      <c r="AU208" s="37" t="n">
        <f aca="false">0.5*(B208-B207)*(AA208*AL208+AA207*AL207)</f>
        <v>6.22678209564313E-010</v>
      </c>
      <c r="AV208" s="37" t="n">
        <f aca="false">0.5*(B208-B207)*(S208+S207)</f>
        <v>3.07169629062028E-011</v>
      </c>
      <c r="AW208" s="37" t="n">
        <f aca="false">0.5*(B208-B207)*(T208+T207)</f>
        <v>1.1519260970399E-010</v>
      </c>
      <c r="AX208" s="37" t="n">
        <f aca="false">0.5*(B208-B207)*(U208+U207)</f>
        <v>8.76434723523943E-011</v>
      </c>
      <c r="AY208" s="37" t="n">
        <f aca="false">0.5*(B208-B207)*(V208+V207)</f>
        <v>1.75202284527794E-010</v>
      </c>
      <c r="AZ208" s="37" t="n">
        <f aca="false">0.5*(B208-B207)*(W208+W207)</f>
        <v>7.67216183496416E-011</v>
      </c>
      <c r="BA208" s="37" t="n">
        <f aca="false">0.5*(B208-B207)*(X208+X207)</f>
        <v>7.3864407443986E-011</v>
      </c>
      <c r="BB208" s="37" t="n">
        <f aca="false">0.5*(B208-B207)*(Y208+Y207)</f>
        <v>1.16487594258201E-011</v>
      </c>
      <c r="BC208" s="37" t="n">
        <f aca="false">0.5*(B208-B207)*(Z208+Z207)</f>
        <v>6.63179495338031E-011</v>
      </c>
      <c r="BD208" s="37" t="n">
        <f aca="false">0.5*(B208-B207)*(AA208+AA207)</f>
        <v>6.37308064243632E-010</v>
      </c>
      <c r="BE208" s="37" t="n">
        <f aca="false">IF(B208&gt;2000,AK208,-999)</f>
        <v>-999</v>
      </c>
      <c r="BF208" s="37" t="n">
        <f aca="false">IF(AND(B208&lt;1000,AK208&gt;=-3),B208,1000000000)</f>
        <v>979.557638736892</v>
      </c>
    </row>
    <row r="209" customFormat="false" ht="15" hidden="false" customHeight="false" outlineLevel="0" collapsed="false">
      <c r="A209" s="5" t="n">
        <v>170</v>
      </c>
      <c r="B209" s="47" t="n">
        <f aca="false">20*10^(A209/100)</f>
        <v>1002.37446725454</v>
      </c>
      <c r="C209" s="37" t="n">
        <f aca="false">2*PI()*B209</f>
        <v>6298.10452494572</v>
      </c>
      <c r="D209" s="37" t="n">
        <f aca="false">SQRT(L_Rp0^2+L_Rp1^2*C209)</f>
        <v>83900692.3349501</v>
      </c>
      <c r="E209" s="5" t="str">
        <f aca="false">COMPLEX(D209,C209*L_Mp)</f>
        <v>83900692.3349501+93040129.4300282i</v>
      </c>
      <c r="F209" s="5" t="str">
        <f aca="false">IMDIV(1,E209)</f>
        <v>5.34542590081326e-09-5.92771172477103e-09i</v>
      </c>
      <c r="G209" s="5" t="str">
        <f aca="false">COMPLEX(0,C209*L_Cf)</f>
        <v>6.65972774129821e-12i</v>
      </c>
      <c r="H209" s="5" t="str">
        <f aca="false">COMPLEX(0,C209*L_Cbv)</f>
        <v>6.65972774129821e-11i</v>
      </c>
      <c r="I209" s="5" t="str">
        <f aca="false">COMPLEX(L_Rsq+L_Rh,C209*(L_Md+L_Mh)-1/(C209*L_Cd))</f>
        <v>552400610.124532-182884996258.902i</v>
      </c>
      <c r="J209" s="5" t="str">
        <f aca="false">IMDIV(1,I209)</f>
        <v>1.65155876770925e-14+5.46786722385717e-12i</v>
      </c>
      <c r="K209" s="5" t="str">
        <f aca="false">IMSUM(F209,G209,H209)</f>
        <v>5.34542590081326e-09-5.85445471961675e-09i</v>
      </c>
      <c r="L209" s="5" t="str">
        <f aca="false">IMSUM(IMPRODUCT(IMSUM(F209,G209),H209),IMPRODUCT(IMSUM(J209,L_Yv),K209))</f>
        <v>4.37116458149592e-19+3.73413291488157e-19i</v>
      </c>
      <c r="M209" s="37" t="n">
        <f aca="false">IMABS(IMDIV(IMPRODUCT(J209,F209,H209),L209))^2</f>
        <v>2.55615539272547E-023</v>
      </c>
      <c r="N209" s="5" t="str">
        <f aca="false">IMDIV(IMPRODUCT(L_Yv,K209,E209),H209)</f>
        <v>0.000184581523136895-0.0298265694136374i</v>
      </c>
      <c r="O209" s="37" t="n">
        <f aca="false">IMABS(IMSUM(1,IMPRODUCT(E209,G209),N209))^2</f>
        <v>0.999986713359973</v>
      </c>
      <c r="P209" s="37" t="n">
        <f aca="false">IMABS(N209)^2</f>
        <v>0.000889658313325214</v>
      </c>
      <c r="Q209" s="37" t="n">
        <f aca="false">p_Rb^2/(1+(C209*p_Rb*L_Ctot)^2)</f>
        <v>4155781878415010</v>
      </c>
      <c r="R209" s="37" t="n">
        <f aca="false">M209*L_Kt^2*Q209</f>
        <v>2.13195199650558E-005</v>
      </c>
      <c r="S209" s="37" t="n">
        <f aca="false">L_kT4*D209</f>
        <v>1.38147691554278E-012</v>
      </c>
      <c r="T209" s="37" t="n">
        <f aca="false">L_kT4*L_Rsq*O209</f>
        <v>5.16542275163767E-012</v>
      </c>
      <c r="U209" s="37" t="n">
        <f aca="false">L_kT4*L_Rh*O209</f>
        <v>3.93007491786952E-012</v>
      </c>
      <c r="V209" s="37" t="n">
        <f aca="false">L_kT4*p_Rv*P209</f>
        <v>7.32438784696139E-012</v>
      </c>
      <c r="W209" s="37" t="n">
        <f aca="false">L_kT4/p_Rb*Q209/R209</f>
        <v>3.20961847250665E-012</v>
      </c>
      <c r="X209" s="37" t="n">
        <f aca="false">p_en^2*(1+p_fc/B209)/R209</f>
        <v>3.30142702665286E-012</v>
      </c>
      <c r="Y209" s="37" t="n">
        <f aca="false">p_in^2*Q209/R209</f>
        <v>4.87321230171532E-013</v>
      </c>
      <c r="Z209" s="37" t="n">
        <f aca="false">p_eo^2/L_G^2/R209</f>
        <v>2.97360014683045E-012</v>
      </c>
      <c r="AA209" s="37" t="n">
        <f aca="false">SUM(S209:Z209)</f>
        <v>2.77733293081728E-011</v>
      </c>
      <c r="AB209" s="47" t="n">
        <f aca="false">10*LOG10(AA209/L_PREF^2)</f>
        <v>-11.5843204771377</v>
      </c>
      <c r="AC209" s="47" t="n">
        <f aca="false">10*LOG10(S209/L_PREF^2)</f>
        <v>-24.6171635906866</v>
      </c>
      <c r="AD209" s="47" t="n">
        <f aca="false">10*LOG10(T209/L_PREF^2)</f>
        <v>-18.8895412022738</v>
      </c>
      <c r="AE209" s="47" t="n">
        <f aca="false">10*LOG10(U209/L_PREF^2)</f>
        <v>-20.0765916204485</v>
      </c>
      <c r="AF209" s="47" t="n">
        <f aca="false">10*LOG10(V209/L_PREF^2)</f>
        <v>-17.3728865797365</v>
      </c>
      <c r="AG209" s="47" t="n">
        <f aca="false">10*LOG10(W209/L_PREF^2)</f>
        <v>-20.9560658045978</v>
      </c>
      <c r="AH209" s="47" t="n">
        <f aca="false">10*LOG10(X209/L_PREF^2)</f>
        <v>-20.8335828907445</v>
      </c>
      <c r="AI209" s="47" t="n">
        <f aca="false">10*LOG10(Y209/L_PREF^2)</f>
        <v>-29.142446594757</v>
      </c>
      <c r="AJ209" s="47" t="n">
        <f aca="false">10*LOG10(Z209/L_PREF^2)</f>
        <v>-21.287774217957</v>
      </c>
      <c r="AK209" s="47" t="n">
        <f aca="false">10*LOG10(R209/$R$6)</f>
        <v>6.51715309657459E-005</v>
      </c>
      <c r="AL209" s="37" t="n">
        <f aca="false">(12194^2*B209^4/((B209^2+20.6^2)*SQRT((B209^2+107.7^2)*(B209^2+737.9^2))*(B209^2+12194^2))*1.2589254)^2</f>
        <v>1.00169839935089</v>
      </c>
      <c r="AM209" s="37" t="n">
        <f aca="false">0.5*(B209-B208)*(S209*AL209+S208*AL208)</f>
        <v>3.12883748460284E-011</v>
      </c>
      <c r="AN209" s="37" t="n">
        <f aca="false">0.5*(B209-B208)*(T209*AL209+T208*AL208)</f>
        <v>1.17104143262768E-010</v>
      </c>
      <c r="AO209" s="37" t="n">
        <f aca="false">0.5*(B209-B208)*(U209*AL209+U208*AL208)</f>
        <v>8.9097848974644E-011</v>
      </c>
      <c r="AP209" s="37" t="n">
        <f aca="false">0.5*(B209-B208)*(V209*AL209+V208*AL208)</f>
        <v>1.69975191407504E-010</v>
      </c>
      <c r="AQ209" s="37" t="n">
        <f aca="false">0.5*(B209-B208)*(W209*AL209+W208*AL208)</f>
        <v>7.44669691768019E-011</v>
      </c>
      <c r="AR209" s="37" t="n">
        <f aca="false">0.5*(B209-B208)*(X209*AL209+X208*AL208)</f>
        <v>7.49260759647013E-011</v>
      </c>
      <c r="AS209" s="37" t="n">
        <f aca="false">0.5*(B209-B208)*(Y209*AL209+Y208*AL208)</f>
        <v>1.13064326296837E-011</v>
      </c>
      <c r="AT209" s="37" t="n">
        <f aca="false">0.5*(B209-B208)*(Z209*AL209+Z208*AL208)</f>
        <v>6.74153812342173E-011</v>
      </c>
      <c r="AU209" s="37" t="n">
        <f aca="false">0.5*(B209-B208)*(AA209*AL209+AA208*AL208)</f>
        <v>6.35580417496349E-010</v>
      </c>
      <c r="AV209" s="37" t="n">
        <f aca="false">0.5*(B209-B208)*(S209+S208)</f>
        <v>3.14912249770198E-011</v>
      </c>
      <c r="AW209" s="37" t="n">
        <f aca="false">0.5*(B209-B208)*(T209+T208)</f>
        <v>1.17864316481241E-010</v>
      </c>
      <c r="AX209" s="37" t="n">
        <f aca="false">0.5*(B209-B208)*(U209+U208)</f>
        <v>8.96762213253312E-011</v>
      </c>
      <c r="AY209" s="37" t="n">
        <f aca="false">0.5*(B209-B208)*(V209+V208)</f>
        <v>1.71111240513609E-010</v>
      </c>
      <c r="AZ209" s="37" t="n">
        <f aca="false">0.5*(B209-B208)*(W209+W208)</f>
        <v>7.49645329923419E-011</v>
      </c>
      <c r="BA209" s="37" t="n">
        <f aca="false">0.5*(B209-B208)*(X209+X208)</f>
        <v>7.54131203337723E-011</v>
      </c>
      <c r="BB209" s="37" t="n">
        <f aca="false">0.5*(B209-B208)*(Y209+Y208)</f>
        <v>1.13819784968186E-011</v>
      </c>
      <c r="BC209" s="37" t="n">
        <f aca="false">0.5*(B209-B208)*(Z209+Z208)</f>
        <v>6.78530163502996E-011</v>
      </c>
      <c r="BD209" s="37" t="n">
        <f aca="false">0.5*(B209-B208)*(AA209+AA208)</f>
        <v>6.39755651470433E-010</v>
      </c>
      <c r="BE209" s="37" t="n">
        <f aca="false">IF(B209&gt;2000,AK209,-999)</f>
        <v>-999</v>
      </c>
      <c r="BF209" s="37" t="n">
        <f aca="false">IF(AND(B209&lt;1000,AK209&gt;=-3),B209,1000000000)</f>
        <v>1000000000</v>
      </c>
    </row>
    <row r="210" customFormat="false" ht="15" hidden="false" customHeight="false" outlineLevel="0" collapsed="false">
      <c r="A210" s="5" t="n">
        <v>171</v>
      </c>
      <c r="B210" s="47" t="n">
        <f aca="false">20*10^(A210/100)</f>
        <v>1025.72276798273</v>
      </c>
      <c r="C210" s="37" t="n">
        <f aca="false">2*PI()*B210</f>
        <v>6444.80622502866</v>
      </c>
      <c r="D210" s="37" t="n">
        <f aca="false">SQRT(L_Rp0^2+L_Rp1^2*C210)</f>
        <v>84062158.2215489</v>
      </c>
      <c r="E210" s="5" t="str">
        <f aca="false">COMPLEX(D210,C210*L_Mp)</f>
        <v>84062158.2215489+95207312.4466422i</v>
      </c>
      <c r="F210" s="5" t="str">
        <f aca="false">IMDIV(1,E210)</f>
        <v>5.21125719964868e-09-5.90217766166726e-09i</v>
      </c>
      <c r="G210" s="5" t="str">
        <f aca="false">COMPLEX(0,C210*L_Cf)</f>
        <v>6.8148527281682e-12i</v>
      </c>
      <c r="H210" s="5" t="str">
        <f aca="false">COMPLEX(0,C210*L_Cbv)</f>
        <v>6.8148527281682e-11i</v>
      </c>
      <c r="I210" s="5" t="str">
        <f aca="false">COMPLEX(L_Rsq+L_Rh,C210*(L_Md+L_Mh)-1/(C210*L_Cd))</f>
        <v>552400610.124532-178720932539.914i</v>
      </c>
      <c r="J210" s="5" t="str">
        <f aca="false">IMDIV(1,I210)</f>
        <v>1.72941474277218e-14+5.59526202382074e-12i</v>
      </c>
      <c r="K210" s="5" t="str">
        <f aca="false">IMSUM(F210,G210,H210)</f>
        <v>5.21125719964868e-09-5.82721428165741e-09i</v>
      </c>
      <c r="L210" s="5" t="str">
        <f aca="false">IMSUM(IMPRODUCT(IMSUM(F210,G210),H210),IMPRODUCT(IMSUM(J210,L_Yv),K210))</f>
        <v>4.44877722644814e-19+3.72542647681482e-19i</v>
      </c>
      <c r="M210" s="37" t="n">
        <f aca="false">IMABS(IMDIV(IMPRODUCT(J210,F210,H210),L210))^2</f>
        <v>2.67701854444826E-023</v>
      </c>
      <c r="N210" s="5" t="str">
        <f aca="false">IMDIV(IMPRODUCT(L_Yv,K210,E210),H210)</f>
        <v>0.000184936748087433-0.0291382067275934i</v>
      </c>
      <c r="O210" s="37" t="n">
        <f aca="false">IMABS(IMSUM(1,IMPRODUCT(E210,G210),N210))^2</f>
        <v>0.999888419453634</v>
      </c>
      <c r="P210" s="37" t="n">
        <f aca="false">IMABS(N210)^2</f>
        <v>0.000849069292900763</v>
      </c>
      <c r="Q210" s="37" t="n">
        <f aca="false">p_Rb^2/(1+(C210*p_Rb*L_Ctot)^2)</f>
        <v>3968740883750890</v>
      </c>
      <c r="R210" s="37" t="n">
        <f aca="false">M210*L_Kt^2*Q210</f>
        <v>2.1322668242555E-005</v>
      </c>
      <c r="S210" s="37" t="n">
        <f aca="false">L_kT4*D210</f>
        <v>1.38413555147028E-012</v>
      </c>
      <c r="T210" s="37" t="n">
        <f aca="false">L_kT4*L_Rsq*O210</f>
        <v>5.16491501531141E-012</v>
      </c>
      <c r="U210" s="37" t="n">
        <f aca="false">L_kT4*L_Rh*O210</f>
        <v>3.92968861032091E-012</v>
      </c>
      <c r="V210" s="37" t="n">
        <f aca="false">L_kT4*p_Rv*P210</f>
        <v>6.99022615424843E-012</v>
      </c>
      <c r="W210" s="37" t="n">
        <f aca="false">L_kT4/p_Rb*Q210/R210</f>
        <v>3.06470927670771E-012</v>
      </c>
      <c r="X210" s="37" t="n">
        <f aca="false">p_en^2*(1+p_fc/B210)/R210</f>
        <v>3.29412350838177E-012</v>
      </c>
      <c r="Y210" s="37" t="n">
        <f aca="false">p_in^2*Q210/R210</f>
        <v>4.65319447665352E-013</v>
      </c>
      <c r="Z210" s="37" t="n">
        <f aca="false">p_eo^2/L_G^2/R210</f>
        <v>2.97316109678627E-012</v>
      </c>
      <c r="AA210" s="37" t="n">
        <f aca="false">SUM(S210:Z210)</f>
        <v>2.72662786608921E-011</v>
      </c>
      <c r="AB210" s="47" t="n">
        <f aca="false">10*LOG10(AA210/L_PREF^2)</f>
        <v>-11.664341224484</v>
      </c>
      <c r="AC210" s="47" t="n">
        <f aca="false">10*LOG10(S210/L_PREF^2)</f>
        <v>-24.6088136770082</v>
      </c>
      <c r="AD210" s="47" t="n">
        <f aca="false">10*LOG10(T210/L_PREF^2)</f>
        <v>-18.889968113939</v>
      </c>
      <c r="AE210" s="47" t="n">
        <f aca="false">10*LOG10(U210/L_PREF^2)</f>
        <v>-20.0770185321137</v>
      </c>
      <c r="AF210" s="47" t="n">
        <f aca="false">10*LOG10(V210/L_PREF^2)</f>
        <v>-17.5756876465906</v>
      </c>
      <c r="AG210" s="47" t="n">
        <f aca="false">10*LOG10(W210/L_PREF^2)</f>
        <v>-21.1567070839849</v>
      </c>
      <c r="AH210" s="47" t="n">
        <f aca="false">10*LOG10(X210/L_PREF^2)</f>
        <v>-20.8432011294744</v>
      </c>
      <c r="AI210" s="47" t="n">
        <f aca="false">10*LOG10(Y210/L_PREF^2)</f>
        <v>-29.3430878741441</v>
      </c>
      <c r="AJ210" s="47" t="n">
        <f aca="false">10*LOG10(Z210/L_PREF^2)</f>
        <v>-21.2884154981564</v>
      </c>
      <c r="AK210" s="47" t="n">
        <f aca="false">10*LOG10(R210/$R$6)</f>
        <v>0.000706451730382096</v>
      </c>
      <c r="AL210" s="37" t="n">
        <f aca="false">(12194^2*B210^4/((B210^2+20.6^2)*SQRT((B210^2+107.7^2)*(B210^2+737.9^2))*(B210^2+12194^2))*1.2589254)^2</f>
        <v>1.0177159565195</v>
      </c>
      <c r="AM210" s="37" t="n">
        <f aca="false">0.5*(B210-B209)*(S210*AL210+S209*AL209)</f>
        <v>3.2599832012936E-011</v>
      </c>
      <c r="AN210" s="37" t="n">
        <f aca="false">0.5*(B210-B209)*(T210*AL210+T209*AL209)</f>
        <v>1.21768534365212E-010</v>
      </c>
      <c r="AO210" s="37" t="n">
        <f aca="false">0.5*(B210-B209)*(U210*AL210+U209*AL209)</f>
        <v>9.26467175494451E-011</v>
      </c>
      <c r="AP210" s="37" t="n">
        <f aca="false">0.5*(B210-B209)*(V210*AL210+V209*AL209)</f>
        <v>1.68701889364844E-010</v>
      </c>
      <c r="AQ210" s="37" t="n">
        <f aca="false">0.5*(B210-B209)*(W210*AL210+W209*AL209)</f>
        <v>7.39449231808647E-011</v>
      </c>
      <c r="AR210" s="37" t="n">
        <f aca="false">0.5*(B210-B209)*(X210*AL210+X209*AL209)</f>
        <v>7.77441937674113E-011</v>
      </c>
      <c r="AS210" s="37" t="n">
        <f aca="false">0.5*(B210-B209)*(Y210*AL210+Y209*AL209)</f>
        <v>1.12271695960473E-011</v>
      </c>
      <c r="AT210" s="37" t="n">
        <f aca="false">0.5*(B210-B209)*(Z210*AL210+Z209*AL209)</f>
        <v>7.00972490385053E-011</v>
      </c>
      <c r="AU210" s="37" t="n">
        <f aca="false">0.5*(B210-B209)*(AA210*AL210+AA209*AL209)</f>
        <v>6.48730508875266E-010</v>
      </c>
      <c r="AV210" s="37" t="n">
        <f aca="false">0.5*(B210-B209)*(S210+S209)</f>
        <v>3.22861757887197E-011</v>
      </c>
      <c r="AW210" s="37" t="n">
        <f aca="false">0.5*(B210-B209)*(T210+T209)</f>
        <v>1.20597916403228E-010</v>
      </c>
      <c r="AX210" s="37" t="n">
        <f aca="false">0.5*(B210-B209)*(U210+U209)</f>
        <v>9.17560612543061E-011</v>
      </c>
      <c r="AY210" s="37" t="n">
        <f aca="false">0.5*(B210-B209)*(V210+V209)</f>
        <v>1.67110956254069E-010</v>
      </c>
      <c r="AZ210" s="37" t="n">
        <f aca="false">0.5*(B210-B209)*(W210+W209)</f>
        <v>7.32474455779271E-011</v>
      </c>
      <c r="BA210" s="37" t="n">
        <f aca="false">0.5*(B210-B209)*(X210+X209)</f>
        <v>7.69974486799658E-011</v>
      </c>
      <c r="BB210" s="37" t="n">
        <f aca="false">0.5*(B210-B209)*(Y210+Y209)</f>
        <v>1.11212705160189E-011</v>
      </c>
      <c r="BC210" s="37" t="n">
        <f aca="false">0.5*(B210-B209)*(Z210+Z209)</f>
        <v>6.94233849373399E-011</v>
      </c>
      <c r="BD210" s="37" t="n">
        <f aca="false">0.5*(B210-B209)*(AA210+AA209)</f>
        <v>6.42540659411575E-010</v>
      </c>
      <c r="BE210" s="37" t="n">
        <f aca="false">IF(B210&gt;2000,AK210,-999)</f>
        <v>-999</v>
      </c>
      <c r="BF210" s="37" t="n">
        <f aca="false">IF(AND(B210&lt;1000,AK210&gt;=-3),B210,1000000000)</f>
        <v>1000000000</v>
      </c>
    </row>
    <row r="211" customFormat="false" ht="15" hidden="false" customHeight="false" outlineLevel="0" collapsed="false">
      <c r="A211" s="5" t="n">
        <v>172</v>
      </c>
      <c r="B211" s="47" t="n">
        <f aca="false">20*10^(A211/100)</f>
        <v>1049.61492049955</v>
      </c>
      <c r="C211" s="37" t="n">
        <f aca="false">2*PI()*B211</f>
        <v>6594.92504667921</v>
      </c>
      <c r="D211" s="37" t="n">
        <f aca="false">SQRT(L_Rp0^2+L_Rp1^2*C211)</f>
        <v>84227064.6983425</v>
      </c>
      <c r="E211" s="5" t="str">
        <f aca="false">COMPLEX(D211,C211*L_Mp)</f>
        <v>84227064.6983425+97424975.6405332i</v>
      </c>
      <c r="F211" s="5" t="str">
        <f aca="false">IMDIV(1,E211)</f>
        <v>5.0782561748569e-09-5.87399057421452e-09i</v>
      </c>
      <c r="G211" s="5" t="str">
        <f aca="false">COMPLEX(0,C211*L_Cf)</f>
        <v>6.97359104015989e-12i</v>
      </c>
      <c r="H211" s="5" t="str">
        <f aca="false">COMPLEX(0,C211*L_Cbv)</f>
        <v>6.9735910401599e-11i</v>
      </c>
      <c r="I211" s="5" t="str">
        <f aca="false">COMPLEX(L_Rsq+L_Rh,C211*(L_Md+L_Mh)-1/(C211*L_Cd))</f>
        <v>552400610.124532-174651629025.011i</v>
      </c>
      <c r="J211" s="5" t="str">
        <f aca="false">IMDIV(1,I211)</f>
        <v>1.81094192625022e-14+5.72562650533621e-12i</v>
      </c>
      <c r="K211" s="5" t="str">
        <f aca="false">IMSUM(F211,G211,H211)</f>
        <v>5.0782561748569e-09-5.79728107277276e-09i</v>
      </c>
      <c r="L211" s="5" t="str">
        <f aca="false">IMSUM(IMPRODUCT(IMSUM(F211,G211),H211),IMPRODUCT(IMSUM(J211,L_Yv),K211))</f>
        <v>4.52583313452365e-19+3.71513468222761e-19i</v>
      </c>
      <c r="M211" s="37" t="n">
        <f aca="false">IMABS(IMDIV(IMPRODUCT(J211,F211,H211),L211))^2</f>
        <v>2.80360711345038E-023</v>
      </c>
      <c r="N211" s="5" t="str">
        <f aca="false">IMDIV(IMPRODUCT(L_Yv,K211,E211),H211)</f>
        <v>0.000185299542336369-0.0284652935044462i</v>
      </c>
      <c r="O211" s="37" t="n">
        <f aca="false">IMABS(IMSUM(1,IMPRODUCT(E211,G211),N211))^2</f>
        <v>0.999789218239337</v>
      </c>
      <c r="P211" s="37" t="n">
        <f aca="false">IMABS(N211)^2</f>
        <v>0.000810307270214658</v>
      </c>
      <c r="Q211" s="37" t="n">
        <f aca="false">p_Rb^2/(1+(C211*p_Rb*L_Ctot)^2)</f>
        <v>3790118120499258</v>
      </c>
      <c r="R211" s="37" t="n">
        <f aca="false">M211*L_Kt^2*Q211</f>
        <v>2.13258977919144E-005</v>
      </c>
      <c r="S211" s="37" t="n">
        <f aca="false">L_kT4*D211</f>
        <v>1.38685083884842E-012</v>
      </c>
      <c r="T211" s="37" t="n">
        <f aca="false">L_kT4*L_Rsq*O211</f>
        <v>5.16440259229371E-012</v>
      </c>
      <c r="U211" s="37" t="n">
        <f aca="false">L_kT4*L_Rh*O211</f>
        <v>3.92929873693667E-012</v>
      </c>
      <c r="V211" s="37" t="n">
        <f aca="false">L_kT4*p_Rv*P211</f>
        <v>6.67110578676194E-012</v>
      </c>
      <c r="W211" s="37" t="n">
        <f aca="false">L_kT4/p_Rb*Q211/R211</f>
        <v>2.92633141345979E-012</v>
      </c>
      <c r="X211" s="37" t="n">
        <f aca="false">p_en^2*(1+p_fc/B211)/R211</f>
        <v>3.28696474968849E-012</v>
      </c>
      <c r="Y211" s="37" t="n">
        <f aca="false">p_in^2*Q211/R211</f>
        <v>4.44309327265024E-013</v>
      </c>
      <c r="Z211" s="37" t="n">
        <f aca="false">p_eo^2/L_G^2/R211</f>
        <v>2.97271084748801E-012</v>
      </c>
      <c r="AA211" s="37" t="n">
        <f aca="false">SUM(S211:Z211)</f>
        <v>2.67819742927421E-011</v>
      </c>
      <c r="AB211" s="47" t="n">
        <f aca="false">10*LOG10(AA211/L_PREF^2)</f>
        <v>-11.7421740248919</v>
      </c>
      <c r="AC211" s="47" t="n">
        <f aca="false">10*LOG10(S211/L_PREF^2)</f>
        <v>-24.600302377879</v>
      </c>
      <c r="AD211" s="47" t="n">
        <f aca="false">10*LOG10(T211/L_PREF^2)</f>
        <v>-18.8903990087912</v>
      </c>
      <c r="AE211" s="47" t="n">
        <f aca="false">10*LOG10(U211/L_PREF^2)</f>
        <v>-20.0774494269659</v>
      </c>
      <c r="AF211" s="47" t="n">
        <f aca="false">10*LOG10(V211/L_PREF^2)</f>
        <v>-17.7786216381543</v>
      </c>
      <c r="AG211" s="47" t="n">
        <f aca="false">10*LOG10(W211/L_PREF^2)</f>
        <v>-21.3573648194938</v>
      </c>
      <c r="AH211" s="47" t="n">
        <f aca="false">10*LOG10(X211/L_PREF^2)</f>
        <v>-20.852649447145</v>
      </c>
      <c r="AI211" s="47" t="n">
        <f aca="false">10*LOG10(Y211/L_PREF^2)</f>
        <v>-29.543745609653</v>
      </c>
      <c r="AJ211" s="47" t="n">
        <f aca="false">10*LOG10(Z211/L_PREF^2)</f>
        <v>-21.2890732344411</v>
      </c>
      <c r="AK211" s="47" t="n">
        <f aca="false">10*LOG10(R211/$R$6)</f>
        <v>0.00136418801506675</v>
      </c>
      <c r="AL211" s="37" t="n">
        <f aca="false">(12194^2*B211^4/((B211^2+20.6^2)*SQRT((B211^2+107.7^2)*(B211^2+737.9^2))*(B211^2+12194^2))*1.2589254)^2</f>
        <v>1.03344099404962</v>
      </c>
      <c r="AM211" s="37" t="n">
        <f aca="false">0.5*(B211-B210)*(S211*AL211+S210*AL210)</f>
        <v>3.39493790635392E-011</v>
      </c>
      <c r="AN211" s="37" t="n">
        <f aca="false">0.5*(B211-B210)*(T211*AL211+T210*AL210)</f>
        <v>1.26551018954942E-010</v>
      </c>
      <c r="AO211" s="37" t="n">
        <f aca="false">0.5*(B211-B210)*(U211*AL211+U210*AL210)</f>
        <v>9.62854367085371E-011</v>
      </c>
      <c r="AP211" s="37" t="n">
        <f aca="false">0.5*(B211-B210)*(V211*AL211+V210*AL210)</f>
        <v>1.67343728977801E-010</v>
      </c>
      <c r="AQ211" s="37" t="n">
        <f aca="false">0.5*(B211-B210)*(W211*AL211+W210*AL210)</f>
        <v>7.33870685079375E-011</v>
      </c>
      <c r="AR211" s="37" t="n">
        <f aca="false">0.5*(B211-B210)*(X211*AL211+X210*AL210)</f>
        <v>8.06284430290412E-011</v>
      </c>
      <c r="AS211" s="37" t="n">
        <f aca="false">0.5*(B211-B210)*(Y211*AL211+Y210*AL210)</f>
        <v>1.11424696767901E-011</v>
      </c>
      <c r="AT211" s="37" t="n">
        <f aca="false">0.5*(B211-B210)*(Z211*AL211+Z210*AL210)</f>
        <v>7.28466323772405E-011</v>
      </c>
      <c r="AU211" s="37" t="n">
        <f aca="false">0.5*(B211-B210)*(AA211*AL211+AA210*AL210)</f>
        <v>6.62134177295828E-010</v>
      </c>
      <c r="AV211" s="37" t="n">
        <f aca="false">0.5*(B211-B210)*(S211+S210)</f>
        <v>3.31024147297572E-011</v>
      </c>
      <c r="AW211" s="37" t="n">
        <f aca="false">0.5*(B211-B210)*(T211+T210)</f>
        <v>1.23394815837765E-010</v>
      </c>
      <c r="AX211" s="37" t="n">
        <f aca="false">0.5*(B211-B210)*(U211+U210)</f>
        <v>9.38840621642006E-011</v>
      </c>
      <c r="AY211" s="37" t="n">
        <f aca="false">0.5*(B211-B210)*(V211+V210)</f>
        <v>1.63199313158731E-010</v>
      </c>
      <c r="AZ211" s="37" t="n">
        <f aca="false">0.5*(B211-B210)*(W211+W210)</f>
        <v>7.15694289519647E-011</v>
      </c>
      <c r="BA211" s="37" t="n">
        <f aca="false">0.5*(B211-B210)*(X211+X210)</f>
        <v>7.86181821942192E-011</v>
      </c>
      <c r="BB211" s="37" t="n">
        <f aca="false">0.5*(B211-B210)*(Y211+Y210)</f>
        <v>1.08664947121603E-011</v>
      </c>
      <c r="BC211" s="37" t="n">
        <f aca="false">0.5*(B211-B210)*(Z211+Z210)</f>
        <v>7.10298396690277E-011</v>
      </c>
      <c r="BD211" s="37" t="n">
        <f aca="false">0.5*(B211-B210)*(AA211+AA210)</f>
        <v>6.45664551417825E-010</v>
      </c>
      <c r="BE211" s="37" t="n">
        <f aca="false">IF(B211&gt;2000,AK211,-999)</f>
        <v>-999</v>
      </c>
      <c r="BF211" s="37" t="n">
        <f aca="false">IF(AND(B211&lt;1000,AK211&gt;=-3),B211,1000000000)</f>
        <v>1000000000</v>
      </c>
    </row>
    <row r="212" customFormat="false" ht="15" hidden="false" customHeight="false" outlineLevel="0" collapsed="false">
      <c r="A212" s="5" t="n">
        <v>173</v>
      </c>
      <c r="B212" s="47" t="n">
        <f aca="false">20*10^(A212/100)</f>
        <v>1074.06359274051</v>
      </c>
      <c r="C212" s="37" t="n">
        <f aca="false">2*PI()*B212</f>
        <v>6748.54058488366</v>
      </c>
      <c r="D212" s="37" t="n">
        <f aca="false">SQRT(L_Rp0^2+L_Rp1^2*C212)</f>
        <v>84395478.7725904</v>
      </c>
      <c r="E212" s="5" t="str">
        <f aca="false">COMPLEX(D212,C212*L_Mp)</f>
        <v>84395478.7725904+99694294.8460808i</v>
      </c>
      <c r="F212" s="5" t="str">
        <f aca="false">IMDIV(1,E212)</f>
        <v>4.9465307913159e-09-5.84321466441903e-09i</v>
      </c>
      <c r="G212" s="5" t="str">
        <f aca="false">COMPLEX(0,C212*L_Cf)</f>
        <v>7.13602684242747e-12i</v>
      </c>
      <c r="H212" s="5" t="str">
        <f aca="false">COMPLEX(0,C212*L_Cbv)</f>
        <v>7.13602684242748e-11i</v>
      </c>
      <c r="I212" s="5" t="str">
        <f aca="false">COMPLEX(L_Rsq+L_Rh,C212*(L_Md+L_Mh)-1/(C212*L_Cd))</f>
        <v>552400610.124532-170674928115.604i</v>
      </c>
      <c r="J212" s="5" t="str">
        <f aca="false">IMDIV(1,I212)</f>
        <v>1.89631352692383e-14+5.85903000395688e-12i</v>
      </c>
      <c r="K212" s="5" t="str">
        <f aca="false">IMSUM(F212,G212,H212)</f>
        <v>4.9465307913159e-09-5.76471836915233e-09i</v>
      </c>
      <c r="L212" s="5" t="str">
        <f aca="false">IMSUM(IMPRODUCT(IMSUM(F212,G212),H212),IMPRODUCT(IMSUM(J212,L_Yv),K212))</f>
        <v>4.60226659327008e-19+3.70328883486531e-19i</v>
      </c>
      <c r="M212" s="37" t="n">
        <f aca="false">IMABS(IMDIV(IMPRODUCT(J212,F212,H212),L212))^2</f>
        <v>2.93619376835622E-023</v>
      </c>
      <c r="N212" s="5" t="str">
        <f aca="false">IMDIV(IMPRODUCT(L_Yv,K212,E212),H212)</f>
        <v>0.000185670053299678-0.0278074729566977i</v>
      </c>
      <c r="O212" s="37" t="n">
        <f aca="false">IMABS(IMSUM(1,IMPRODUCT(E212,G212),N212))^2</f>
        <v>0.999688898435789</v>
      </c>
      <c r="P212" s="37" t="n">
        <f aca="false">IMABS(N212)^2</f>
        <v>0.000773290025606167</v>
      </c>
      <c r="Q212" s="37" t="n">
        <f aca="false">p_Rb^2/(1+(C212*p_Rb*L_Ctot)^2)</f>
        <v>3619534705839720</v>
      </c>
      <c r="R212" s="37" t="n">
        <f aca="false">M212*L_Kt^2*Q212</f>
        <v>2.13292155361643E-005</v>
      </c>
      <c r="S212" s="37" t="n">
        <f aca="false">L_kT4*D212</f>
        <v>1.38962388099326E-012</v>
      </c>
      <c r="T212" s="37" t="n">
        <f aca="false">L_kT4*L_Rsq*O212</f>
        <v>5.16388439121287E-012</v>
      </c>
      <c r="U212" s="37" t="n">
        <f aca="false">L_kT4*L_Rh*O212</f>
        <v>3.92890446735446E-012</v>
      </c>
      <c r="V212" s="37" t="n">
        <f aca="false">L_kT4*p_Rv*P212</f>
        <v>6.36634984565794E-012</v>
      </c>
      <c r="W212" s="37" t="n">
        <f aca="false">L_kT4/p_Rb*Q212/R212</f>
        <v>2.79419010267916E-012</v>
      </c>
      <c r="X212" s="37" t="n">
        <f aca="false">p_en^2*(1+p_fc/B212)/R212</f>
        <v>3.27994617142409E-012</v>
      </c>
      <c r="Y212" s="37" t="n">
        <f aca="false">p_in^2*Q212/R212</f>
        <v>4.24246112064307E-013</v>
      </c>
      <c r="Z212" s="37" t="n">
        <f aca="false">p_eo^2/L_G^2/R212</f>
        <v>2.97224844443788E-012</v>
      </c>
      <c r="AA212" s="37" t="n">
        <f aca="false">SUM(S212:Z212)</f>
        <v>2.6319393415824E-011</v>
      </c>
      <c r="AB212" s="47" t="n">
        <f aca="false">10*LOG10(AA212/L_PREF^2)</f>
        <v>-11.8178411547404</v>
      </c>
      <c r="AC212" s="47" t="n">
        <f aca="false">10*LOG10(S212/L_PREF^2)</f>
        <v>-24.5916272237821</v>
      </c>
      <c r="AD212" s="47" t="n">
        <f aca="false">10*LOG10(T212/L_PREF^2)</f>
        <v>-18.8908348058802</v>
      </c>
      <c r="AE212" s="47" t="n">
        <f aca="false">10*LOG10(U212/L_PREF^2)</f>
        <v>-20.0778852240549</v>
      </c>
      <c r="AF212" s="47" t="n">
        <f aca="false">10*LOG10(V212/L_PREF^2)</f>
        <v>-17.9816949090034</v>
      </c>
      <c r="AG212" s="47" t="n">
        <f aca="false">10*LOG10(W212/L_PREF^2)</f>
        <v>-21.5580404132647</v>
      </c>
      <c r="AH212" s="47" t="n">
        <f aca="false">10*LOG10(X212/L_PREF^2)</f>
        <v>-20.8619327494717</v>
      </c>
      <c r="AI212" s="47" t="n">
        <f aca="false">10*LOG10(Y212/L_PREF^2)</f>
        <v>-29.7444212034238</v>
      </c>
      <c r="AJ212" s="47" t="n">
        <f aca="false">10*LOG10(Z212/L_PREF^2)</f>
        <v>-21.2897488289528</v>
      </c>
      <c r="AK212" s="47" t="n">
        <f aca="false">10*LOG10(R212/$R$6)</f>
        <v>0.00203978252675052</v>
      </c>
      <c r="AL212" s="37" t="n">
        <f aca="false">(12194^2*B212^4/((B212^2+20.6^2)*SQRT((B212^2+107.7^2)*(B212^2+737.9^2))*(B212^2+12194^2))*1.2589254)^2</f>
        <v>1.04885936902877</v>
      </c>
      <c r="AM212" s="37" t="n">
        <f aca="false">0.5*(B212-B211)*(S212*AL212+S211*AL211)</f>
        <v>3.53374817500106E-011</v>
      </c>
      <c r="AN212" s="37" t="n">
        <f aca="false">0.5*(B212-B211)*(T212*AL212+T211*AL211)</f>
        <v>1.31451878705333E-010</v>
      </c>
      <c r="AO212" s="37" t="n">
        <f aca="false">0.5*(B212-B211)*(U212*AL212+U211*AL211)</f>
        <v>1.00014220761092E-010</v>
      </c>
      <c r="AP212" s="37" t="n">
        <f aca="false">0.5*(B212-B211)*(V212*AL212+V211*AL211)</f>
        <v>1.65903798599074E-010</v>
      </c>
      <c r="AQ212" s="37" t="n">
        <f aca="false">0.5*(B212-B211)*(W212*AL212+W211*AL211)</f>
        <v>7.27947396616919E-011</v>
      </c>
      <c r="AR212" s="37" t="n">
        <f aca="false">0.5*(B212-B211)*(X212*AL212+X211*AL211)</f>
        <v>8.35788421177383E-011</v>
      </c>
      <c r="AS212" s="37" t="n">
        <f aca="false">0.5*(B212-B211)*(Y212*AL212+Y211*AL211)</f>
        <v>1.10525354916241E-011</v>
      </c>
      <c r="AT212" s="37" t="n">
        <f aca="false">0.5*(B212-B211)*(Z212*AL212+Z211*AL211)</f>
        <v>7.56636516053616E-011</v>
      </c>
      <c r="AU212" s="37" t="n">
        <f aca="false">0.5*(B212-B211)*(AA212*AL212+AA211*AL211)</f>
        <v>6.75797148691925E-010</v>
      </c>
      <c r="AV212" s="37" t="n">
        <f aca="false">0.5*(B212-B211)*(S212+S211)</f>
        <v>3.39405602053607E-011</v>
      </c>
      <c r="AW212" s="37" t="n">
        <f aca="false">0.5*(B212-B211)*(T212+T211)</f>
        <v>1.26256451635165E-010</v>
      </c>
      <c r="AX212" s="37" t="n">
        <f aca="false">0.5*(B212-B211)*(U212+U211)</f>
        <v>9.60613172722892E-011</v>
      </c>
      <c r="AY212" s="37" t="n">
        <f aca="false">0.5*(B212-B211)*(V212+V211)</f>
        <v>1.59374239806548E-010</v>
      </c>
      <c r="AZ212" s="37" t="n">
        <f aca="false">0.5*(B212-B211)*(W212+W211)</f>
        <v>6.99295777977214E-011</v>
      </c>
      <c r="BA212" s="37" t="n">
        <f aca="false">0.5*(B212-B211)*(X212+X211)</f>
        <v>8.02761263729323E-011</v>
      </c>
      <c r="BB212" s="37" t="n">
        <f aca="false">0.5*(B212-B211)*(Y212+Y211)</f>
        <v>1.06175136296331E-011</v>
      </c>
      <c r="BC212" s="37" t="n">
        <f aca="false">0.5*(B212-B211)*(Z212+Z211)</f>
        <v>7.2673180607074E-011</v>
      </c>
      <c r="BD212" s="37" t="n">
        <f aca="false">0.5*(B212-B211)*(AA212+AA211)</f>
        <v>6.49128967326724E-010</v>
      </c>
      <c r="BE212" s="37" t="n">
        <f aca="false">IF(B212&gt;2000,AK212,-999)</f>
        <v>-999</v>
      </c>
      <c r="BF212" s="37" t="n">
        <f aca="false">IF(AND(B212&lt;1000,AK212&gt;=-3),B212,1000000000)</f>
        <v>1000000000</v>
      </c>
    </row>
    <row r="213" customFormat="false" ht="15" hidden="false" customHeight="false" outlineLevel="0" collapsed="false">
      <c r="A213" s="5" t="n">
        <v>174</v>
      </c>
      <c r="B213" s="47" t="n">
        <f aca="false">20*10^(A213/100)</f>
        <v>1099.08174771525</v>
      </c>
      <c r="C213" s="37" t="n">
        <f aca="false">2*PI()*B213</f>
        <v>6905.73428863371</v>
      </c>
      <c r="D213" s="37" t="n">
        <f aca="false">SQRT(L_Rp0^2+L_Rp1^2*C213)</f>
        <v>84567468.5132843</v>
      </c>
      <c r="E213" s="5" t="str">
        <f aca="false">COMPLEX(D213,C213*L_Mp)</f>
        <v>84567468.5132843+102016473.286366i</v>
      </c>
      <c r="F213" s="5" t="str">
        <f aca="false">IMDIV(1,E213)</f>
        <v>4.81618451945132e-09-5.80991920425802e-09i</v>
      </c>
      <c r="G213" s="5" t="str">
        <f aca="false">COMPLEX(0,C213*L_Cf)</f>
        <v>7.30224626058339e-12i</v>
      </c>
      <c r="H213" s="5" t="str">
        <f aca="false">COMPLEX(0,C213*L_Cbv)</f>
        <v>7.30224626058339e-11i</v>
      </c>
      <c r="I213" s="5" t="str">
        <f aca="false">COMPLEX(L_Rsq+L_Rh,C213*(L_Md+L_Mh)-1/(C213*L_Cd))</f>
        <v>552400610.124532-166788721312.234i</v>
      </c>
      <c r="J213" s="5" t="str">
        <f aca="false">IMDIV(1,I213)</f>
        <v>1.98571093499694e-14+5.99554348191607e-12i</v>
      </c>
      <c r="K213" s="5" t="str">
        <f aca="false">IMSUM(F213,G213,H213)</f>
        <v>4.81618451945132e-09-5.7295944953916e-09i</v>
      </c>
      <c r="L213" s="5" t="str">
        <f aca="false">IMSUM(IMPRODUCT(IMSUM(F213,G213),H213),IMPRODUCT(IMSUM(J213,L_Yv),K213))</f>
        <v>4.67801417303768e-19+3.68992335502522e-19i</v>
      </c>
      <c r="M213" s="37" t="n">
        <f aca="false">IMABS(IMDIV(IMPRODUCT(J213,F213,H213),L213))^2</f>
        <v>3.07506430351839E-023</v>
      </c>
      <c r="N213" s="5" t="str">
        <f aca="false">IMDIV(IMPRODUCT(L_Yv,K213,E213),H213)</f>
        <v>0.000186048430729208-0.0271643962991864i</v>
      </c>
      <c r="O213" s="37" t="n">
        <f aca="false">IMABS(IMSUM(1,IMPRODUCT(E213,G213),N213))^2</f>
        <v>0.999587246389214</v>
      </c>
      <c r="P213" s="37" t="n">
        <f aca="false">IMABS(N213)^2</f>
        <v>0.000737939040317829</v>
      </c>
      <c r="Q213" s="37" t="n">
        <f aca="false">p_Rb^2/(1+(C213*p_Rb*L_Ctot)^2)</f>
        <v>3456628809487320</v>
      </c>
      <c r="R213" s="37" t="n">
        <f aca="false">M213*L_Kt^2*Q213</f>
        <v>2.13326285921569E-005</v>
      </c>
      <c r="S213" s="37" t="n">
        <f aca="false">L_kT4*D213</f>
        <v>1.39245579870295E-012</v>
      </c>
      <c r="T213" s="37" t="n">
        <f aca="false">L_kT4*L_Rsq*O213</f>
        <v>5.16335930844215E-012</v>
      </c>
      <c r="U213" s="37" t="n">
        <f aca="false">L_kT4*L_Rh*O213</f>
        <v>3.92850496188778E-012</v>
      </c>
      <c r="V213" s="37" t="n">
        <f aca="false">L_kT4*p_Rv*P213</f>
        <v>6.07531190092582E-012</v>
      </c>
      <c r="W213" s="37" t="n">
        <f aca="false">L_kT4/p_Rb*Q213/R213</f>
        <v>2.66800390408164E-012</v>
      </c>
      <c r="X213" s="37" t="n">
        <f aca="false">p_en^2*(1+p_fc/B213)/R213</f>
        <v>3.27306325359374E-012</v>
      </c>
      <c r="Y213" s="37" t="n">
        <f aca="false">p_in^2*Q213/R213</f>
        <v>4.0508707055892E-013</v>
      </c>
      <c r="Z213" s="37" t="n">
        <f aca="false">p_eo^2/L_G^2/R213</f>
        <v>2.97177290761779E-012</v>
      </c>
      <c r="AA213" s="37" t="n">
        <f aca="false">SUM(S213:Z213)</f>
        <v>2.58775591058108E-011</v>
      </c>
      <c r="AB213" s="47" t="n">
        <f aca="false">10*LOG10(AA213/L_PREF^2)</f>
        <v>-11.8913668211611</v>
      </c>
      <c r="AC213" s="47" t="n">
        <f aca="false">10*LOG10(S213/L_PREF^2)</f>
        <v>-24.5827857325173</v>
      </c>
      <c r="AD213" s="47" t="n">
        <f aca="false">10*LOG10(T213/L_PREF^2)</f>
        <v>-18.8912764349474</v>
      </c>
      <c r="AE213" s="47" t="n">
        <f aca="false">10*LOG10(U213/L_PREF^2)</f>
        <v>-20.0783268531221</v>
      </c>
      <c r="AF213" s="47" t="n">
        <f aca="false">10*LOG10(V213/L_PREF^2)</f>
        <v>-18.1849141220596</v>
      </c>
      <c r="AG213" s="47" t="n">
        <f aca="false">10*LOG10(W213/L_PREF^2)</f>
        <v>-21.7587353058125</v>
      </c>
      <c r="AH213" s="47" t="n">
        <f aca="false">10*LOG10(X213/L_PREF^2)</f>
        <v>-20.8710559297954</v>
      </c>
      <c r="AI213" s="47" t="n">
        <f aca="false">10*LOG10(Y213/L_PREF^2)</f>
        <v>-29.9451160959717</v>
      </c>
      <c r="AJ213" s="47" t="n">
        <f aca="false">10*LOG10(Z213/L_PREF^2)</f>
        <v>-21.2904437222081</v>
      </c>
      <c r="AK213" s="47" t="n">
        <f aca="false">10*LOG10(R213/$R$6)</f>
        <v>0.00273467578206131</v>
      </c>
      <c r="AL213" s="37" t="n">
        <f aca="false">(12194^2*B213^4/((B213^2+20.6^2)*SQRT((B213^2+107.7^2)*(B213^2+737.9^2))*(B213^2+12194^2))*1.2589254)^2</f>
        <v>1.06395776263373</v>
      </c>
      <c r="AM213" s="37" t="n">
        <f aca="false">0.5*(B213-B212)*(S213*AL213+S212*AL212)</f>
        <v>3.67646063351861E-011</v>
      </c>
      <c r="AN213" s="37" t="n">
        <f aca="false">0.5*(B213-B212)*(T213*AL213+T212*AL212)</f>
        <v>1.36471342705588E-010</v>
      </c>
      <c r="AO213" s="37" t="n">
        <f aca="false">0.5*(B213-B212)*(U213*AL213+U212*AL212)</f>
        <v>1.03833244007988E-010</v>
      </c>
      <c r="AP213" s="37" t="n">
        <f aca="false">0.5*(B213-B212)*(V213*AL213+V212*AL212)</f>
        <v>1.64385301556082E-010</v>
      </c>
      <c r="AQ213" s="37" t="n">
        <f aca="false">0.5*(B213-B212)*(W213*AL213+W212*AL212)</f>
        <v>7.21693204122115E-011</v>
      </c>
      <c r="AR213" s="37" t="n">
        <f aca="false">0.5*(B213-B212)*(X213*AL213+X212*AL212)</f>
        <v>8.65953814450462E-011</v>
      </c>
      <c r="AS213" s="37" t="n">
        <f aca="false">0.5*(B213-B212)*(Y213*AL213+Y212*AL212)</f>
        <v>1.09575771404554E-011</v>
      </c>
      <c r="AT213" s="37" t="n">
        <f aca="false">0.5*(B213-B212)*(Z213*AL213+Z212*AL212)</f>
        <v>7.85483938941104E-011</v>
      </c>
      <c r="AU213" s="37" t="n">
        <f aca="false">0.5*(B213-B212)*(AA213*AL213+AA212*AL212)</f>
        <v>6.89725167496666E-010</v>
      </c>
      <c r="AV213" s="37" t="n">
        <f aca="false">0.5*(B213-B212)*(S213+S212)</f>
        <v>3.48012502893623E-011</v>
      </c>
      <c r="AW213" s="37" t="n">
        <f aca="false">0.5*(B213-B212)*(T213+T212)</f>
        <v>1.29184291669957E-010</v>
      </c>
      <c r="AX213" s="37" t="n">
        <f aca="false">0.5*(B213-B212)*(U213+U212)</f>
        <v>9.82889434003968E-011</v>
      </c>
      <c r="AY213" s="37" t="n">
        <f aca="false">0.5*(B213-B212)*(V213+V212)</f>
        <v>1.55633710859685E-010</v>
      </c>
      <c r="AZ213" s="37" t="n">
        <f aca="false">0.5*(B213-B212)*(W213+W212)</f>
        <v>6.83270080816285E-011</v>
      </c>
      <c r="BA213" s="37" t="n">
        <f aca="false">0.5*(B213-B212)*(X213+X212)</f>
        <v>8.19721026730255E-011</v>
      </c>
      <c r="BB213" s="37" t="n">
        <f aca="false">0.5*(B213-B212)*(Y213+Y212)</f>
        <v>1.03741930442826E-011</v>
      </c>
      <c r="BC213" s="37" t="n">
        <f aca="false">0.5*(B213-B212)*(Z213+Z212)</f>
        <v>7.43542236794567E-011</v>
      </c>
      <c r="BD213" s="37" t="n">
        <f aca="false">0.5*(B213-B212)*(AA213+AA212)</f>
        <v>6.52935723697794E-010</v>
      </c>
      <c r="BE213" s="37" t="n">
        <f aca="false">IF(B213&gt;2000,AK213,-999)</f>
        <v>-999</v>
      </c>
      <c r="BF213" s="37" t="n">
        <f aca="false">IF(AND(B213&lt;1000,AK213&gt;=-3),B213,1000000000)</f>
        <v>1000000000</v>
      </c>
    </row>
    <row r="214" customFormat="false" ht="15" hidden="false" customHeight="false" outlineLevel="0" collapsed="false">
      <c r="A214" s="5" t="n">
        <v>175</v>
      </c>
      <c r="B214" s="47" t="n">
        <f aca="false">20*10^(A214/100)</f>
        <v>1124.6826503807</v>
      </c>
      <c r="C214" s="37" t="n">
        <f aca="false">2*PI()*B214</f>
        <v>7066.5895041118</v>
      </c>
      <c r="D214" s="37" t="n">
        <f aca="false">SQRT(L_Rp0^2+L_Rp1^2*C214)</f>
        <v>84743103.0592498</v>
      </c>
      <c r="E214" s="5" t="str">
        <f aca="false">COMPLEX(D214,C214*L_Mp)</f>
        <v>84743103.0592498+104392742.211135i</v>
      </c>
      <c r="F214" s="5" t="str">
        <f aca="false">IMDIV(1,E214)</f>
        <v>4.68731604680699e-09-5.77417816992516e-09i</v>
      </c>
      <c r="G214" s="5" t="str">
        <f aca="false">COMPLEX(0,C214*L_Cf)</f>
        <v>7.47233742636333e-12i</v>
      </c>
      <c r="H214" s="5" t="str">
        <f aca="false">COMPLEX(0,C214*L_Cbv)</f>
        <v>7.47233742636333e-11i</v>
      </c>
      <c r="I214" s="5" t="str">
        <f aca="false">COMPLEX(L_Rsq+L_Rh,C214*(L_Md+L_Mh)-1/(C214*L_Cd))</f>
        <v>552400610.124532-162990948096.613i</v>
      </c>
      <c r="J214" s="5" t="str">
        <f aca="false">IMDIV(1,I214)</f>
        <v>2.07932410944679e-14+6.13523956685122e-12i</v>
      </c>
      <c r="K214" s="5" t="str">
        <f aca="false">IMSUM(F214,G214,H214)</f>
        <v>4.68731604680699e-09-5.69198245823516e-09i</v>
      </c>
      <c r="L214" s="5" t="str">
        <f aca="false">IMSUM(IMPRODUCT(IMSUM(F214,G214),H214),IMPRODUCT(IMSUM(J214,L_Yv),K214))</f>
        <v>4.75301490767934e-19+3.6750755845017e-19i</v>
      </c>
      <c r="M214" s="37" t="n">
        <f aca="false">IMABS(IMDIV(IMPRODUCT(J214,F214,H214),L214))^2</f>
        <v>3.22051828436229E-023</v>
      </c>
      <c r="N214" s="5" t="str">
        <f aca="false">IMDIV(IMPRODUCT(L_Yv,K214,E214),H214)</f>
        <v>0.000186434826730365-0.026535722564156i</v>
      </c>
      <c r="O214" s="37" t="n">
        <f aca="false">IMABS(IMSUM(1,IMPRODUCT(E214,G214),N214))^2</f>
        <v>0.999484045622059</v>
      </c>
      <c r="P214" s="37" t="n">
        <f aca="false">IMABS(N214)^2</f>
        <v>0.000704179329946476</v>
      </c>
      <c r="Q214" s="37" t="n">
        <f aca="false">p_Rb^2/(1+(C214*p_Rb*L_Ctot)^2)</f>
        <v>3301054886202050</v>
      </c>
      <c r="R214" s="37" t="n">
        <f aca="false">M214*L_Kt^2*Q214</f>
        <v>2.13361442861817E-005</v>
      </c>
      <c r="S214" s="37" t="n">
        <f aca="false">L_kT4*D214</f>
        <v>1.39534773039112E-012</v>
      </c>
      <c r="T214" s="37" t="n">
        <f aca="false">L_kT4*L_Rsq*O214</f>
        <v>5.16282622576863E-012</v>
      </c>
      <c r="U214" s="37" t="n">
        <f aca="false">L_kT4*L_Rh*O214</f>
        <v>3.92809936975232E-012</v>
      </c>
      <c r="V214" s="37" t="n">
        <f aca="false">L_kT4*p_Rv*P214</f>
        <v>5.79737462022232E-012</v>
      </c>
      <c r="W214" s="37" t="n">
        <f aca="false">L_kT4/p_Rb*Q214/R214</f>
        <v>2.54750411041797E-012</v>
      </c>
      <c r="X214" s="37" t="n">
        <f aca="false">p_en^2*(1+p_fc/B214)/R214</f>
        <v>3.2663115311448E-012</v>
      </c>
      <c r="Y214" s="37" t="n">
        <f aca="false">p_in^2*Q214/R214</f>
        <v>3.8679140452054E-013</v>
      </c>
      <c r="Z214" s="37" t="n">
        <f aca="false">p_eo^2/L_G^2/R214</f>
        <v>2.97128322944003E-012</v>
      </c>
      <c r="AA214" s="37" t="n">
        <f aca="false">SUM(S214:Z214)</f>
        <v>2.54555382216577E-011</v>
      </c>
      <c r="AB214" s="47" t="n">
        <f aca="false">10*LOG10(AA214/L_PREF^2)</f>
        <v>-11.9627770730975</v>
      </c>
      <c r="AC214" s="47" t="n">
        <f aca="false">10*LOG10(S214/L_PREF^2)</f>
        <v>-24.5737754101498</v>
      </c>
      <c r="AD214" s="47" t="n">
        <f aca="false">10*LOG10(T214/L_PREF^2)</f>
        <v>-18.8917248384027</v>
      </c>
      <c r="AE214" s="47" t="n">
        <f aca="false">10*LOG10(U214/L_PREF^2)</f>
        <v>-20.0787752565775</v>
      </c>
      <c r="AF214" s="47" t="n">
        <f aca="false">10*LOG10(V214/L_PREF^2)</f>
        <v>-18.388286263999</v>
      </c>
      <c r="AG214" s="47" t="n">
        <f aca="false">10*LOG10(W214/L_PREF^2)</f>
        <v>-21.9594509791136</v>
      </c>
      <c r="AH214" s="47" t="n">
        <f aca="false">10*LOG10(X214/L_PREF^2)</f>
        <v>-20.8800238722712</v>
      </c>
      <c r="AI214" s="47" t="n">
        <f aca="false">10*LOG10(Y214/L_PREF^2)</f>
        <v>-30.1458317692728</v>
      </c>
      <c r="AJ214" s="47" t="n">
        <f aca="false">10*LOG10(Z214/L_PREF^2)</f>
        <v>-21.2911593961848</v>
      </c>
      <c r="AK214" s="47" t="n">
        <f aca="false">10*LOG10(R214/$R$6)</f>
        <v>0.00345034975883405</v>
      </c>
      <c r="AL214" s="37" t="n">
        <f aca="false">(12194^2*B214^4/((B214^2+20.6^2)*SQRT((B214^2+107.7^2)*(B214^2+737.9^2))*(B214^2+12194^2))*1.2589254)^2</f>
        <v>1.07872369159448</v>
      </c>
      <c r="AM214" s="37" t="n">
        <f aca="false">0.5*(B214-B213)*(S214*AL214+S213*AL213)</f>
        <v>3.8231220779455E-011</v>
      </c>
      <c r="AN214" s="37" t="n">
        <f aca="false">0.5*(B214-B213)*(T214*AL214+T213*AL213)</f>
        <v>1.41609590570294E-010</v>
      </c>
      <c r="AO214" s="37" t="n">
        <f aca="false">0.5*(B214-B213)*(U214*AL214+U213*AL213)</f>
        <v>1.07742643107698E-010</v>
      </c>
      <c r="AP214" s="37" t="n">
        <f aca="false">0.5*(B214-B213)*(V214*AL214+V213*AL213)</f>
        <v>1.62791539686342E-010</v>
      </c>
      <c r="AQ214" s="37" t="n">
        <f aca="false">0.5*(B214-B213)*(W214*AL214+W213*AL213)</f>
        <v>7.15122366951384E-011</v>
      </c>
      <c r="AR214" s="37" t="n">
        <f aca="false">0.5*(B214-B213)*(X214*AL214+X213*AL213)</f>
        <v>8.96780251883142E-011</v>
      </c>
      <c r="AS214" s="37" t="n">
        <f aca="false">0.5*(B214-B213)*(Y214*AL214+Y213*AL213)</f>
        <v>1.08578111252506E-011</v>
      </c>
      <c r="AT214" s="37" t="n">
        <f aca="false">0.5*(B214-B213)*(Z214*AL214+Z213*AL213)</f>
        <v>8.1500914839863E-011</v>
      </c>
      <c r="AU214" s="37" t="n">
        <f aca="false">0.5*(B214-B213)*(AA214*AL214+AA213*AL213)</f>
        <v>7.03923981992355E-010</v>
      </c>
      <c r="AV214" s="37" t="n">
        <f aca="false">0.5*(B214-B213)*(S214+S213)</f>
        <v>3.56851433993663E-011</v>
      </c>
      <c r="AW214" s="37" t="n">
        <f aca="false">0.5*(B214-B213)*(T214+T213)</f>
        <v>1.32179835383349E-010</v>
      </c>
      <c r="AX214" s="37" t="n">
        <f aca="false">0.5*(B214-B213)*(U214+U213)</f>
        <v>1.00568081387632E-010</v>
      </c>
      <c r="AY214" s="37" t="n">
        <f aca="false">0.5*(B214-B213)*(V214+V213)</f>
        <v>1.51975746002651E-010</v>
      </c>
      <c r="AZ214" s="37" t="n">
        <f aca="false">0.5*(B214-B213)*(W214+W213)</f>
        <v>6.67608565150368E-011</v>
      </c>
      <c r="BA214" s="37" t="n">
        <f aca="false">0.5*(B214-B213)*(X214+X213)</f>
        <v>8.37069486784913E-011</v>
      </c>
      <c r="BB214" s="37" t="n">
        <f aca="false">0.5*(B214-B213)*(Y214+Y213)</f>
        <v>1.01364018816867E-011</v>
      </c>
      <c r="BC214" s="37" t="n">
        <f aca="false">0.5*(B214-B213)*(Z214+Z213)</f>
        <v>7.60738008500582E-011</v>
      </c>
      <c r="BD214" s="37" t="n">
        <f aca="false">0.5*(B214-B213)*(AA214+AA213)</f>
        <v>6.5708681409827E-010</v>
      </c>
      <c r="BE214" s="37" t="n">
        <f aca="false">IF(B214&gt;2000,AK214,-999)</f>
        <v>-999</v>
      </c>
      <c r="BF214" s="37" t="n">
        <f aca="false">IF(AND(B214&lt;1000,AK214&gt;=-3),B214,1000000000)</f>
        <v>1000000000</v>
      </c>
    </row>
    <row r="215" customFormat="false" ht="15" hidden="false" customHeight="false" outlineLevel="0" collapsed="false">
      <c r="A215" s="5" t="n">
        <v>176</v>
      </c>
      <c r="B215" s="47" t="n">
        <f aca="false">20*10^(A215/100)</f>
        <v>1150.87987467431</v>
      </c>
      <c r="C215" s="37" t="n">
        <f aca="false">2*PI()*B215</f>
        <v>7231.19151888233</v>
      </c>
      <c r="D215" s="37" t="n">
        <f aca="false">SQRT(L_Rp0^2+L_Rp1^2*C215)</f>
        <v>84922452.6270169</v>
      </c>
      <c r="E215" s="5" t="str">
        <f aca="false">COMPLEX(D215,C215*L_Mp)</f>
        <v>84922452.6270169+106824361.549626i</v>
      </c>
      <c r="F215" s="5" t="str">
        <f aca="false">IMDIV(1,E215)</f>
        <v>4.56001902368386e-09-5.73606985891746e-09i</v>
      </c>
      <c r="G215" s="5" t="str">
        <f aca="false">COMPLEX(0,C215*L_Cf)</f>
        <v>7.6463905243548e-12i</v>
      </c>
      <c r="H215" s="5" t="str">
        <f aca="false">COMPLEX(0,C215*L_Cbv)</f>
        <v>7.6463905243548e-11i</v>
      </c>
      <c r="I215" s="5" t="str">
        <f aca="false">COMPLEX(L_Rsq+L_Rh,C215*(L_Md+L_Mh)-1/(C215*L_Cd))</f>
        <v>552400610.124532-159279594839.114i</v>
      </c>
      <c r="J215" s="5" t="str">
        <f aca="false">IMDIV(1,I215)</f>
        <v>2.1773519838e-14+6.27819259148939e-12i</v>
      </c>
      <c r="K215" s="5" t="str">
        <f aca="false">IMSUM(F215,G215,H215)</f>
        <v>4.56001902368386e-09-5.65195956314956e-09i</v>
      </c>
      <c r="L215" s="5" t="str">
        <f aca="false">IMSUM(IMPRODUCT(IMSUM(F215,G215),H215),IMPRODUCT(IMSUM(J215,L_Yv),K215))</f>
        <v>4.82721045650932e-19+3.65878558007311e-19i</v>
      </c>
      <c r="M215" s="37" t="n">
        <f aca="false">IMABS(IMDIV(IMPRODUCT(J215,F215,H215),L215))^2</f>
        <v>3.37286972575347E-023</v>
      </c>
      <c r="N215" s="5" t="str">
        <f aca="false">IMDIV(IMPRODUCT(L_Yv,K215,E215),H215)</f>
        <v>0.000186829395779423-0.0259211184204711i</v>
      </c>
      <c r="O215" s="37" t="n">
        <f aca="false">IMABS(IMSUM(1,IMPRODUCT(E215,G215),N215))^2</f>
        <v>0.999379076375979</v>
      </c>
      <c r="P215" s="37" t="n">
        <f aca="false">IMABS(N215)^2</f>
        <v>0.000671939285391214</v>
      </c>
      <c r="Q215" s="37" t="n">
        <f aca="false">p_Rb^2/(1+(C215*p_Rb*L_Ctot)^2)</f>
        <v>3152482942841170</v>
      </c>
      <c r="R215" s="37" t="n">
        <f aca="false">M215*L_Kt^2*Q215</f>
        <v>2.1339770170084E-005</v>
      </c>
      <c r="S215" s="37" t="n">
        <f aca="false">L_kT4*D215</f>
        <v>1.39830083221648E-012</v>
      </c>
      <c r="T215" s="37" t="n">
        <f aca="false">L_kT4*L_Rsq*O215</f>
        <v>5.16228400803245E-012</v>
      </c>
      <c r="U215" s="37" t="n">
        <f aca="false">L_kT4*L_Rh*O215</f>
        <v>3.92768682726986E-012</v>
      </c>
      <c r="V215" s="37" t="n">
        <f aca="false">L_kT4*p_Rv*P215</f>
        <v>5.53194845942643E-012</v>
      </c>
      <c r="W215" s="37" t="n">
        <f aca="false">L_kT4/p_Rb*Q215/R215</f>
        <v>2.43243416857922E-012</v>
      </c>
      <c r="X215" s="37" t="n">
        <f aca="false">p_en^2*(1+p_fc/B215)/R215</f>
        <v>3.25968658976069E-012</v>
      </c>
      <c r="Y215" s="37" t="n">
        <f aca="false">p_in^2*Q215/R215</f>
        <v>3.69320161102368E-013</v>
      </c>
      <c r="Z215" s="37" t="n">
        <f aca="false">p_eo^2/L_G^2/R215</f>
        <v>2.97077837264238E-012</v>
      </c>
      <c r="AA215" s="37" t="n">
        <f aca="false">SUM(S215:Z215)</f>
        <v>2.50524394190299E-011</v>
      </c>
      <c r="AB215" s="47" t="n">
        <f aca="false">10*LOG10(AA215/L_PREF^2)</f>
        <v>-12.0320997071981</v>
      </c>
      <c r="AC215" s="47" t="n">
        <f aca="false">10*LOG10(S215/L_PREF^2)</f>
        <v>-24.5645937519977</v>
      </c>
      <c r="AD215" s="47" t="n">
        <f aca="false">10*LOG10(T215/L_PREF^2)</f>
        <v>-18.8921809733314</v>
      </c>
      <c r="AE215" s="47" t="n">
        <f aca="false">10*LOG10(U215/L_PREF^2)</f>
        <v>-20.0792313915062</v>
      </c>
      <c r="AF215" s="47" t="n">
        <f aca="false">10*LOG10(V215/L_PREF^2)</f>
        <v>-18.5918186614719</v>
      </c>
      <c r="AG215" s="47" t="n">
        <f aca="false">10*LOG10(W215/L_PREF^2)</f>
        <v>-22.1601889597839</v>
      </c>
      <c r="AH215" s="47" t="n">
        <f aca="false">10*LOG10(X215/L_PREF^2)</f>
        <v>-20.8888414551791</v>
      </c>
      <c r="AI215" s="47" t="n">
        <f aca="false">10*LOG10(Y215/L_PREF^2)</f>
        <v>-30.3465697499431</v>
      </c>
      <c r="AJ215" s="47" t="n">
        <f aca="false">10*LOG10(Z215/L_PREF^2)</f>
        <v>-21.2918973775004</v>
      </c>
      <c r="AK215" s="47" t="n">
        <f aca="false">10*LOG10(R215/$R$6)</f>
        <v>0.0041883310743467</v>
      </c>
      <c r="AL215" s="37" t="n">
        <f aca="false">(12194^2*B215^4/((B215^2+20.6^2)*SQRT((B215^2+107.7^2)*(B215^2+737.9^2))*(B215^2+12194^2))*1.2589254)^2</f>
        <v>1.09314551349115</v>
      </c>
      <c r="AM215" s="37" t="n">
        <f aca="false">0.5*(B215-B214)*(S215*AL215+S214*AL214)</f>
        <v>3.97377958750018E-011</v>
      </c>
      <c r="AN215" s="37" t="n">
        <f aca="false">0.5*(B215-B214)*(T215*AL215+T214*AL214)</f>
        <v>1.46866755289672E-010</v>
      </c>
      <c r="AO215" s="37" t="n">
        <f aca="false">0.5*(B215-B214)*(U215*AL215+U214*AL214)</f>
        <v>1.11742519244882E-010</v>
      </c>
      <c r="AP215" s="37" t="n">
        <f aca="false">0.5*(B215-B214)*(V215*AL215+V214*AL214)</f>
        <v>1.61125896916084E-010</v>
      </c>
      <c r="AQ215" s="37" t="n">
        <f aca="false">0.5*(B215-B214)*(W215*AL215+W214*AL214)</f>
        <v>7.08249495272294E-011</v>
      </c>
      <c r="AR215" s="37" t="n">
        <f aca="false">0.5*(B215-B214)*(X215*AL215+X214*AL214)</f>
        <v>9.28267128075737E-011</v>
      </c>
      <c r="AS215" s="37" t="n">
        <f aca="false">0.5*(B215-B214)*(Y215*AL215+Y214*AL214)</f>
        <v>1.0753459274395E-011</v>
      </c>
      <c r="AT215" s="37" t="n">
        <f aca="false">0.5*(B215-B214)*(Z215*AL215+Z214*AL214)</f>
        <v>8.45212399122262E-011</v>
      </c>
      <c r="AU215" s="37" t="n">
        <f aca="false">0.5*(B215-B214)*(AA215*AL215+AA214*AL214)</f>
        <v>7.18399328847064E-010</v>
      </c>
      <c r="AV215" s="37" t="n">
        <f aca="false">0.5*(B215-B214)*(S215+S214)</f>
        <v>3.65929189960844E-011</v>
      </c>
      <c r="AW215" s="37" t="n">
        <f aca="false">0.5*(B215-B214)*(T215+T214)</f>
        <v>1.35244614325597E-010</v>
      </c>
      <c r="AX215" s="37" t="n">
        <f aca="false">0.5*(B215-B214)*(U215+U214)</f>
        <v>1.02899896503041E-010</v>
      </c>
      <c r="AY215" s="37" t="n">
        <f aca="false">0.5*(B215-B214)*(V215+V214)</f>
        <v>1.48398408906198E-010</v>
      </c>
      <c r="AZ215" s="37" t="n">
        <f aca="false">0.5*(B215-B214)*(W215+W214)</f>
        <v>6.52302800316262E-011</v>
      </c>
      <c r="BA215" s="37" t="n">
        <f aca="false">0.5*(B215-B214)*(X215+X214)</f>
        <v>8.54815182565382E-011</v>
      </c>
      <c r="BB215" s="37" t="n">
        <f aca="false">0.5*(B215-B214)*(Y215+Y214)</f>
        <v>9.90401213781016E-012</v>
      </c>
      <c r="BC215" s="37" t="n">
        <f aca="false">0.5*(B215-B214)*(Z215+Z214)</f>
        <v>7.78327602781175E-011</v>
      </c>
      <c r="BD215" s="37" t="n">
        <f aca="false">0.5*(B215-B214)*(AA215+AA214)</f>
        <v>6.61584409435013E-010</v>
      </c>
      <c r="BE215" s="37" t="n">
        <f aca="false">IF(B215&gt;2000,AK215,-999)</f>
        <v>-999</v>
      </c>
      <c r="BF215" s="37" t="n">
        <f aca="false">IF(AND(B215&lt;1000,AK215&gt;=-3),B215,1000000000)</f>
        <v>1000000000</v>
      </c>
    </row>
    <row r="216" customFormat="false" ht="15" hidden="false" customHeight="false" outlineLevel="0" collapsed="false">
      <c r="A216" s="5" t="n">
        <v>177</v>
      </c>
      <c r="B216" s="47" t="n">
        <f aca="false">20*10^(A216/100)</f>
        <v>1177.68731071118</v>
      </c>
      <c r="C216" s="37" t="n">
        <f aca="false">2*PI()*B216</f>
        <v>7399.62760711231</v>
      </c>
      <c r="D216" s="37" t="n">
        <f aca="false">SQRT(L_Rp0^2+L_Rp1^2*C216)</f>
        <v>85105588.5184469</v>
      </c>
      <c r="E216" s="5" t="str">
        <f aca="false">COMPLEX(D216,C216*L_Mp)</f>
        <v>85105588.5184469+109312620.578597i</v>
      </c>
      <c r="F216" s="5" t="str">
        <f aca="false">IMDIV(1,E216)</f>
        <v>4.43438184376901e-09-5.69567649348283e-09i</v>
      </c>
      <c r="G216" s="5" t="str">
        <f aca="false">COMPLEX(0,C216*L_Cf)</f>
        <v>7.82449783981423e-12i</v>
      </c>
      <c r="H216" s="5" t="str">
        <f aca="false">COMPLEX(0,C216*L_Cbv)</f>
        <v>7.82449783981423e-11i</v>
      </c>
      <c r="I216" s="5" t="str">
        <f aca="false">COMPLEX(L_Rsq+L_Rh,C216*(L_Md+L_Mh)-1/(C216*L_Cd))</f>
        <v>552400610.124532-155652693731.112i</v>
      </c>
      <c r="J216" s="5" t="str">
        <f aca="false">IMDIV(1,I216)</f>
        <v>2.28000289122004e-14+6.42447863432151e-12i</v>
      </c>
      <c r="K216" s="5" t="str">
        <f aca="false">IMSUM(F216,G216,H216)</f>
        <v>4.43438184376901e-09-5.60960701724487e-09i</v>
      </c>
      <c r="L216" s="5" t="str">
        <f aca="false">IMSUM(IMPRODUCT(IMSUM(F216,G216),H216),IMPRODUCT(IMSUM(J216,L_Yv),K216))</f>
        <v>4.90054524681932e-19+3.64109589749869e-19i</v>
      </c>
      <c r="M216" s="37" t="n">
        <f aca="false">IMABS(IMDIV(IMPRODUCT(J216,F216,H216),L216))^2</f>
        <v>3.53244780519965E-023</v>
      </c>
      <c r="N216" s="5" t="str">
        <f aca="false">IMDIV(IMPRODUCT(L_Yv,K216,E216),H216)</f>
        <v>0.000187232294740616-0.0253202579968792i</v>
      </c>
      <c r="O216" s="37" t="n">
        <f aca="false">IMABS(IMSUM(1,IMPRODUCT(E216,G216),N216))^2</f>
        <v>0.999272115148075</v>
      </c>
      <c r="P216" s="37" t="n">
        <f aca="false">IMABS(N216)^2</f>
        <v>0.000641150520960719</v>
      </c>
      <c r="Q216" s="37" t="n">
        <f aca="false">p_Rb^2/(1+(C216*p_Rb*L_Ctot)^2)</f>
        <v>3010597838399510</v>
      </c>
      <c r="R216" s="37" t="n">
        <f aca="false">M216*L_Kt^2*Q216</f>
        <v>2.13435140379247E-005</v>
      </c>
      <c r="S216" s="37" t="n">
        <f aca="false">L_kT4*D216</f>
        <v>1.40131627820837E-012</v>
      </c>
      <c r="T216" s="37" t="n">
        <f aca="false">L_kT4*L_Rsq*O216</f>
        <v>5.16173150073133E-012</v>
      </c>
      <c r="U216" s="37" t="n">
        <f aca="false">L_kT4*L_Rh*O216</f>
        <v>3.92726645604556E-012</v>
      </c>
      <c r="V216" s="37" t="n">
        <f aca="false">L_kT4*p_Rv*P216</f>
        <v>5.27847041213566E-012</v>
      </c>
      <c r="W216" s="37" t="n">
        <f aca="false">L_kT4/p_Rb*Q216/R216</f>
        <v>2.32254912726884E-012</v>
      </c>
      <c r="X216" s="37" t="n">
        <f aca="false">p_en^2*(1+p_fc/B216)/R216</f>
        <v>3.25318406165459E-012</v>
      </c>
      <c r="Y216" s="37" t="n">
        <f aca="false">p_in^2*Q216/R216</f>
        <v>3.52636148978334E-013</v>
      </c>
      <c r="Z216" s="37" t="n">
        <f aca="false">p_eo^2/L_G^2/R216</f>
        <v>2.97025726812363E-012</v>
      </c>
      <c r="AA216" s="37" t="n">
        <f aca="false">SUM(S216:Z216)</f>
        <v>2.46674112531463E-011</v>
      </c>
      <c r="AB216" s="47" t="n">
        <f aca="false">10*LOG10(AA216/L_PREF^2)</f>
        <v>-12.0993641692804</v>
      </c>
      <c r="AC216" s="47" t="n">
        <f aca="false">10*LOG10(S216/L_PREF^2)</f>
        <v>-24.5552382436583</v>
      </c>
      <c r="AD216" s="47" t="n">
        <f aca="false">10*LOG10(T216/L_PREF^2)</f>
        <v>-18.8926458135327</v>
      </c>
      <c r="AE216" s="47" t="n">
        <f aca="false">10*LOG10(U216/L_PREF^2)</f>
        <v>-20.0796962317074</v>
      </c>
      <c r="AF216" s="47" t="n">
        <f aca="false">10*LOG10(V216/L_PREF^2)</f>
        <v>-18.7955189981849</v>
      </c>
      <c r="AG216" s="47" t="n">
        <f aca="false">10*LOG10(W216/L_PREF^2)</f>
        <v>-22.3609508223554</v>
      </c>
      <c r="AH216" s="47" t="n">
        <f aca="false">10*LOG10(X216/L_PREF^2)</f>
        <v>-20.8975135543636</v>
      </c>
      <c r="AI216" s="47" t="n">
        <f aca="false">10*LOG10(Y216/L_PREF^2)</f>
        <v>-30.5473316125145</v>
      </c>
      <c r="AJ216" s="47" t="n">
        <f aca="false">10*LOG10(Z216/L_PREF^2)</f>
        <v>-21.292659240688</v>
      </c>
      <c r="AK216" s="47" t="n">
        <f aca="false">10*LOG10(R216/$R$6)</f>
        <v>0.00495019426202756</v>
      </c>
      <c r="AL216" s="37" t="n">
        <f aca="false">(12194^2*B216^4/((B216^2+20.6^2)*SQRT((B216^2+107.7^2)*(B216^2+737.9^2))*(B216^2+12194^2))*1.2589254)^2</f>
        <v>1.10721242609764</v>
      </c>
      <c r="AM216" s="37" t="n">
        <f aca="false">0.5*(B216-B215)*(S216*AL216+S215*AL215)</f>
        <v>4.12848063093842E-011</v>
      </c>
      <c r="AN216" s="37" t="n">
        <f aca="false">0.5*(B216-B215)*(T216*AL216+T215*AL215)</f>
        <v>1.52242925754433E-010</v>
      </c>
      <c r="AO216" s="37" t="n">
        <f aca="false">0.5*(B216-B215)*(U216*AL216+U215*AL215)</f>
        <v>1.15832940051397E-010</v>
      </c>
      <c r="AP216" s="37" t="n">
        <f aca="false">0.5*(B216-B215)*(V216*AL216+V215*AL215)</f>
        <v>1.59391823018343E-010</v>
      </c>
      <c r="AQ216" s="37" t="n">
        <f aca="false">0.5*(B216-B215)*(W216*AL216+W215*AL215)</f>
        <v>7.01089479967701E-011</v>
      </c>
      <c r="AR216" s="37" t="n">
        <f aca="false">0.5*(B216-B215)*(X216*AL216+X215*AL215)</f>
        <v>9.60413603191187E-011</v>
      </c>
      <c r="AS216" s="37" t="n">
        <f aca="false">0.5*(B216-B215)*(Y216*AL216+Y215*AL215)</f>
        <v>1.06447476784165E-011</v>
      </c>
      <c r="AT216" s="37" t="n">
        <f aca="false">0.5*(B216-B215)*(Z216*AL216+Z215*AL215)</f>
        <v>8.76093657027265E-011</v>
      </c>
      <c r="AU216" s="37" t="n">
        <f aca="false">0.5*(B216-B215)*(AA216*AL216+AA215*AL215)</f>
        <v>7.33156916830589E-010</v>
      </c>
      <c r="AV216" s="37" t="n">
        <f aca="false">0.5*(B216-B215)*(S216+S215)</f>
        <v>3.75252783077122E-011</v>
      </c>
      <c r="AW216" s="37" t="n">
        <f aca="false">0.5*(B216-B215)*(T216+T215)</f>
        <v>1.38380192697389E-010</v>
      </c>
      <c r="AX216" s="37" t="n">
        <f aca="false">0.5*(B216-B215)*(U216+U215)</f>
        <v>1.05285578857517E-010</v>
      </c>
      <c r="AY216" s="37" t="n">
        <f aca="false">0.5*(B216-B215)*(V216+V215)</f>
        <v>1.44899806215555E-010</v>
      </c>
      <c r="AZ216" s="37" t="n">
        <f aca="false">0.5*(B216-B215)*(W216+W215)</f>
        <v>6.37344552799021E-011</v>
      </c>
      <c r="BA216" s="37" t="n">
        <f aca="false">0.5*(B216-B215)*(X216+X215)</f>
        <v>8.72966817020924E-011</v>
      </c>
      <c r="BB216" s="37" t="n">
        <f aca="false">0.5*(B216-B215)*(Y216+Y215)</f>
        <v>9.67689880194943E-012</v>
      </c>
      <c r="BC216" s="37" t="n">
        <f aca="false">0.5*(B216-B215)*(Z216+Z215)</f>
        <v>7.96319664662825E-011</v>
      </c>
      <c r="BD216" s="37" t="n">
        <f aca="false">0.5*(B216-B215)*(AA216+AA215)</f>
        <v>6.664308583284E-010</v>
      </c>
      <c r="BE216" s="37" t="n">
        <f aca="false">IF(B216&gt;2000,AK216,-999)</f>
        <v>-999</v>
      </c>
      <c r="BF216" s="37" t="n">
        <f aca="false">IF(AND(B216&lt;1000,AK216&gt;=-3),B216,1000000000)</f>
        <v>1000000000</v>
      </c>
    </row>
    <row r="217" customFormat="false" ht="15" hidden="false" customHeight="false" outlineLevel="0" collapsed="false">
      <c r="A217" s="5" t="n">
        <v>178</v>
      </c>
      <c r="B217" s="47" t="n">
        <f aca="false">20*10^(A217/100)</f>
        <v>1205.11917214872</v>
      </c>
      <c r="C217" s="37" t="n">
        <f aca="false">2*PI()*B217</f>
        <v>7571.98707584524</v>
      </c>
      <c r="D217" s="37" t="n">
        <f aca="false">SQRT(L_Rp0^2+L_Rp1^2*C217)</f>
        <v>85292583.1281117</v>
      </c>
      <c r="E217" s="5" t="str">
        <f aca="false">COMPLEX(D217,C217*L_Mp)</f>
        <v>85292583.1281117+111858838.605924i</v>
      </c>
      <c r="F217" s="5" t="str">
        <f aca="false">IMDIV(1,E217)</f>
        <v>4.31048746027971e-09-5.65308381395908e-09i</v>
      </c>
      <c r="G217" s="5" t="str">
        <f aca="false">COMPLEX(0,C217*L_Cf)</f>
        <v>8.00675380759779e-12i</v>
      </c>
      <c r="H217" s="5" t="str">
        <f aca="false">COMPLEX(0,C217*L_Cbv)</f>
        <v>8.0067538075978e-11i</v>
      </c>
      <c r="I217" s="5" t="str">
        <f aca="false">COMPLEX(L_Rsq+L_Rh,C217*(L_Md+L_Mh)-1/(C217*L_Cd))</f>
        <v>552400610.124532-152108321741.634i</v>
      </c>
      <c r="J217" s="5" t="str">
        <f aca="false">IMDIV(1,I217)</f>
        <v>2.38749500983384e-14+6.57417556129205e-12i</v>
      </c>
      <c r="K217" s="5" t="str">
        <f aca="false">IMSUM(F217,G217,H217)</f>
        <v>4.31048746027971e-09-5.5650095220755e-09i</v>
      </c>
      <c r="L217" s="5" t="str">
        <f aca="false">IMSUM(IMPRODUCT(IMSUM(F217,G217),H217),IMPRODUCT(IMSUM(J217,L_Yv),K217))</f>
        <v>4.97296659647468e-19+3.6220513680181e-19i</v>
      </c>
      <c r="M217" s="37" t="n">
        <f aca="false">IMABS(IMDIV(IMPRODUCT(J217,F217,H217),L217))^2</f>
        <v>3.69959761281018E-023</v>
      </c>
      <c r="N217" s="5" t="str">
        <f aca="false">IMDIV(IMPRODUCT(L_Yv,K217,E217),H217)</f>
        <v>0.00018764368288185-0.0247328227092305i</v>
      </c>
      <c r="O217" s="37" t="n">
        <f aca="false">IMABS(IMSUM(1,IMPRODUCT(E217,G217),N217))^2</f>
        <v>0.999162934219484</v>
      </c>
      <c r="P217" s="37" t="n">
        <f aca="false">IMABS(N217)^2</f>
        <v>0.000611747729317953</v>
      </c>
      <c r="Q217" s="37" t="n">
        <f aca="false">p_Rb^2/(1+(C217*p_Rb*L_Ctot)^2)</f>
        <v>2875098615553270</v>
      </c>
      <c r="R217" s="37" t="n">
        <f aca="false">M217*L_Kt^2*Q217</f>
        <v>2.13473839432244E-005</v>
      </c>
      <c r="S217" s="37" t="n">
        <f aca="false">L_kT4*D217</f>
        <v>1.40439526038829E-012</v>
      </c>
      <c r="T217" s="37" t="n">
        <f aca="false">L_kT4*L_Rsq*O217</f>
        <v>5.16116752758543E-012</v>
      </c>
      <c r="U217" s="37" t="n">
        <f aca="false">L_kT4*L_Rh*O217</f>
        <v>3.92683736111537E-012</v>
      </c>
      <c r="V217" s="37" t="n">
        <f aca="false">L_kT4*p_Rv*P217</f>
        <v>5.03640281545342E-012</v>
      </c>
      <c r="W217" s="37" t="n">
        <f aca="false">L_kT4/p_Rb*Q217/R217</f>
        <v>2.21761511000037E-012</v>
      </c>
      <c r="X217" s="37" t="n">
        <f aca="false">p_en^2*(1+p_fc/B217)/R217</f>
        <v>3.24679962135592E-012</v>
      </c>
      <c r="Y217" s="37" t="n">
        <f aca="false">p_in^2*Q217/R217</f>
        <v>3.36703858327547E-013</v>
      </c>
      <c r="Z217" s="37" t="n">
        <f aca="false">p_eo^2/L_G^2/R217</f>
        <v>2.96971881271505E-012</v>
      </c>
      <c r="AA217" s="37" t="n">
        <f aca="false">SUM(S217:Z217)</f>
        <v>2.42996403669414E-011</v>
      </c>
      <c r="AB217" s="47" t="n">
        <f aca="false">10*LOG10(AA217/L_PREF^2)</f>
        <v>-12.1646014521149</v>
      </c>
      <c r="AC217" s="47" t="n">
        <f aca="false">10*LOG10(S217/L_PREF^2)</f>
        <v>-24.5457063620731</v>
      </c>
      <c r="AD217" s="47" t="n">
        <f aca="false">10*LOG10(T217/L_PREF^2)</f>
        <v>-18.8931203515956</v>
      </c>
      <c r="AE217" s="47" t="n">
        <f aca="false">10*LOG10(U217/L_PREF^2)</f>
        <v>-20.0801707697703</v>
      </c>
      <c r="AF217" s="47" t="n">
        <f aca="false">10*LOG10(V217/L_PREF^2)</f>
        <v>-18.9993953328918</v>
      </c>
      <c r="AG217" s="47" t="n">
        <f aca="false">10*LOG10(W217/L_PREF^2)</f>
        <v>-22.5617381926592</v>
      </c>
      <c r="AH217" s="47" t="n">
        <f aca="false">10*LOG10(X217/L_PREF^2)</f>
        <v>-20.9060450468062</v>
      </c>
      <c r="AI217" s="47" t="n">
        <f aca="false">10*LOG10(Y217/L_PREF^2)</f>
        <v>-30.7481189828183</v>
      </c>
      <c r="AJ217" s="47" t="n">
        <f aca="false">10*LOG10(Z217/L_PREF^2)</f>
        <v>-21.2934466115803</v>
      </c>
      <c r="AK217" s="47" t="n">
        <f aca="false">10*LOG10(R217/$R$6)</f>
        <v>0.00573756515428412</v>
      </c>
      <c r="AL217" s="37" t="n">
        <f aca="false">(12194^2*B217^4/((B217^2+20.6^2)*SQRT((B217^2+107.7^2)*(B217^2+737.9^2))*(B217^2+12194^2))*1.2589254)^2</f>
        <v>1.12091446103975</v>
      </c>
      <c r="AM217" s="37" t="n">
        <f aca="false">0.5*(B217-B216)*(S217*AL217+S216*AL216)</f>
        <v>4.28727316408059E-011</v>
      </c>
      <c r="AN217" s="37" t="n">
        <f aca="false">0.5*(B217-B216)*(T217*AL217+T216*AL216)</f>
        <v>1.57738148891792E-010</v>
      </c>
      <c r="AO217" s="37" t="n">
        <f aca="false">0.5*(B217-B216)*(U217*AL217+U216*AL216)</f>
        <v>1.20013941231482E-010</v>
      </c>
      <c r="AP217" s="37" t="n">
        <f aca="false">0.5*(B217-B216)*(V217*AL217+V216*AL216)</f>
        <v>1.57592817677793E-010</v>
      </c>
      <c r="AQ217" s="37" t="n">
        <f aca="false">0.5*(B217-B216)*(W217*AL217+W216*AL216)</f>
        <v>6.9365742383416E-011</v>
      </c>
      <c r="AR217" s="37" t="n">
        <f aca="false">0.5*(B217-B216)*(X217*AL217+X216*AL216)</f>
        <v>9.93218612899505E-011</v>
      </c>
      <c r="AS217" s="37" t="n">
        <f aca="false">0.5*(B217-B216)*(Y217*AL217+Y216*AL216)</f>
        <v>1.0531905645361E-011</v>
      </c>
      <c r="AT217" s="37" t="n">
        <f aca="false">0.5*(B217-B216)*(Z217*AL217+Z216*AL216)</f>
        <v>9.07652609369278E-011</v>
      </c>
      <c r="AU217" s="37" t="n">
        <f aca="false">0.5*(B217-B216)*(AA217*AL217+AA216*AL216)</f>
        <v>7.48202409697528E-010</v>
      </c>
      <c r="AV217" s="37" t="n">
        <f aca="false">0.5*(B217-B216)*(S217+S216)</f>
        <v>3.84829450802418E-011</v>
      </c>
      <c r="AW217" s="37" t="n">
        <f aca="false">0.5*(B217-B216)*(T217+T216)</f>
        <v>1.41588167889238E-010</v>
      </c>
      <c r="AX217" s="37" t="n">
        <f aca="false">0.5*(B217-B216)*(U217+U216)</f>
        <v>1.07726343814196E-010</v>
      </c>
      <c r="AY217" s="37" t="n">
        <f aca="false">0.5*(B217-B216)*(V217+V216)</f>
        <v>1.41478086562494E-010</v>
      </c>
      <c r="AZ217" s="37" t="n">
        <f aca="false">0.5*(B217-B216)*(W217+W216)</f>
        <v>6.22725781302159E-011</v>
      </c>
      <c r="BA217" s="37" t="n">
        <f aca="false">0.5*(B217-B216)*(X217+X216)</f>
        <v>8.91533258692993E-011</v>
      </c>
      <c r="BB217" s="37" t="n">
        <f aca="false">0.5*(B217-B216)*(Y217+Y216)</f>
        <v>9.45493978188299E-012</v>
      </c>
      <c r="BC217" s="37" t="n">
        <f aca="false">0.5*(B217-B216)*(Z217+Z216)</f>
        <v>8.14723003959267E-011</v>
      </c>
      <c r="BD217" s="37" t="n">
        <f aca="false">0.5*(B217-B216)*(AA217+AA216)</f>
        <v>6.71628687523495E-010</v>
      </c>
      <c r="BE217" s="37" t="n">
        <f aca="false">IF(B217&gt;2000,AK217,-999)</f>
        <v>-999</v>
      </c>
      <c r="BF217" s="37" t="n">
        <f aca="false">IF(AND(B217&lt;1000,AK217&gt;=-3),B217,1000000000)</f>
        <v>1000000000</v>
      </c>
    </row>
    <row r="218" customFormat="false" ht="15" hidden="false" customHeight="false" outlineLevel="0" collapsed="false">
      <c r="A218" s="5" t="n">
        <v>179</v>
      </c>
      <c r="B218" s="47" t="n">
        <f aca="false">20*10^(A218/100)</f>
        <v>1233.19000372296</v>
      </c>
      <c r="C218" s="37" t="n">
        <f aca="false">2*PI()*B218</f>
        <v>7748.36131235287</v>
      </c>
      <c r="D218" s="37" t="n">
        <f aca="false">SQRT(L_Rp0^2+L_Rp1^2*C218)</f>
        <v>85483509.9504127</v>
      </c>
      <c r="E218" s="5" t="str">
        <f aca="false">COMPLEX(D218,C218*L_Mp)</f>
        <v>85483509.9504127+114464365.670106i</v>
      </c>
      <c r="F218" s="5" t="str">
        <f aca="false">IMDIV(1,E218)</f>
        <v>4.18841323776513e-09-5.60838066550104e-09i</v>
      </c>
      <c r="G218" s="5" t="str">
        <f aca="false">COMPLEX(0,C218*L_Cf)</f>
        <v>8.19325506223207e-12i</v>
      </c>
      <c r="H218" s="5" t="str">
        <f aca="false">COMPLEX(0,C218*L_Cbv)</f>
        <v>8.19325506223207e-11i</v>
      </c>
      <c r="I218" s="5" t="str">
        <f aca="false">COMPLEX(L_Rsq+L_Rh,C218*(L_Md+L_Mh)-1/(C218*L_Cd))</f>
        <v>552400610.124532-148644599597.735i</v>
      </c>
      <c r="J218" s="5" t="str">
        <f aca="false">IMDIV(1,I218)</f>
        <v>2.50005682927214e-14+6.72736306853397e-12i</v>
      </c>
      <c r="K218" s="5" t="str">
        <f aca="false">IMSUM(F218,G218,H218)</f>
        <v>4.18841323776513e-09-5.51825485981649e-09i</v>
      </c>
      <c r="L218" s="5" t="str">
        <f aca="false">IMSUM(IMPRODUCT(IMSUM(F218,G218),H218),IMPRODUCT(IMSUM(J218,L_Yv),K218))</f>
        <v>5.04442481633668e-19+3.60169886934777e-19i</v>
      </c>
      <c r="M218" s="37" t="n">
        <f aca="false">IMABS(IMDIV(IMPRODUCT(J218,F218,H218),L218))^2</f>
        <v>3.8746809400544E-023</v>
      </c>
      <c r="N218" s="5" t="str">
        <f aca="false">IMDIV(IMPRODUCT(L_Yv,K218,E218),H218)</f>
        <v>0.000188063721890905-0.0241585010915599i</v>
      </c>
      <c r="O218" s="37" t="n">
        <f aca="false">IMABS(IMSUM(1,IMPRODUCT(E218,G218),N218))^2</f>
        <v>0.999051301175326</v>
      </c>
      <c r="P218" s="37" t="n">
        <f aca="false">IMABS(N218)^2</f>
        <v>0.000583668542954393</v>
      </c>
      <c r="Q218" s="37" t="n">
        <f aca="false">p_Rb^2/(1+(C218*p_Rb*L_Ctot)^2)</f>
        <v>2745697862289160</v>
      </c>
      <c r="R218" s="37" t="n">
        <f aca="false">M218*L_Kt^2*Q218</f>
        <v>2.13513882168331E-005</v>
      </c>
      <c r="S218" s="37" t="n">
        <f aca="false">L_kT4*D218</f>
        <v>1.40753898888714E-012</v>
      </c>
      <c r="T218" s="37" t="n">
        <f aca="false">L_kT4*L_Rsq*O218</f>
        <v>5.1605908880577E-012</v>
      </c>
      <c r="U218" s="37" t="n">
        <f aca="false">L_kT4*L_Rh*O218</f>
        <v>3.92639862905924E-012</v>
      </c>
      <c r="V218" s="37" t="n">
        <f aca="false">L_kT4*p_Rv*P218</f>
        <v>4.80523220953266E-012</v>
      </c>
      <c r="W218" s="37" t="n">
        <f aca="false">L_kT4/p_Rb*Q218/R218</f>
        <v>2.1174088122399E-012</v>
      </c>
      <c r="X218" s="37" t="n">
        <f aca="false">p_en^2*(1+p_fc/B218)/R218</f>
        <v>3.24052898148329E-012</v>
      </c>
      <c r="Y218" s="37" t="n">
        <f aca="false">p_in^2*Q218/R218</f>
        <v>3.21489384484669E-013</v>
      </c>
      <c r="Z218" s="37" t="n">
        <f aca="false">p_eo^2/L_G^2/R218</f>
        <v>2.96916186688341E-012</v>
      </c>
      <c r="AA218" s="37" t="n">
        <f aca="false">SUM(S218:Z218)</f>
        <v>2.3948349760628E-011</v>
      </c>
      <c r="AB218" s="47" t="n">
        <f aca="false">10*LOG10(AA218/L_PREF^2)</f>
        <v>-12.2278439902813</v>
      </c>
      <c r="AC218" s="47" t="n">
        <f aca="false">10*LOG10(S218/L_PREF^2)</f>
        <v>-24.5359955766318</v>
      </c>
      <c r="AD218" s="47" t="n">
        <f aca="false">10*LOG10(T218/L_PREF^2)</f>
        <v>-18.8936056010175</v>
      </c>
      <c r="AE218" s="47" t="n">
        <f aca="false">10*LOG10(U218/L_PREF^2)</f>
        <v>-20.0806560191922</v>
      </c>
      <c r="AF218" s="47" t="n">
        <f aca="false">10*LOG10(V218/L_PREF^2)</f>
        <v>-19.2034561183496</v>
      </c>
      <c r="AG218" s="47" t="n">
        <f aca="false">10*LOG10(W218/L_PREF^2)</f>
        <v>-22.7625527513219</v>
      </c>
      <c r="AH218" s="47" t="n">
        <f aca="false">10*LOG10(X218/L_PREF^2)</f>
        <v>-20.9144408143387</v>
      </c>
      <c r="AI218" s="47" t="n">
        <f aca="false">10*LOG10(Y218/L_PREF^2)</f>
        <v>-30.9489335414811</v>
      </c>
      <c r="AJ218" s="47" t="n">
        <f aca="false">10*LOG10(Z218/L_PREF^2)</f>
        <v>-21.294261170805</v>
      </c>
      <c r="AK218" s="47" t="n">
        <f aca="false">10*LOG10(R218/$R$6)</f>
        <v>0.00655212437902649</v>
      </c>
      <c r="AL218" s="37" t="n">
        <f aca="false">(12194^2*B218^4/((B218^2+20.6^2)*SQRT((B218^2+107.7^2)*(B218^2+737.9^2))*(B218^2+12194^2))*1.2589254)^2</f>
        <v>1.13424247208208</v>
      </c>
      <c r="AM218" s="37" t="n">
        <f aca="false">0.5*(B218-B217)*(S218*AL218+S217*AL217)</f>
        <v>4.45020571679237E-011</v>
      </c>
      <c r="AN218" s="37" t="n">
        <f aca="false">0.5*(B218-B217)*(T218*AL218+T217*AL217)</f>
        <v>1.63352431352372E-010</v>
      </c>
      <c r="AO218" s="37" t="n">
        <f aca="false">0.5*(B218-B217)*(U218*AL218+U217*AL217)</f>
        <v>1.24285527845213E-010</v>
      </c>
      <c r="AP218" s="37" t="n">
        <f aca="false">0.5*(B218-B217)*(V218*AL218+V217*AL217)</f>
        <v>1.55732414979405E-010</v>
      </c>
      <c r="AQ218" s="37" t="n">
        <f aca="false">0.5*(B218-B217)*(W218*AL218+W217*AL217)</f>
        <v>6.8596857457642E-011</v>
      </c>
      <c r="AR218" s="37" t="n">
        <f aca="false">0.5*(B218-B217)*(X218*AL218+X217*AL217)</f>
        <v>1.02668087519406E-010</v>
      </c>
      <c r="AS218" s="37" t="n">
        <f aca="false">0.5*(B218-B217)*(Y218*AL218+Y217*AL217)</f>
        <v>1.04151646834373E-011</v>
      </c>
      <c r="AT218" s="37" t="n">
        <f aca="false">0.5*(B218-B217)*(Z218*AL218+Z217*AL217)</f>
        <v>9.3988867214613E-011</v>
      </c>
      <c r="AU218" s="37" t="n">
        <f aca="false">0.5*(B218-B217)*(AA218*AL218+AA217*AL217)</f>
        <v>7.63541408220011E-010</v>
      </c>
      <c r="AV218" s="37" t="n">
        <f aca="false">0.5*(B218-B217)*(S218+S217)</f>
        <v>3.94666663546363E-011</v>
      </c>
      <c r="AW218" s="37" t="n">
        <f aca="false">0.5*(B218-B217)*(T218+T217)</f>
        <v>1.44870171017802E-010</v>
      </c>
      <c r="AX218" s="37" t="n">
        <f aca="false">0.5*(B218-B217)*(U218+U217)</f>
        <v>1.1022343239651E-010</v>
      </c>
      <c r="AY218" s="37" t="n">
        <f aca="false">0.5*(B218-B217)*(V218+V217)</f>
        <v>1.38131439600806E-010</v>
      </c>
      <c r="AZ218" s="37" t="n">
        <f aca="false">0.5*(B218-B217)*(W218+W217)</f>
        <v>6.0843863195773E-011</v>
      </c>
      <c r="BA218" s="37" t="n">
        <f aca="false">0.5*(B218-B217)*(X218+X217)</f>
        <v>9.10523542885531E-011</v>
      </c>
      <c r="BB218" s="37" t="n">
        <f aca="false">0.5*(B218-B217)*(Y218+Y217)</f>
        <v>9.23801583114519E-012</v>
      </c>
      <c r="BC218" s="37" t="n">
        <f aca="false">0.5*(B218-B217)*(Z218+Z217)</f>
        <v>8.33546596482843E-011</v>
      </c>
      <c r="BD218" s="37" t="n">
        <f aca="false">0.5*(B218-B217)*(AA218+AA217)</f>
        <v>6.7718060233351E-010</v>
      </c>
      <c r="BE218" s="37" t="n">
        <f aca="false">IF(B218&gt;2000,AK218,-999)</f>
        <v>-999</v>
      </c>
      <c r="BF218" s="37" t="n">
        <f aca="false">IF(AND(B218&lt;1000,AK218&gt;=-3),B218,1000000000)</f>
        <v>1000000000</v>
      </c>
    </row>
    <row r="219" customFormat="false" ht="15" hidden="false" customHeight="false" outlineLevel="0" collapsed="false">
      <c r="A219" s="5" t="n">
        <v>180</v>
      </c>
      <c r="B219" s="47" t="n">
        <f aca="false">20*10^(A219/100)</f>
        <v>1261.91468896039</v>
      </c>
      <c r="C219" s="37" t="n">
        <f aca="false">2*PI()*B219</f>
        <v>7928.84383259</v>
      </c>
      <c r="D219" s="37" t="n">
        <f aca="false">SQRT(L_Rp0^2+L_Rp1^2*C219)</f>
        <v>85678443.5864343</v>
      </c>
      <c r="E219" s="5" t="str">
        <f aca="false">COMPLEX(D219,C219*L_Mp)</f>
        <v>85678443.5864343+117130583.256081i</v>
      </c>
      <c r="F219" s="5" t="str">
        <f aca="false">IMDIV(1,E219)</f>
        <v>4.06823083933499e-09-5.56165858161237e-09i</v>
      </c>
      <c r="G219" s="5" t="str">
        <f aca="false">COMPLEX(0,C219*L_Cf)</f>
        <v>8.38410048915089e-12i</v>
      </c>
      <c r="H219" s="5" t="str">
        <f aca="false">COMPLEX(0,C219*L_Cbv)</f>
        <v>8.38410048915089e-11i</v>
      </c>
      <c r="I219" s="5" t="str">
        <f aca="false">COMPLEX(L_Rsq+L_Rh,C219*(L_Md+L_Mh)-1/(C219*L_Cd))</f>
        <v>552400610.124532-145259690788.087i</v>
      </c>
      <c r="J219" s="5" t="str">
        <f aca="false">IMDIV(1,I219)</f>
        <v>2.61792763944416e-14+6.88412272617723e-12i</v>
      </c>
      <c r="K219" s="5" t="str">
        <f aca="false">IMSUM(F219,G219,H219)</f>
        <v>4.06823083933499e-09-5.46943347623171e-09i</v>
      </c>
      <c r="L219" s="5" t="str">
        <f aca="false">IMSUM(IMPRODUCT(IMSUM(F219,G219),H219),IMPRODUCT(IMSUM(J219,L_Yv),K219))</f>
        <v>5.11487329247034e-19+3.58008709313714e-19i</v>
      </c>
      <c r="M219" s="37" t="n">
        <f aca="false">IMABS(IMDIV(IMPRODUCT(J219,F219,H219),L219))^2</f>
        <v>4.05807710948663E-023</v>
      </c>
      <c r="N219" s="5" t="str">
        <f aca="false">IMDIV(IMPRODUCT(L_Yv,K219,E219),H219)</f>
        <v>0.000188492575890149-0.0235969886309436i</v>
      </c>
      <c r="O219" s="37" t="n">
        <f aca="false">IMABS(IMSUM(1,IMPRODUCT(E219,G219),N219))^2</f>
        <v>0.998936978415005</v>
      </c>
      <c r="P219" s="37" t="n">
        <f aca="false">IMABS(N219)^2</f>
        <v>0.000556853401900047</v>
      </c>
      <c r="Q219" s="37" t="n">
        <f aca="false">p_Rb^2/(1+(C219*p_Rb*L_Ctot)^2)</f>
        <v>2622121102265090</v>
      </c>
      <c r="R219" s="37" t="n">
        <f aca="false">M219*L_Kt^2*Q219</f>
        <v>2.13555354854723E-005</v>
      </c>
      <c r="S219" s="37" t="n">
        <f aca="false">L_kT4*D219</f>
        <v>1.41074869205803E-012</v>
      </c>
      <c r="T219" s="37" t="n">
        <f aca="false">L_kT4*L_Rsq*O219</f>
        <v>5.16000035482431E-012</v>
      </c>
      <c r="U219" s="37" t="n">
        <f aca="false">L_kT4*L_Rh*O219</f>
        <v>3.92594932607664E-012</v>
      </c>
      <c r="V219" s="37" t="n">
        <f aca="false">L_kT4*p_Rv*P219</f>
        <v>4.58446824845764E-012</v>
      </c>
      <c r="W219" s="37" t="n">
        <f aca="false">L_kT4/p_Rb*Q219/R219</f>
        <v>2.02171702156913E-012</v>
      </c>
      <c r="X219" s="37" t="n">
        <f aca="false">p_en^2*(1+p_fc/B219)/R219</f>
        <v>3.23436788849727E-012</v>
      </c>
      <c r="Y219" s="37" t="n">
        <f aca="false">p_in^2*Q219/R219</f>
        <v>3.06960355085553E-013</v>
      </c>
      <c r="Z219" s="37" t="n">
        <f aca="false">p_eo^2/L_G^2/R219</f>
        <v>2.96858525236097E-012</v>
      </c>
      <c r="AA219" s="37" t="n">
        <f aca="false">SUM(S219:Z219)</f>
        <v>2.36127971389295E-011</v>
      </c>
      <c r="AB219" s="47" t="n">
        <f aca="false">10*LOG10(AA219/L_PREF^2)</f>
        <v>-12.2891255528487</v>
      </c>
      <c r="AC219" s="47" t="n">
        <f aca="false">10*LOG10(S219/L_PREF^2)</f>
        <v>-24.5261033503146</v>
      </c>
      <c r="AD219" s="47" t="n">
        <f aca="false">10*LOG10(T219/L_PREF^2)</f>
        <v>-18.8941025983675</v>
      </c>
      <c r="AE219" s="47" t="n">
        <f aca="false">10*LOG10(U219/L_PREF^2)</f>
        <v>-20.0811530165423</v>
      </c>
      <c r="AF219" s="47" t="n">
        <f aca="false">10*LOG10(V219/L_PREF^2)</f>
        <v>-19.4077102212961</v>
      </c>
      <c r="AG219" s="47" t="n">
        <f aca="false">10*LOG10(W219/L_PREF^2)</f>
        <v>-22.9633962373839</v>
      </c>
      <c r="AH219" s="47" t="n">
        <f aca="false">10*LOG10(X219/L_PREF^2)</f>
        <v>-20.9227057475033</v>
      </c>
      <c r="AI219" s="47" t="n">
        <f aca="false">10*LOG10(Y219/L_PREF^2)</f>
        <v>-31.1497770275431</v>
      </c>
      <c r="AJ219" s="47" t="n">
        <f aca="false">10*LOG10(Z219/L_PREF^2)</f>
        <v>-21.2951046574037</v>
      </c>
      <c r="AK219" s="47" t="n">
        <f aca="false">10*LOG10(R219/$R$6)</f>
        <v>0.00739561097768321</v>
      </c>
      <c r="AL219" s="37" t="n">
        <f aca="false">(12194^2*B219^4/((B219^2+20.6^2)*SQRT((B219^2+107.7^2)*(B219^2+737.9^2))*(B219^2+12194^2))*1.2589254)^2</f>
        <v>1.1471881183976</v>
      </c>
      <c r="AM219" s="37" t="n">
        <f aca="false">0.5*(B219-B218)*(S219*AL219+S218*AL218)</f>
        <v>4.61732746776056E-011</v>
      </c>
      <c r="AN219" s="37" t="n">
        <f aca="false">0.5*(B219-B218)*(T219*AL219+T218*AL218)</f>
        <v>1.69085740691193E-010</v>
      </c>
      <c r="AO219" s="37" t="n">
        <f aca="false">0.5*(B219-B218)*(U219*AL219+U218*AL218)</f>
        <v>1.28647675207061E-010</v>
      </c>
      <c r="AP219" s="37" t="n">
        <f aca="false">0.5*(B219-B218)*(V219*AL219+V218*AL218)</f>
        <v>1.53814168426815E-010</v>
      </c>
      <c r="AQ219" s="37" t="n">
        <f aca="false">0.5*(B219-B218)*(W219*AL219+W218*AL218)</f>
        <v>6.78038260051879E-011</v>
      </c>
      <c r="AR219" s="37" t="n">
        <f aca="false">0.5*(B219-B218)*(X219*AL219+X218*AL218)</f>
        <v>1.06079889376644E-010</v>
      </c>
      <c r="AS219" s="37" t="n">
        <f aca="false">0.5*(B219-B218)*(Y219*AL219+Y218*AL218)</f>
        <v>1.0294757517824E-011</v>
      </c>
      <c r="AT219" s="37" t="n">
        <f aca="false">0.5*(B219-B218)*(Z219*AL219+Z218*AL218)</f>
        <v>9.72800994446948E-011</v>
      </c>
      <c r="AU219" s="37" t="n">
        <f aca="false">0.5*(B219-B218)*(AA219*AL219+AA218*AL218)</f>
        <v>7.79179431347025E-010</v>
      </c>
      <c r="AV219" s="37" t="n">
        <f aca="false">0.5*(B219-B218)*(S219+S218)</f>
        <v>4.04772132718275E-011</v>
      </c>
      <c r="AW219" s="37" t="n">
        <f aca="false">0.5*(B219-B218)*(T219+T218)</f>
        <v>1.48227867457942E-010</v>
      </c>
      <c r="AX219" s="37" t="n">
        <f aca="false">0.5*(B219-B218)*(U219+U218)</f>
        <v>1.12778111692998E-010</v>
      </c>
      <c r="AY219" s="37" t="n">
        <f aca="false">0.5*(B219-B218)*(V219+V218)</f>
        <v>1.34858095064726E-010</v>
      </c>
      <c r="AZ219" s="37" t="n">
        <f aca="false">0.5*(B219-B218)*(W219+W218)</f>
        <v>5.94475433671238E-011</v>
      </c>
      <c r="BA219" s="37" t="n">
        <f aca="false">0.5*(B219-B218)*(X219+X218)</f>
        <v>9.29946872674815E-011</v>
      </c>
      <c r="BB219" s="37" t="n">
        <f aca="false">0.5*(B219-B218)*(Y219+Y218)</f>
        <v>9.02601047834735E-012</v>
      </c>
      <c r="BC219" s="37" t="n">
        <f aca="false">0.5*(B219-B218)*(Z219+Z218)</f>
        <v>8.52799585098531E-011</v>
      </c>
      <c r="BD219" s="37" t="n">
        <f aca="false">0.5*(B219-B218)*(AA219+AA218)</f>
        <v>6.83089487110298E-010</v>
      </c>
      <c r="BE219" s="37" t="n">
        <f aca="false">IF(B219&gt;2000,AK219,-999)</f>
        <v>-999</v>
      </c>
      <c r="BF219" s="37" t="n">
        <f aca="false">IF(AND(B219&lt;1000,AK219&gt;=-3),B219,1000000000)</f>
        <v>1000000000</v>
      </c>
    </row>
    <row r="220" customFormat="false" ht="15" hidden="false" customHeight="false" outlineLevel="0" collapsed="false">
      <c r="A220" s="5" t="n">
        <v>181</v>
      </c>
      <c r="B220" s="47" t="n">
        <f aca="false">20*10^(A220/100)</f>
        <v>1291.30845806931</v>
      </c>
      <c r="C220" s="37" t="n">
        <f aca="false">2*PI()*B220</f>
        <v>8113.53033077782</v>
      </c>
      <c r="D220" s="37" t="n">
        <f aca="false">SQRT(L_Rp0^2+L_Rp1^2*C220)</f>
        <v>85877459.7505229</v>
      </c>
      <c r="E220" s="5" t="str">
        <f aca="false">COMPLEX(D220,C220*L_Mp)</f>
        <v>85877459.7505229+119858905.027705i</v>
      </c>
      <c r="F220" s="5" t="str">
        <f aca="false">IMDIV(1,E220)</f>
        <v>3.95000614873958e-09-5.51301136777914e-09i</v>
      </c>
      <c r="G220" s="5" t="str">
        <f aca="false">COMPLEX(0,C220*L_Cf)</f>
        <v>8.57939127712575e-12i</v>
      </c>
      <c r="H220" s="5" t="str">
        <f aca="false">COMPLEX(0,C220*L_Cbv)</f>
        <v>8.57939127712575e-11i</v>
      </c>
      <c r="I220" s="5" t="str">
        <f aca="false">COMPLEX(L_Rsq+L_Rh,C220*(L_Md+L_Mh)-1/(C220*L_Cd))</f>
        <v>552400610.124532-141951800589.234i</v>
      </c>
      <c r="J220" s="5" t="str">
        <f aca="false">IMDIV(1,I220)</f>
        <v>2.74135804261919e-14+7.04453802326258e-12i</v>
      </c>
      <c r="K220" s="5" t="str">
        <f aca="false">IMSUM(F220,G220,H220)</f>
        <v>3.95000614873958e-09-5.41863806373076e-09i</v>
      </c>
      <c r="L220" s="5" t="str">
        <f aca="false">IMSUM(IMPRODUCT(IMSUM(F220,G220),H220),IMPRODUCT(IMSUM(J220,L_Yv),K220))</f>
        <v>5.18426854830305e-19+3.55726631079989e-19i</v>
      </c>
      <c r="M220" s="37" t="n">
        <f aca="false">IMABS(IMDIV(IMPRODUCT(J220,F220,H220),L220))^2</f>
        <v>4.25018384774138E-023</v>
      </c>
      <c r="N220" s="5" t="str">
        <f aca="false">IMDIV(IMPRODUCT(L_Yv,K220,E220),H220)</f>
        <v>0.000188930411451142-0.0230479876060424i</v>
      </c>
      <c r="O220" s="37" t="n">
        <f aca="false">IMABS(IMSUM(1,IMPRODUCT(E220,G220),N220))^2</f>
        <v>0.998819722651899</v>
      </c>
      <c r="P220" s="37" t="n">
        <f aca="false">IMABS(N220)^2</f>
        <v>0.000531245427388655</v>
      </c>
      <c r="Q220" s="37" t="n">
        <f aca="false">p_Rb^2/(1+(C220*p_Rb*L_Ctot)^2)</f>
        <v>2504106212609034</v>
      </c>
      <c r="R220" s="37" t="n">
        <f aca="false">M220*L_Kt^2*Q220</f>
        <v>2.13598346909921E-005</v>
      </c>
      <c r="S220" s="37" t="n">
        <f aca="false">L_kT4*D220</f>
        <v>1.41402561658459E-012</v>
      </c>
      <c r="T220" s="37" t="n">
        <f aca="false">L_kT4*L_Rsq*O220</f>
        <v>5.1593946711903E-012</v>
      </c>
      <c r="U220" s="37" t="n">
        <f aca="false">L_kT4*L_Rh*O220</f>
        <v>3.9254884960202E-012</v>
      </c>
      <c r="V220" s="37" t="n">
        <f aca="false">L_kT4*p_Rv*P220</f>
        <v>4.37364266015341E-012</v>
      </c>
      <c r="W220" s="37" t="n">
        <f aca="false">L_kT4/p_Rb*Q220/R220</f>
        <v>1.93033615979908E-012</v>
      </c>
      <c r="X220" s="37" t="n">
        <f aca="false">p_en^2*(1+p_fc/B220)/R220</f>
        <v>3.22831211842666E-012</v>
      </c>
      <c r="Y220" s="37" t="n">
        <f aca="false">p_in^2*Q220/R220</f>
        <v>2.93085860545666E-013</v>
      </c>
      <c r="Z220" s="37" t="n">
        <f aca="false">p_eo^2/L_G^2/R220</f>
        <v>2.96798774969826E-012</v>
      </c>
      <c r="AA220" s="37" t="n">
        <f aca="false">SUM(S220:Z220)</f>
        <v>2.32922733324181E-011</v>
      </c>
      <c r="AB220" s="47" t="n">
        <f aca="false">10*LOG10(AA220/L_PREF^2)</f>
        <v>-12.3484811346125</v>
      </c>
      <c r="AC220" s="47" t="n">
        <f aca="false">10*LOG10(S220/L_PREF^2)</f>
        <v>-24.5160271408734</v>
      </c>
      <c r="AD220" s="47" t="n">
        <f aca="false">10*LOG10(T220/L_PREF^2)</f>
        <v>-18.8946124055019</v>
      </c>
      <c r="AE220" s="47" t="n">
        <f aca="false">10*LOG10(U220/L_PREF^2)</f>
        <v>-20.0816628236766</v>
      </c>
      <c r="AF220" s="47" t="n">
        <f aca="false">10*LOG10(V220/L_PREF^2)</f>
        <v>-19.6121669435089</v>
      </c>
      <c r="AG220" s="47" t="n">
        <f aca="false">10*LOG10(W220/L_PREF^2)</f>
        <v>-23.1642704520461</v>
      </c>
      <c r="AH220" s="47" t="n">
        <f aca="false">10*LOG10(X220/L_PREF^2)</f>
        <v>-20.9308447495652</v>
      </c>
      <c r="AI220" s="47" t="n">
        <f aca="false">10*LOG10(Y220/L_PREF^2)</f>
        <v>-31.3506512422053</v>
      </c>
      <c r="AJ220" s="47" t="n">
        <f aca="false">10*LOG10(Z220/L_PREF^2)</f>
        <v>-21.2959788725784</v>
      </c>
      <c r="AK220" s="47" t="n">
        <f aca="false">10*LOG10(R220/$R$6)</f>
        <v>0.00826982615241402</v>
      </c>
      <c r="AL220" s="37" t="n">
        <f aca="false">(12194^2*B220^4/((B220^2+20.6^2)*SQRT((B220^2+107.7^2)*(B220^2+737.9^2))*(B220^2+12194^2))*1.2589254)^2</f>
        <v>1.15974384320616</v>
      </c>
      <c r="AM220" s="37" t="n">
        <f aca="false">0.5*(B220-B219)*(S220*AL220+S219*AL219)</f>
        <v>4.78868830546857E-011</v>
      </c>
      <c r="AN220" s="37" t="n">
        <f aca="false">0.5*(B220-B219)*(T220*AL220+T219*AL219)</f>
        <v>1.74938005989799E-010</v>
      </c>
      <c r="AO220" s="37" t="n">
        <f aca="false">0.5*(B220-B219)*(U220*AL220+U219*AL219)</f>
        <v>1.33100329359227E-010</v>
      </c>
      <c r="AP220" s="37" t="n">
        <f aca="false">0.5*(B220-B219)*(V220*AL220+V219*AL219)</f>
        <v>1.51841636584481E-010</v>
      </c>
      <c r="AQ220" s="37" t="n">
        <f aca="false">0.5*(B220-B219)*(W220*AL220+W219*AL219)</f>
        <v>6.69881826167842E-011</v>
      </c>
      <c r="AR220" s="37" t="n">
        <f aca="false">0.5*(B220-B219)*(X220*AL220+X219*AL219)</f>
        <v>1.09557095765121E-010</v>
      </c>
      <c r="AS220" s="37" t="n">
        <f aca="false">0.5*(B220-B219)*(Y220*AL220+Y219*AL219)</f>
        <v>1.01709171477542E-011</v>
      </c>
      <c r="AT220" s="37" t="n">
        <f aca="false">0.5*(B220-B219)*(Z220*AL220+Z219*AL219)</f>
        <v>1.00638845943706E-010</v>
      </c>
      <c r="AU220" s="37" t="n">
        <f aca="false">0.5*(B220-B219)*(AA220*AL220+AA219*AL219)</f>
        <v>7.95121896461559E-010</v>
      </c>
      <c r="AV220" s="37" t="n">
        <f aca="false">0.5*(B220-B219)*(S220+S219)</f>
        <v>4.15153819065315E-011</v>
      </c>
      <c r="AW220" s="37" t="n">
        <f aca="false">0.5*(B220-B219)*(T220+T219)</f>
        <v>1.51662957369229E-010</v>
      </c>
      <c r="AX220" s="37" t="n">
        <f aca="false">0.5*(B220-B219)*(U220+U219)</f>
        <v>1.15391675257896E-010</v>
      </c>
      <c r="AY220" s="37" t="n">
        <f aca="false">0.5*(B220-B219)*(V220+V219)</f>
        <v>1.31656321849925E-010</v>
      </c>
      <c r="AZ220" s="37" t="n">
        <f aca="false">0.5*(B220-B219)*(W220+W219)</f>
        <v>5.80828693596638E-011</v>
      </c>
      <c r="BA220" s="37" t="n">
        <f aca="false">0.5*(B220-B219)*(X220+X219)</f>
        <v>9.49812619741923E-011</v>
      </c>
      <c r="BB220" s="37" t="n">
        <f aca="false">0.5*(B220-B219)*(Y220+Y219)</f>
        <v>8.81880995847399E-012</v>
      </c>
      <c r="BC220" s="37" t="n">
        <f aca="false">0.5*(B220-B219)*(Z220+Z219)</f>
        <v>8.7249128060402E-011</v>
      </c>
      <c r="BD220" s="37" t="n">
        <f aca="false">0.5*(B220-B219)*(AA220+AA219)</f>
        <v>6.89358405736313E-010</v>
      </c>
      <c r="BE220" s="37" t="n">
        <f aca="false">IF(B220&gt;2000,AK220,-999)</f>
        <v>-999</v>
      </c>
      <c r="BF220" s="37" t="n">
        <f aca="false">IF(AND(B220&lt;1000,AK220&gt;=-3),B220,1000000000)</f>
        <v>1000000000</v>
      </c>
    </row>
    <row r="221" customFormat="false" ht="15" hidden="false" customHeight="false" outlineLevel="0" collapsed="false">
      <c r="A221" s="5" t="n">
        <v>182</v>
      </c>
      <c r="B221" s="47" t="n">
        <f aca="false">20*10^(A221/100)</f>
        <v>1321.38689601519</v>
      </c>
      <c r="C221" s="37" t="n">
        <f aca="false">2*PI()*B221</f>
        <v>8302.5187301423</v>
      </c>
      <c r="D221" s="37" t="n">
        <f aca="false">SQRT(L_Rp0^2+L_Rp1^2*C221)</f>
        <v>86080635.2765832</v>
      </c>
      <c r="E221" s="5" t="str">
        <f aca="false">COMPLEX(D221,C221*L_Mp)</f>
        <v>86080635.2765832+122650777.577295i</v>
      </c>
      <c r="F221" s="5" t="str">
        <f aca="false">IMDIV(1,E221)</f>
        <v>3.83379922640014e-09-5.46253468834615e-09i</v>
      </c>
      <c r="G221" s="5" t="str">
        <f aca="false">COMPLEX(0,C221*L_Cf)</f>
        <v>8.77923097191741e-12i</v>
      </c>
      <c r="H221" s="5" t="str">
        <f aca="false">COMPLEX(0,C221*L_Cbv)</f>
        <v>8.77923097191741e-11i</v>
      </c>
      <c r="I221" s="5" t="str">
        <f aca="false">COMPLEX(L_Rsq+L_Rh,C221*(L_Md+L_Mh)-1/(C221*L_Cd))</f>
        <v>552400610.124532-138719175114.007i</v>
      </c>
      <c r="J221" s="5" t="str">
        <f aca="false">IMDIV(1,I221)</f>
        <v>2.87061048993923e-14+7.20869441379173e-12i</v>
      </c>
      <c r="K221" s="5" t="str">
        <f aca="false">IMSUM(F221,G221,H221)</f>
        <v>3.83379922640014e-09-5.36596314765506e-09i</v>
      </c>
      <c r="L221" s="5" t="str">
        <f aca="false">IMSUM(IMPRODUCT(IMSUM(F221,G221),H221),IMPRODUCT(IMSUM(J221,L_Yv),K221))</f>
        <v>5.25257028709104e-19+3.53328813955888e-19i</v>
      </c>
      <c r="M221" s="37" t="n">
        <f aca="false">IMABS(IMDIV(IMPRODUCT(J221,F221,H221),L221))^2</f>
        <v>4.4514182042488E-023</v>
      </c>
      <c r="N221" s="5" t="str">
        <f aca="false">IMDIV(IMPRODUCT(L_Yv,K221,E221),H221)</f>
        <v>0.000189377397608486-0.0225112069292462i</v>
      </c>
      <c r="O221" s="37" t="n">
        <f aca="false">IMABS(IMSUM(1,IMPRODUCT(E221,G221),N221))^2</f>
        <v>0.998699284401354</v>
      </c>
      <c r="P221" s="37" t="n">
        <f aca="false">IMABS(N221)^2</f>
        <v>0.000506790301210067</v>
      </c>
      <c r="Q221" s="37" t="n">
        <f aca="false">p_Rb^2/(1+(C221*p_Rb*L_Ctot)^2)</f>
        <v>2391402867921364</v>
      </c>
      <c r="R221" s="37" t="n">
        <f aca="false">M221*L_Kt^2*Q221</f>
        <v>2.13642951103972E-005</v>
      </c>
      <c r="S221" s="37" t="n">
        <f aca="false">L_kT4*D221</f>
        <v>1.41737102758472E-012</v>
      </c>
      <c r="T221" s="37" t="n">
        <f aca="false">L_kT4*L_Rsq*O221</f>
        <v>5.15877254844484E-012</v>
      </c>
      <c r="U221" s="37" t="n">
        <f aca="false">L_kT4*L_Rh*O221</f>
        <v>3.92501515838351E-012</v>
      </c>
      <c r="V221" s="37" t="n">
        <f aca="false">L_kT4*p_Rv*P221</f>
        <v>4.17230825311698E-012</v>
      </c>
      <c r="W221" s="37" t="n">
        <f aca="false">L_kT4/p_Rb*Q221/R221</f>
        <v>1.8430718460149E-012</v>
      </c>
      <c r="X221" s="37" t="n">
        <f aca="false">p_en^2*(1+p_fc/B221)/R221</f>
        <v>3.22235747256142E-012</v>
      </c>
      <c r="Y221" s="37" t="n">
        <f aca="false">p_in^2*Q221/R221</f>
        <v>2.79836387716526E-013</v>
      </c>
      <c r="Z221" s="37" t="n">
        <f aca="false">p_eo^2/L_G^2/R221</f>
        <v>2.96736809573428E-012</v>
      </c>
      <c r="AA221" s="37" t="n">
        <f aca="false">SUM(S221:Z221)</f>
        <v>2.29861007895572E-011</v>
      </c>
      <c r="AB221" s="47" t="n">
        <f aca="false">10*LOG10(AA221/L_PREF^2)</f>
        <v>-12.4059468466069</v>
      </c>
      <c r="AC221" s="47" t="n">
        <f aca="false">10*LOG10(S221/L_PREF^2)</f>
        <v>-24.5057644020505</v>
      </c>
      <c r="AD221" s="47" t="n">
        <f aca="false">10*LOG10(T221/L_PREF^2)</f>
        <v>-18.8951361118346</v>
      </c>
      <c r="AE221" s="47" t="n">
        <f aca="false">10*LOG10(U221/L_PREF^2)</f>
        <v>-20.0821865300093</v>
      </c>
      <c r="AF221" s="47" t="n">
        <f aca="false">10*LOG10(V221/L_PREF^2)</f>
        <v>-19.816836044013</v>
      </c>
      <c r="AG221" s="47" t="n">
        <f aca="false">10*LOG10(W221/L_PREF^2)</f>
        <v>-23.3651772625558</v>
      </c>
      <c r="AH221" s="47" t="n">
        <f aca="false">10*LOG10(X221/L_PREF^2)</f>
        <v>-20.938862740687</v>
      </c>
      <c r="AI221" s="47" t="n">
        <f aca="false">10*LOG10(Y221/L_PREF^2)</f>
        <v>-31.551558052715</v>
      </c>
      <c r="AJ221" s="47" t="n">
        <f aca="false">10*LOG10(Z221/L_PREF^2)</f>
        <v>-21.2968856835776</v>
      </c>
      <c r="AK221" s="47" t="n">
        <f aca="false">10*LOG10(R221/$R$6)</f>
        <v>0.0091766371515654</v>
      </c>
      <c r="AL221" s="37" t="n">
        <f aca="false">(12194^2*B221^4/((B221^2+20.6^2)*SQRT((B221^2+107.7^2)*(B221^2+737.9^2))*(B221^2+12194^2))*1.2589254)^2</f>
        <v>1.1719028481931</v>
      </c>
      <c r="AM221" s="37" t="n">
        <f aca="false">0.5*(B221-B220)*(S221*AL221+S220*AL220)</f>
        <v>4.96433887384312E-011</v>
      </c>
      <c r="AN221" s="37" t="n">
        <f aca="false">0.5*(B221-B220)*(T221*AL221+T220*AL220)</f>
        <v>1.80909117870501E-010</v>
      </c>
      <c r="AO221" s="37" t="n">
        <f aca="false">0.5*(B221-B220)*(U221*AL221+U220*AL220)</f>
        <v>1.37643407082478E-010</v>
      </c>
      <c r="AP221" s="37" t="n">
        <f aca="false">0.5*(B221-B220)*(V221*AL221+V220*AL220)</f>
        <v>1.49818369425312E-010</v>
      </c>
      <c r="AQ221" s="37" t="n">
        <f aca="false">0.5*(B221-B220)*(W221*AL221+W220*AL220)</f>
        <v>6.61514577781294E-011</v>
      </c>
      <c r="AR221" s="37" t="n">
        <f aca="false">0.5*(B221-B220)*(X221*AL221+X220*AL220)</f>
        <v>1.13099513687691E-010</v>
      </c>
      <c r="AS221" s="37" t="n">
        <f aca="false">0.5*(B221-B220)*(Y221*AL221+Y220*AL220)</f>
        <v>1.00438759491877E-011</v>
      </c>
      <c r="AT221" s="37" t="n">
        <f aca="false">0.5*(B221-B220)*(Z221*AL221+Z220*AL220)</f>
        <v>1.04064968169007E-010</v>
      </c>
      <c r="AU221" s="37" t="n">
        <f aca="false">0.5*(B221-B220)*(AA221*AL221+AA220*AL220)</f>
        <v>8.11374098700738E-010</v>
      </c>
      <c r="AV221" s="37" t="n">
        <f aca="false">0.5*(B221-B220)*(S221+S220)</f>
        <v>4.25819941309111E-011</v>
      </c>
      <c r="AW221" s="37" t="n">
        <f aca="false">0.5*(B221-B220)*(T221+T220)</f>
        <v>1.55177176215509E-010</v>
      </c>
      <c r="AX221" s="37" t="n">
        <f aca="false">0.5*(B221-B220)*(U221+U220)</f>
        <v>1.18065443506447E-010</v>
      </c>
      <c r="AY221" s="37" t="n">
        <f aca="false">0.5*(B221-B220)*(V221+V220)</f>
        <v>1.28524427116674E-010</v>
      </c>
      <c r="AZ221" s="37" t="n">
        <f aca="false">0.5*(B221-B220)*(W221+W220)</f>
        <v>5.67491092736831E-011</v>
      </c>
      <c r="BA221" s="37" t="n">
        <f aca="false">0.5*(B221-B220)*(X221+X220)</f>
        <v>9.70130325009581E-011</v>
      </c>
      <c r="BB221" s="37" t="n">
        <f aca="false">0.5*(B221-B220)*(Y221+Y220)</f>
        <v>8.61630314608448E-012</v>
      </c>
      <c r="BC221" s="37" t="n">
        <f aca="false">0.5*(B221-B220)*(Z221+Z220)</f>
        <v>8.92631162417822E-011</v>
      </c>
      <c r="BD221" s="37" t="n">
        <f aca="false">0.5*(B221-B220)*(AA221+AA220)</f>
        <v>6.95990602132049E-010</v>
      </c>
      <c r="BE221" s="37" t="n">
        <f aca="false">IF(B221&gt;2000,AK221,-999)</f>
        <v>-999</v>
      </c>
      <c r="BF221" s="37" t="n">
        <f aca="false">IF(AND(B221&lt;1000,AK221&gt;=-3),B221,1000000000)</f>
        <v>1000000000</v>
      </c>
    </row>
    <row r="222" customFormat="false" ht="15" hidden="false" customHeight="false" outlineLevel="0" collapsed="false">
      <c r="A222" s="5" t="n">
        <v>183</v>
      </c>
      <c r="B222" s="47" t="n">
        <f aca="false">20*10^(A222/100)</f>
        <v>1352.16595078396</v>
      </c>
      <c r="C222" s="37" t="n">
        <f aca="false">2*PI()*B222</f>
        <v>8495.90923483432</v>
      </c>
      <c r="D222" s="37" t="n">
        <f aca="false">SQRT(L_Rp0^2+L_Rp1^2*C222)</f>
        <v>86288048.1240868</v>
      </c>
      <c r="E222" s="5" t="str">
        <f aca="false">COMPLEX(D222,C222*L_Mp)</f>
        <v>86288048.1240868+125507681.192631i</v>
      </c>
      <c r="F222" s="5" t="str">
        <f aca="false">IMDIV(1,E222)</f>
        <v>3.7196642981953e-09-5.41032565958796e-09i</v>
      </c>
      <c r="G222" s="5" t="str">
        <f aca="false">COMPLEX(0,C222*L_Cf)</f>
        <v>8.98372553117724e-12i</v>
      </c>
      <c r="H222" s="5" t="str">
        <f aca="false">COMPLEX(0,C222*L_Cbv)</f>
        <v>8.98372553117724e-11i</v>
      </c>
      <c r="I222" s="5" t="str">
        <f aca="false">COMPLEX(L_Rsq+L_Rh,C222*(L_Md+L_Mh)-1/(C222*L_Cd))</f>
        <v>552400610.124532-135560100381.591i</v>
      </c>
      <c r="J222" s="5" t="str">
        <f aca="false">IMDIV(1,I222)</f>
        <v>3.00595984354317e-14+7.37667936394713e-12i</v>
      </c>
      <c r="K222" s="5" t="str">
        <f aca="false">IMSUM(F222,G222,H222)</f>
        <v>3.7196642981953e-09-5.31150467874501e-09i</v>
      </c>
      <c r="L222" s="5" t="str">
        <f aca="false">IMSUM(IMPRODUCT(IMSUM(F222,G222),H222),IMPRODUCT(IMSUM(J222,L_Yv),K222))</f>
        <v>5.31974141522757e-19+3.50820531045143e-19i</v>
      </c>
      <c r="M222" s="37" t="n">
        <f aca="false">IMABS(IMDIV(IMPRODUCT(J222,F222,H222),L222))^2</f>
        <v>4.66221751827544E-023</v>
      </c>
      <c r="N222" s="5" t="str">
        <f aca="false">IMDIV(IMPRODUCT(L_Yv,K222,E222),H222)</f>
        <v>0.000189833705872989-0.0219863619923349i</v>
      </c>
      <c r="O222" s="37" t="n">
        <f aca="false">IMABS(IMSUM(1,IMPRODUCT(E222,G222),N222))^2</f>
        <v>0.998575407456009</v>
      </c>
      <c r="P222" s="37" t="n">
        <f aca="false">IMABS(N222)^2</f>
        <v>0.000483436150493875</v>
      </c>
      <c r="Q222" s="37" t="n">
        <f aca="false">p_Rb^2/(1+(C222*p_Rb*L_Ctot)^2)</f>
        <v>2283772009301110</v>
      </c>
      <c r="R222" s="37" t="n">
        <f aca="false">M222*L_Kt^2*Q222</f>
        <v>2.13689263766905E-005</v>
      </c>
      <c r="S222" s="37" t="n">
        <f aca="false">L_kT4*D222</f>
        <v>1.42078620870944E-012</v>
      </c>
      <c r="T222" s="37" t="n">
        <f aca="false">L_kT4*L_Rsq*O222</f>
        <v>5.15813266315103E-012</v>
      </c>
      <c r="U222" s="37" t="n">
        <f aca="false">L_kT4*L_Rh*O222</f>
        <v>3.92452830623908E-012</v>
      </c>
      <c r="V222" s="37" t="n">
        <f aca="false">L_kT4*p_Rv*P222</f>
        <v>3.98003796786281E-012</v>
      </c>
      <c r="W222" s="37" t="n">
        <f aca="false">L_kT4/p_Rb*Q222/R222</f>
        <v>1.75973847958169E-012</v>
      </c>
      <c r="X222" s="37" t="n">
        <f aca="false">p_en^2*(1+p_fc/B222)/R222</f>
        <v>3.21649977310575E-012</v>
      </c>
      <c r="Y222" s="37" t="n">
        <f aca="false">p_in^2*Q222/R222</f>
        <v>2.67183756572848E-013</v>
      </c>
      <c r="Z222" s="37" t="n">
        <f aca="false">p_eo^2/L_G^2/R222</f>
        <v>2.96672498097974E-012</v>
      </c>
      <c r="AA222" s="37" t="n">
        <f aca="false">SUM(S222:Z222)</f>
        <v>2.26936321362024E-011</v>
      </c>
      <c r="AB222" s="47" t="n">
        <f aca="false">10*LOG10(AA222/L_PREF^2)</f>
        <v>-12.461559806581</v>
      </c>
      <c r="AC222" s="47" t="n">
        <f aca="false">10*LOG10(S222/L_PREF^2)</f>
        <v>-24.4953125848357</v>
      </c>
      <c r="AD222" s="47" t="n">
        <f aca="false">10*LOG10(T222/L_PREF^2)</f>
        <v>-18.8956748366689</v>
      </c>
      <c r="AE222" s="47" t="n">
        <f aca="false">10*LOG10(U222/L_PREF^2)</f>
        <v>-20.0827252548436</v>
      </c>
      <c r="AF222" s="47" t="n">
        <f aca="false">10*LOG10(V222/L_PREF^2)</f>
        <v>-20.0217277625059</v>
      </c>
      <c r="AG222" s="47" t="n">
        <f aca="false">10*LOG10(W222/L_PREF^2)</f>
        <v>-23.5661186062385</v>
      </c>
      <c r="AH222" s="47" t="n">
        <f aca="false">10*LOG10(X222/L_PREF^2)</f>
        <v>-20.9467646622703</v>
      </c>
      <c r="AI222" s="47" t="n">
        <f aca="false">10*LOG10(Y222/L_PREF^2)</f>
        <v>-31.7524993963977</v>
      </c>
      <c r="AJ222" s="47" t="n">
        <f aca="false">10*LOG10(Z222/L_PREF^2)</f>
        <v>-21.2978270277277</v>
      </c>
      <c r="AK222" s="47" t="n">
        <f aca="false">10*LOG10(R222/$R$6)</f>
        <v>0.0101179813017375</v>
      </c>
      <c r="AL222" s="37" t="n">
        <f aca="false">(12194^2*B222^4/((B222^2+20.6^2)*SQRT((B222^2+107.7^2)*(B222^2+737.9^2))*(B222^2+12194^2))*1.2589254)^2</f>
        <v>1.18365906413672</v>
      </c>
      <c r="AM222" s="37" t="n">
        <f aca="false">0.5*(B222-B221)*(S222*AL222+S221*AL221)</f>
        <v>5.14433060111073E-011</v>
      </c>
      <c r="AN222" s="37" t="n">
        <f aca="false">0.5*(B222-B221)*(T222*AL222+T221*AL221)</f>
        <v>1.86998927857769E-010</v>
      </c>
      <c r="AO222" s="37" t="n">
        <f aca="false">0.5*(B222-B221)*(U222*AL222+U221*AL221)</f>
        <v>1.4227679541027E-010</v>
      </c>
      <c r="AP222" s="37" t="n">
        <f aca="false">0.5*(B222-B221)*(V222*AL222+V221*AL221)</f>
        <v>1.47747895452923E-010</v>
      </c>
      <c r="AQ222" s="37" t="n">
        <f aca="false">0.5*(B222-B221)*(W222*AL222+W221*AL221)</f>
        <v>6.52951722896867E-011</v>
      </c>
      <c r="AR222" s="37" t="n">
        <f aca="false">0.5*(B222-B221)*(X222*AL222+X221*AL221)</f>
        <v>1.16706927388476E-010</v>
      </c>
      <c r="AS222" s="37" t="n">
        <f aca="false">0.5*(B222-B221)*(Y222*AL222+Y221*AL221)</f>
        <v>9.91386482756053E-012</v>
      </c>
      <c r="AT222" s="37" t="n">
        <f aca="false">0.5*(B222-B221)*(Z222*AL222+Z221*AL221)</f>
        <v>1.07558300060181E-010</v>
      </c>
      <c r="AU222" s="37" t="n">
        <f aca="false">0.5*(B222-B221)*(AA222*AL222+AA221*AL221)</f>
        <v>8.27941189297974E-010</v>
      </c>
      <c r="AV222" s="37" t="n">
        <f aca="false">0.5*(B222-B221)*(S222+S221)</f>
        <v>4.36778985091417E-011</v>
      </c>
      <c r="AW222" s="37" t="n">
        <f aca="false">0.5*(B222-B221)*(T222+T221)</f>
        <v>1.58772295275967E-010</v>
      </c>
      <c r="AX222" s="37" t="n">
        <f aca="false">0.5*(B222-B221)*(U222+U221)</f>
        <v>1.20800764103736E-010</v>
      </c>
      <c r="AY222" s="37" t="n">
        <f aca="false">0.5*(B222-B221)*(V222+V221)</f>
        <v>1.25460755414763E-010</v>
      </c>
      <c r="AZ222" s="37" t="n">
        <f aca="false">0.5*(B222-B221)*(W222+W221)</f>
        <v>5.54455481665167E-011</v>
      </c>
      <c r="BA222" s="37" t="n">
        <f aca="false">0.5*(B222-B221)*(X222+X221)</f>
        <v>9.90909699063458E-011</v>
      </c>
      <c r="BB222" s="37" t="n">
        <f aca="false">0.5*(B222-B221)*(Y222+Y221)</f>
        <v>8.418381490352E-012</v>
      </c>
      <c r="BC222" s="37" t="n">
        <f aca="false">0.5*(B222-B221)*(Z222+Z221)</f>
        <v>9.13228879055847E-011</v>
      </c>
      <c r="BD222" s="37" t="n">
        <f aca="false">0.5*(B222-B221)*(AA222+AA221)</f>
        <v>7.02989500772407E-010</v>
      </c>
      <c r="BE222" s="37" t="n">
        <f aca="false">IF(B222&gt;2000,AK222,-999)</f>
        <v>-999</v>
      </c>
      <c r="BF222" s="37" t="n">
        <f aca="false">IF(AND(B222&lt;1000,AK222&gt;=-3),B222,1000000000)</f>
        <v>1000000000</v>
      </c>
    </row>
    <row r="223" customFormat="false" ht="15" hidden="false" customHeight="false" outlineLevel="0" collapsed="false">
      <c r="A223" s="5" t="n">
        <v>184</v>
      </c>
      <c r="B223" s="47" t="n">
        <f aca="false">20*10^(A223/100)</f>
        <v>1383.66194183787</v>
      </c>
      <c r="C223" s="37" t="n">
        <f aca="false">2*PI()*B223</f>
        <v>8693.8043830593</v>
      </c>
      <c r="D223" s="37" t="n">
        <f aca="false">SQRT(L_Rp0^2+L_Rp1^2*C223)</f>
        <v>86499777.383783</v>
      </c>
      <c r="E223" s="5" t="str">
        <f aca="false">COMPLEX(D223,C223*L_Mp)</f>
        <v>86499777.383783+128431130.641827i</v>
      </c>
      <c r="F223" s="5" t="str">
        <f aca="false">IMDIV(1,E223)</f>
        <v>3.60764977554715e-09-5.3564824517123e-09i</v>
      </c>
      <c r="G223" s="5" t="str">
        <f aca="false">COMPLEX(0,C223*L_Cf)</f>
        <v>9.19298338062736e-12i</v>
      </c>
      <c r="H223" s="5" t="str">
        <f aca="false">COMPLEX(0,C223*L_Cbv)</f>
        <v>9.19298338062737e-11i</v>
      </c>
      <c r="I223" s="5" t="str">
        <f aca="false">COMPLEX(L_Rsq+L_Rh,C223*(L_Md+L_Mh)-1/(C223*L_Cd))</f>
        <v>552400610.124532-132472901408.748i</v>
      </c>
      <c r="J223" s="5" t="str">
        <f aca="false">IMDIV(1,I223)</f>
        <v>3.14769396554096e-14+7.54858240051572e-12i</v>
      </c>
      <c r="K223" s="5" t="str">
        <f aca="false">IMSUM(F223,G223,H223)</f>
        <v>3.60764977554715e-09-5.2553596345254e-09i</v>
      </c>
      <c r="L223" s="5" t="str">
        <f aca="false">IMSUM(IMPRODUCT(IMSUM(F223,G223),H223),IMPRODUCT(IMSUM(J223,L_Yv),K223))</f>
        <v>5.38574804708704e-19+3.48207143993076e-19i</v>
      </c>
      <c r="M223" s="37" t="n">
        <f aca="false">IMABS(IMDIV(IMPRODUCT(J223,F223,H223),L223))^2</f>
        <v>4.88304043706418E-023</v>
      </c>
      <c r="N223" s="5" t="str">
        <f aca="false">IMDIV(IMPRODUCT(L_Yv,K223,E223),H223)</f>
        <v>0.000190299510244317-0.0214731745155759i</v>
      </c>
      <c r="O223" s="37" t="n">
        <f aca="false">IMABS(IMSUM(1,IMPRODUCT(E223,G223),N223))^2</f>
        <v>0.998447828347308</v>
      </c>
      <c r="P223" s="37" t="n">
        <f aca="false">IMABS(N223)^2</f>
        <v>0.000461133437679978</v>
      </c>
      <c r="Q223" s="37" t="n">
        <f aca="false">p_Rb^2/(1+(C223*p_Rb*L_Ctot)^2)</f>
        <v>2180985337270010</v>
      </c>
      <c r="R223" s="37" t="n">
        <f aca="false">M223*L_Kt^2*Q223</f>
        <v>2.13737385005895E-005</v>
      </c>
      <c r="S223" s="37" t="n">
        <f aca="false">L_kT4*D223</f>
        <v>1.42427246223697E-012</v>
      </c>
      <c r="T223" s="37" t="n">
        <f aca="false">L_kT4*L_Rsq*O223</f>
        <v>5.1574736543643E-012</v>
      </c>
      <c r="U223" s="37" t="n">
        <f aca="false">L_kT4*L_Rh*O223</f>
        <v>3.92402690412198E-012</v>
      </c>
      <c r="V223" s="37" t="n">
        <f aca="false">L_kT4*p_Rv*P223</f>
        <v>3.79642397107136E-012</v>
      </c>
      <c r="W223" s="37" t="n">
        <f aca="false">L_kT4/p_Rb*Q223/R223</f>
        <v>1.68015884218682E-012</v>
      </c>
      <c r="X223" s="37" t="n">
        <f aca="false">p_en^2*(1+p_fc/B223)/R223</f>
        <v>3.2107348587845E-012</v>
      </c>
      <c r="Y223" s="37" t="n">
        <f aca="false">p_in^2*Q223/R223</f>
        <v>2.55101059790015E-013</v>
      </c>
      <c r="Z223" s="37" t="n">
        <f aca="false">p_eo^2/L_G^2/R223</f>
        <v>2.9660570469081E-012</v>
      </c>
      <c r="AA223" s="37" t="n">
        <f aca="false">SUM(S223:Z223)</f>
        <v>2.2414248799464E-011</v>
      </c>
      <c r="AB223" s="47" t="n">
        <f aca="false">10*LOG10(AA223/L_PREF^2)</f>
        <v>-12.5153580300969</v>
      </c>
      <c r="AC223" s="47" t="n">
        <f aca="false">10*LOG10(S223/L_PREF^2)</f>
        <v>-24.4846691387599</v>
      </c>
      <c r="AD223" s="47" t="n">
        <f aca="false">10*LOG10(T223/L_PREF^2)</f>
        <v>-18.8962297315944</v>
      </c>
      <c r="AE223" s="47" t="n">
        <f aca="false">10*LOG10(U223/L_PREF^2)</f>
        <v>-20.0832801497692</v>
      </c>
      <c r="AF223" s="47" t="n">
        <f aca="false">10*LOG10(V223/L_PREF^2)</f>
        <v>-20.2268528440753</v>
      </c>
      <c r="AG223" s="47" t="n">
        <f aca="false">10*LOG10(W223/L_PREF^2)</f>
        <v>-23.7670964946862</v>
      </c>
      <c r="AH223" s="47" t="n">
        <f aca="false">10*LOG10(X223/L_PREF^2)</f>
        <v>-20.9545554814738</v>
      </c>
      <c r="AI223" s="47" t="n">
        <f aca="false">10*LOG10(Y223/L_PREF^2)</f>
        <v>-31.9534772848454</v>
      </c>
      <c r="AJ223" s="47" t="n">
        <f aca="false">10*LOG10(Z223/L_PREF^2)</f>
        <v>-21.2988049166219</v>
      </c>
      <c r="AK223" s="47" t="n">
        <f aca="false">10*LOG10(R223/$R$6)</f>
        <v>0.0110958701958535</v>
      </c>
      <c r="AL223" s="37" t="n">
        <f aca="false">(12194^2*B223^4/((B223^2+20.6^2)*SQRT((B223^2+107.7^2)*(B223^2+737.9^2))*(B223^2+12194^2))*1.2589254)^2</f>
        <v>1.19500711818489</v>
      </c>
      <c r="AM223" s="37" t="n">
        <f aca="false">0.5*(B223-B222)*(S223*AL223+S222*AL222)</f>
        <v>5.32871571047279E-011</v>
      </c>
      <c r="AN223" s="37" t="n">
        <f aca="false">0.5*(B223-B222)*(T223*AL223+T222*AL222)</f>
        <v>1.93207247045986E-010</v>
      </c>
      <c r="AO223" s="37" t="n">
        <f aca="false">0.5*(B223-B222)*(U223*AL223+U222*AL222)</f>
        <v>1.47000350615119E-010</v>
      </c>
      <c r="AP223" s="37" t="n">
        <f aca="false">0.5*(B223-B222)*(V223*AL223+V222*AL222)</f>
        <v>1.4563370965519E-010</v>
      </c>
      <c r="AQ223" s="37" t="n">
        <f aca="false">0.5*(B223-B222)*(W223*AL223+W222*AL222)</f>
        <v>6.44208320405085E-011</v>
      </c>
      <c r="AR223" s="37" t="n">
        <f aca="false">0.5*(B223-B222)*(X223*AL223+X222*AL222)</f>
        <v>1.20379097050188E-010</v>
      </c>
      <c r="AS223" s="37" t="n">
        <f aca="false">0.5*(B223-B222)*(Y223*AL223+Y222*AL222)</f>
        <v>9.7811124242865E-012</v>
      </c>
      <c r="AT223" s="37" t="n">
        <f aca="false">0.5*(B223-B222)*(Z223*AL223+Z222*AL222)</f>
        <v>1.11118646964499E-010</v>
      </c>
      <c r="AU223" s="37" t="n">
        <f aca="false">0.5*(B223-B222)*(AA223*AL223+AA222*AL222)</f>
        <v>8.44828152900504E-010</v>
      </c>
      <c r="AV223" s="37" t="n">
        <f aca="false">0.5*(B223-B222)*(S223+S222)</f>
        <v>4.48039712239877E-011</v>
      </c>
      <c r="AW223" s="37" t="n">
        <f aca="false">0.5*(B223-B222)*(T223+T222)</f>
        <v>1.62450122146057E-010</v>
      </c>
      <c r="AX223" s="37" t="n">
        <f aca="false">0.5*(B223-B222)*(U223+U222)</f>
        <v>1.23599012345823E-010</v>
      </c>
      <c r="AY223" s="37" t="n">
        <f aca="false">0.5*(B223-B222)*(V223+V222)</f>
        <v>1.22463687829869E-010</v>
      </c>
      <c r="AZ223" s="37" t="n">
        <f aca="false">0.5*(B223-B222)*(W223+W222)</f>
        <v>5.41714876363939E-011</v>
      </c>
      <c r="BA223" s="37" t="n">
        <f aca="false">0.5*(B223-B222)*(X223+X222)</f>
        <v>1.01216062233696E-010</v>
      </c>
      <c r="BB223" s="37" t="n">
        <f aca="false">0.5*(B223-B222)*(Y223+Y222)</f>
        <v>8.22493895187872E-012</v>
      </c>
      <c r="BC223" s="37" t="n">
        <f aca="false">0.5*(B223-B222)*(Z223+Z222)</f>
        <v>9.3429424837575E-011</v>
      </c>
      <c r="BD223" s="37" t="n">
        <f aca="false">0.5*(B223-B222)*(AA223+AA222)</f>
        <v>7.1035870720528E-010</v>
      </c>
      <c r="BE223" s="37" t="n">
        <f aca="false">IF(B223&gt;2000,AK223,-999)</f>
        <v>-999</v>
      </c>
      <c r="BF223" s="37" t="n">
        <f aca="false">IF(AND(B223&lt;1000,AK223&gt;=-3),B223,1000000000)</f>
        <v>1000000000</v>
      </c>
    </row>
    <row r="224" customFormat="false" ht="15" hidden="false" customHeight="false" outlineLevel="0" collapsed="false">
      <c r="A224" s="5" t="n">
        <v>185</v>
      </c>
      <c r="B224" s="47" t="n">
        <f aca="false">20*10^(A224/100)</f>
        <v>1415.89156876828</v>
      </c>
      <c r="C224" s="37" t="n">
        <f aca="false">2*PI()*B224</f>
        <v>8896.30910144429</v>
      </c>
      <c r="D224" s="37" t="n">
        <f aca="false">SQRT(L_Rp0^2+L_Rp1^2*C224)</f>
        <v>86715903.2831088</v>
      </c>
      <c r="E224" s="5" t="str">
        <f aca="false">COMPLEX(D224,C224*L_Mp)</f>
        <v>86715903.2831088+131422675.976475i</v>
      </c>
      <c r="F224" s="5" t="str">
        <f aca="false">IMDIV(1,E224)</f>
        <v>3.49779830512303e-09-5.30110390229642e-09i</v>
      </c>
      <c r="G224" s="5" t="str">
        <f aca="false">COMPLEX(0,C224*L_Cf)</f>
        <v>9.40711547154942e-12i</v>
      </c>
      <c r="H224" s="5" t="str">
        <f aca="false">COMPLEX(0,C224*L_Cbv)</f>
        <v>9.40711547154942e-11i</v>
      </c>
      <c r="I224" s="5" t="str">
        <f aca="false">COMPLEX(L_Rsq+L_Rh,C224*(L_Md+L_Mh)-1/(C224*L_Cd))</f>
        <v>552400610.124532-129455941321.718i</v>
      </c>
      <c r="J224" s="5" t="str">
        <f aca="false">IMDIV(1,I224)</f>
        <v>3.29611433513791e-14+7.72449516055191e-12i</v>
      </c>
      <c r="K224" s="5" t="str">
        <f aca="false">IMSUM(F224,G224,H224)</f>
        <v>3.49779830512303e-09-5.19762563210938e-09i</v>
      </c>
      <c r="L224" s="5" t="str">
        <f aca="false">IMSUM(IMPRODUCT(IMSUM(F224,G224),H224),IMPRODUCT(IMSUM(J224,L_Yv),K224))</f>
        <v>5.45055949224071e-19+3.45494080657566e-19i</v>
      </c>
      <c r="M224" s="37" t="n">
        <f aca="false">IMABS(IMDIV(IMPRODUCT(J224,F224,H224),L224))^2</f>
        <v>5.11436798802677E-023</v>
      </c>
      <c r="N224" s="5" t="str">
        <f aca="false">IMDIV(IMPRODUCT(L_Yv,K224,E224),H224)</f>
        <v>0.00019077498722284-0.0209713724001761i</v>
      </c>
      <c r="O224" s="37" t="n">
        <f aca="false">IMABS(IMSUM(1,IMPRODUCT(E224,G224),N224))^2</f>
        <v>0.998316275792155</v>
      </c>
      <c r="P224" s="37" t="n">
        <f aca="false">IMABS(N224)^2</f>
        <v>0.000439834855442618</v>
      </c>
      <c r="Q224" s="37" t="n">
        <f aca="false">p_Rb^2/(1+(C224*p_Rb*L_Ctot)^2)</f>
        <v>2082824827518770</v>
      </c>
      <c r="R224" s="37" t="n">
        <f aca="false">M224*L_Kt^2*Q224</f>
        <v>2.13787418931745E-005</v>
      </c>
      <c r="S224" s="37" t="n">
        <f aca="false">L_kT4*D224</f>
        <v>1.42783110916181E-012</v>
      </c>
      <c r="T224" s="37" t="n">
        <f aca="false">L_kT4*L_Rsq*O224</f>
        <v>5.15679412077416E-012</v>
      </c>
      <c r="U224" s="37" t="n">
        <f aca="false">L_kT4*L_Rh*O224</f>
        <v>3.92350988585516E-012</v>
      </c>
      <c r="V224" s="37" t="n">
        <f aca="false">L_kT4*p_Rv*P224</f>
        <v>3.62107679051869E-012</v>
      </c>
      <c r="W224" s="37" t="n">
        <f aca="false">L_kT4/p_Rb*Q224/R224</f>
        <v>1.60416371803831E-012</v>
      </c>
      <c r="X224" s="37" t="n">
        <f aca="false">p_en^2*(1+p_fc/B224)/R224</f>
        <v>3.20505858039612E-012</v>
      </c>
      <c r="Y224" s="37" t="n">
        <f aca="false">p_in^2*Q224/R224</f>
        <v>2.43562605078243E-013</v>
      </c>
      <c r="Z224" s="37" t="n">
        <f aca="false">p_eo^2/L_G^2/R224</f>
        <v>2.96536288314911E-012</v>
      </c>
      <c r="AA224" s="37" t="n">
        <f aca="false">SUM(S224:Z224)</f>
        <v>2.21473596929716E-011</v>
      </c>
      <c r="AB224" s="47" t="n">
        <f aca="false">10*LOG10(AA224/L_PREF^2)</f>
        <v>-12.5673803228674</v>
      </c>
      <c r="AC224" s="47" t="n">
        <f aca="false">10*LOG10(S224/L_PREF^2)</f>
        <v>-24.4738315132261</v>
      </c>
      <c r="AD224" s="47" t="n">
        <f aca="false">10*LOG10(T224/L_PREF^2)</f>
        <v>-18.896801982956</v>
      </c>
      <c r="AE224" s="47" t="n">
        <f aca="false">10*LOG10(U224/L_PREF^2)</f>
        <v>-20.0838524011307</v>
      </c>
      <c r="AF224" s="47" t="n">
        <f aca="false">10*LOG10(V224/L_PREF^2)</f>
        <v>-20.4322225652893</v>
      </c>
      <c r="AG224" s="47" t="n">
        <f aca="false">10*LOG10(W224/L_PREF^2)</f>
        <v>-23.9681130181109</v>
      </c>
      <c r="AH224" s="47" t="n">
        <f aca="false">10*LOG10(X224/L_PREF^2)</f>
        <v>-20.962240195916</v>
      </c>
      <c r="AI224" s="47" t="n">
        <f aca="false">10*LOG10(Y224/L_PREF^2)</f>
        <v>-32.1544938082701</v>
      </c>
      <c r="AJ224" s="47" t="n">
        <f aca="false">10*LOG10(Z224/L_PREF^2)</f>
        <v>-21.2998214404728</v>
      </c>
      <c r="AK224" s="47" t="n">
        <f aca="false">10*LOG10(R224/$R$6)</f>
        <v>0.0121123940467961</v>
      </c>
      <c r="AL224" s="37" t="n">
        <f aca="false">(12194^2*B224^4/((B224^2+20.6^2)*SQRT((B224^2+107.7^2)*(B224^2+737.9^2))*(B224^2+12194^2))*1.2589254)^2</f>
        <v>1.20594229822552</v>
      </c>
      <c r="AM224" s="37" t="n">
        <f aca="false">0.5*(B224-B223)*(S224*AL224+S223*AL223)</f>
        <v>5.5175472112719E-011</v>
      </c>
      <c r="AN224" s="37" t="n">
        <f aca="false">0.5*(B224-B223)*(T224*AL224+T223*AL223)</f>
        <v>1.99533844036778E-010</v>
      </c>
      <c r="AO224" s="37" t="n">
        <f aca="false">0.5*(B224-B223)*(U224*AL224+U223*AL223)</f>
        <v>1.51813896639226E-010</v>
      </c>
      <c r="AP224" s="37" t="n">
        <f aca="false">0.5*(B224-B223)*(V224*AL224+V223*AL223)</f>
        <v>1.4347926233343E-010</v>
      </c>
      <c r="AQ224" s="37" t="n">
        <f aca="false">0.5*(B224-B223)*(W224*AL224+W223*AL223)</f>
        <v>6.35299231549856E-011</v>
      </c>
      <c r="AR224" s="37" t="n">
        <f aca="false">0.5*(B224-B223)*(X224*AL224+X223*AL223)</f>
        <v>1.24115757028007E-010</v>
      </c>
      <c r="AS224" s="37" t="n">
        <f aca="false">0.5*(B224-B223)*(Y224*AL224+Y223*AL223)</f>
        <v>9.64584437988098E-012</v>
      </c>
      <c r="AT224" s="37" t="n">
        <f aca="false">0.5*(B224-B223)*(Z224*AL224+Z223*AL223)</f>
        <v>1.14745784124673E-010</v>
      </c>
      <c r="AU224" s="37" t="n">
        <f aca="false">0.5*(B224-B223)*(AA224*AL224+AA223*AL223)</f>
        <v>8.62039783809699E-010</v>
      </c>
      <c r="AV224" s="37" t="n">
        <f aca="false">0.5*(B224-B223)*(S224+S223)</f>
        <v>4.59611170365262E-011</v>
      </c>
      <c r="AW224" s="37" t="n">
        <f aca="false">0.5*(B224-B223)*(T224+T223)</f>
        <v>1.66212501226495E-010</v>
      </c>
      <c r="AX224" s="37" t="n">
        <f aca="false">0.5*(B224-B223)*(U224+U223)</f>
        <v>1.26461591531787E-010</v>
      </c>
      <c r="AY224" s="37" t="n">
        <f aca="false">0.5*(B224-B223)*(V224+V223)</f>
        <v>1.19531641151013E-010</v>
      </c>
      <c r="AZ224" s="37" t="n">
        <f aca="false">0.5*(B224-B223)*(W224+W223)</f>
        <v>5.29262454175808E-011</v>
      </c>
      <c r="BA224" s="37" t="n">
        <f aca="false">0.5*(B224-B223)*(X224+X223)</f>
        <v>1.03389314503659E-010</v>
      </c>
      <c r="BB224" s="37" t="n">
        <f aca="false">0.5*(B224-B223)*(Y224+Y223)</f>
        <v>8.0358719412257E-012</v>
      </c>
      <c r="BC224" s="37" t="n">
        <f aca="false">0.5*(B224-B223)*(Z224+Z223)</f>
        <v>9.55837257566503E-011</v>
      </c>
      <c r="BD224" s="37" t="n">
        <f aca="false">0.5*(B224-B223)*(AA224+AA223)</f>
        <v>7.18102008564937E-010</v>
      </c>
      <c r="BE224" s="37" t="n">
        <f aca="false">IF(B224&gt;2000,AK224,-999)</f>
        <v>-999</v>
      </c>
      <c r="BF224" s="37" t="n">
        <f aca="false">IF(AND(B224&lt;1000,AK224&gt;=-3),B224,1000000000)</f>
        <v>1000000000</v>
      </c>
    </row>
    <row r="225" customFormat="false" ht="15" hidden="false" customHeight="false" outlineLevel="0" collapsed="false">
      <c r="A225" s="5" t="n">
        <v>186</v>
      </c>
      <c r="B225" s="47" t="n">
        <f aca="false">20*10^(A225/100)</f>
        <v>1448.87192014998</v>
      </c>
      <c r="C225" s="37" t="n">
        <f aca="false">2*PI()*B225</f>
        <v>9103.53076067143</v>
      </c>
      <c r="D225" s="37" t="n">
        <f aca="false">SQRT(L_Rp0^2+L_Rp1^2*C225)</f>
        <v>86936507.1912896</v>
      </c>
      <c r="E225" s="5" t="str">
        <f aca="false">COMPLEX(D225,C225*L_Mp)</f>
        <v>86936507.1912896+134483903.353511i</v>
      </c>
      <c r="F225" s="5" t="str">
        <f aca="false">IMDIV(1,E225)</f>
        <v>3.39014684627503e-09-5.24428914340305e-09i</v>
      </c>
      <c r="G225" s="5" t="str">
        <f aca="false">COMPLEX(0,C225*L_Cf)</f>
        <v>9.62623533961238e-12i</v>
      </c>
      <c r="H225" s="5" t="str">
        <f aca="false">COMPLEX(0,C225*L_Cbv)</f>
        <v>9.62623533961239e-11i</v>
      </c>
      <c r="I225" s="5" t="str">
        <f aca="false">COMPLEX(L_Rsq+L_Rh,C225*(L_Md+L_Mh)-1/(C225*L_Cd))</f>
        <v>552400610.124532-126507620488.328i</v>
      </c>
      <c r="J225" s="5" t="str">
        <f aca="false">IMDIV(1,I225)</f>
        <v>3.45153669527355e-14+7.90451144231662e-12i</v>
      </c>
      <c r="K225" s="5" t="str">
        <f aca="false">IMSUM(F225,G225,H225)</f>
        <v>3.39014684627503e-09-5.13840055466731e-09i</v>
      </c>
      <c r="L225" s="5" t="str">
        <f aca="false">IMSUM(IMPRODUCT(IMSUM(F225,G225),H225),IMPRODUCT(IMSUM(J225,L_Yv),K225))</f>
        <v>5.51414822600131e-19+3.42686813428367e-19i</v>
      </c>
      <c r="M225" s="37" t="n">
        <f aca="false">IMABS(IMDIV(IMPRODUCT(J225,F225,H225),L225))^2</f>
        <v>5.35670470813587E-023</v>
      </c>
      <c r="N225" s="5" t="str">
        <f aca="false">IMDIV(IMPRODUCT(L_Yv,K225,E225),H225)</f>
        <v>0.000191260315820845-0.0204806895840117i</v>
      </c>
      <c r="O225" s="37" t="n">
        <f aca="false">IMABS(IMSUM(1,IMPRODUCT(E225,G225),N225))^2</f>
        <v>0.998180470123577</v>
      </c>
      <c r="P225" s="37" t="n">
        <f aca="false">IMABS(N225)^2</f>
        <v>0.000419495226345053</v>
      </c>
      <c r="Q225" s="37" t="n">
        <f aca="false">p_Rb^2/(1+(C225*p_Rb*L_Ctot)^2)</f>
        <v>1989082268448265</v>
      </c>
      <c r="R225" s="37" t="n">
        <f aca="false">M225*L_Kt^2*Q225</f>
        <v>2.13839473895247E-005</v>
      </c>
      <c r="S225" s="37" t="n">
        <f aca="false">L_kT4*D225</f>
        <v>1.43146348927869E-012</v>
      </c>
      <c r="T225" s="37" t="n">
        <f aca="false">L_kT4*L_Rsq*O225</f>
        <v>5.15609261776327E-012</v>
      </c>
      <c r="U225" s="37" t="n">
        <f aca="false">L_kT4*L_Rh*O225</f>
        <v>3.92297615231185E-012</v>
      </c>
      <c r="V225" s="37" t="n">
        <f aca="false">L_kT4*p_Rv*P225</f>
        <v>3.45362448895238E-012</v>
      </c>
      <c r="W225" s="37" t="n">
        <f aca="false">L_kT4/p_Rb*Q225/R225</f>
        <v>1.53159153138091E-012</v>
      </c>
      <c r="X225" s="37" t="n">
        <f aca="false">p_en^2*(1+p_fc/B225)/R225</f>
        <v>3.19946679630556E-012</v>
      </c>
      <c r="Y225" s="37" t="n">
        <f aca="false">p_in^2*Q225/R225</f>
        <v>2.32543860146075E-013</v>
      </c>
      <c r="Z225" s="37" t="n">
        <f aca="false">p_eo^2/L_G^2/R225</f>
        <v>2.96464102457996E-012</v>
      </c>
      <c r="AA225" s="37" t="n">
        <f aca="false">SUM(S225:Z225)</f>
        <v>2.18923999607187E-011</v>
      </c>
      <c r="AB225" s="47" t="n">
        <f aca="false">10*LOG10(AA225/L_PREF^2)</f>
        <v>-12.6176661749122</v>
      </c>
      <c r="AC225" s="47" t="n">
        <f aca="false">10*LOG10(S225/L_PREF^2)</f>
        <v>-24.4627971588757</v>
      </c>
      <c r="AD225" s="47" t="n">
        <f aca="false">10*LOG10(T225/L_PREF^2)</f>
        <v>-18.897392814398</v>
      </c>
      <c r="AE225" s="47" t="n">
        <f aca="false">10*LOG10(U225/L_PREF^2)</f>
        <v>-20.0844432325727</v>
      </c>
      <c r="AF225" s="47" t="n">
        <f aca="false">10*LOG10(V225/L_PREF^2)</f>
        <v>-20.6378487617455</v>
      </c>
      <c r="AG225" s="47" t="n">
        <f aca="false">10*LOG10(W225/L_PREF^2)</f>
        <v>-24.1691703498733</v>
      </c>
      <c r="AH225" s="47" t="n">
        <f aca="false">10*LOG10(X225/L_PREF^2)</f>
        <v>-20.9698238385711</v>
      </c>
      <c r="AI225" s="47" t="n">
        <f aca="false">10*LOG10(Y225/L_PREF^2)</f>
        <v>-32.3555511400324</v>
      </c>
      <c r="AJ225" s="47" t="n">
        <f aca="false">10*LOG10(Z225/L_PREF^2)</f>
        <v>-21.3008787726423</v>
      </c>
      <c r="AK225" s="47" t="n">
        <f aca="false">10*LOG10(R225/$R$6)</f>
        <v>0.013169726216298</v>
      </c>
      <c r="AL225" s="37" t="n">
        <f aca="false">(12194^2*B225^4/((B225^2+20.6^2)*SQRT((B225^2+107.7^2)*(B225^2+737.9^2))*(B225^2+12194^2))*1.2589254)^2</f>
        <v>1.21646051479446</v>
      </c>
      <c r="AM225" s="37" t="n">
        <f aca="false">0.5*(B225-B224)*(S225*AL225+S224*AL224)</f>
        <v>5.71087886938422E-011</v>
      </c>
      <c r="AN225" s="37" t="n">
        <f aca="false">0.5*(B225-B224)*(T225*AL225+T224*AL224)</f>
        <v>2.05978442113089E-010</v>
      </c>
      <c r="AO225" s="37" t="n">
        <f aca="false">0.5*(B225-B224)*(U225*AL225+U224*AL224)</f>
        <v>1.56717222944403E-010</v>
      </c>
      <c r="AP225" s="37" t="n">
        <f aca="false">0.5*(B225-B224)*(V225*AL225+V224*AL224)</f>
        <v>1.41287948839658E-010</v>
      </c>
      <c r="AQ225" s="37" t="n">
        <f aca="false">0.5*(B225-B224)*(W225*AL225+W224*AL224)</f>
        <v>6.26239075263051E-011</v>
      </c>
      <c r="AR225" s="37" t="n">
        <f aca="false">0.5*(B225-B224)*(X225*AL225+X224*AL224)</f>
        <v>1.2791661360342E-010</v>
      </c>
      <c r="AS225" s="37" t="n">
        <f aca="false">0.5*(B225-B224)*(Y225*AL225+Y224*AL224)</f>
        <v>9.50828265579906E-012</v>
      </c>
      <c r="AT225" s="37" t="n">
        <f aca="false">0.5*(B225-B224)*(Z225*AL225+Z224*AL224)</f>
        <v>1.18439454709405E-010</v>
      </c>
      <c r="AU225" s="37" t="n">
        <f aca="false">0.5*(B225-B224)*(AA225*AL225+AA224*AL224)</f>
        <v>8.79580661085921E-010</v>
      </c>
      <c r="AV225" s="37" t="n">
        <f aca="false">0.5*(B225-B224)*(S225+S224)</f>
        <v>4.71502702801885E-011</v>
      </c>
      <c r="AW225" s="37" t="n">
        <f aca="false">0.5*(B225-B224)*(T225+T224)</f>
        <v>1.70061314198342E-010</v>
      </c>
      <c r="AX225" s="37" t="n">
        <f aca="false">0.5*(B225-B224)*(U225+U224)</f>
        <v>1.29389933325193E-010</v>
      </c>
      <c r="AY225" s="37" t="n">
        <f aca="false">0.5*(B225-B224)*(V225+V224)</f>
        <v>1.16663067058775E-010</v>
      </c>
      <c r="AZ225" s="37" t="n">
        <f aca="false">0.5*(B225-B224)*(W225+W224)</f>
        <v>5.17091549864351E-011</v>
      </c>
      <c r="BA225" s="37" t="n">
        <f aca="false">0.5*(B225-B224)*(X225+X224)</f>
        <v>1.05611748678332E-010</v>
      </c>
      <c r="BB225" s="37" t="n">
        <f aca="false">0.5*(B225-B224)*(Y225+Y224)</f>
        <v>7.85107925909961E-012</v>
      </c>
      <c r="BC225" s="37" t="n">
        <f aca="false">0.5*(B225-B224)*(Z225+Z224)</f>
        <v>9.77868062858925E-011</v>
      </c>
      <c r="BD225" s="37" t="n">
        <f aca="false">0.5*(B225-B224)*(AA225+AA224)</f>
        <v>7.26223374072257E-010</v>
      </c>
      <c r="BE225" s="37" t="n">
        <f aca="false">IF(B225&gt;2000,AK225,-999)</f>
        <v>-999</v>
      </c>
      <c r="BF225" s="37" t="n">
        <f aca="false">IF(AND(B225&lt;1000,AK225&gt;=-3),B225,1000000000)</f>
        <v>1000000000</v>
      </c>
    </row>
    <row r="226" customFormat="false" ht="15" hidden="false" customHeight="false" outlineLevel="0" collapsed="false">
      <c r="A226" s="5" t="n">
        <v>187</v>
      </c>
      <c r="B226" s="47" t="n">
        <f aca="false">20*10^(A226/100)</f>
        <v>1482.62048260184</v>
      </c>
      <c r="C226" s="37" t="n">
        <f aca="false">2*PI()*B226</f>
        <v>9315.57923240736</v>
      </c>
      <c r="D226" s="37" t="n">
        <f aca="false">SQRT(L_Rp0^2+L_Rp1^2*C226)</f>
        <v>87161671.624126</v>
      </c>
      <c r="E226" s="5" t="str">
        <f aca="false">COMPLEX(D226,C226*L_Mp)</f>
        <v>87161671.624126+137616435.87621i</v>
      </c>
      <c r="F226" s="5" t="str">
        <f aca="false">IMDIV(1,E226)</f>
        <v>3.2847267741847e-09-5.18613724435888e-09i</v>
      </c>
      <c r="G226" s="5" t="str">
        <f aca="false">COMPLEX(0,C226*L_Cf)</f>
        <v>9.8504591650707e-12i</v>
      </c>
      <c r="H226" s="5" t="str">
        <f aca="false">COMPLEX(0,C226*L_Cbv)</f>
        <v>9.8504591650707e-11i</v>
      </c>
      <c r="I226" s="5" t="str">
        <f aca="false">COMPLEX(L_Rsq+L_Rh,C226*(L_Md+L_Mh)-1/(C226*L_Cd))</f>
        <v>552400610.124532-123626375669.847i</v>
      </c>
      <c r="J226" s="5" t="str">
        <f aca="false">IMDIV(1,I226)</f>
        <v>3.61429173020782e-14+8.08872725753077e-12i</v>
      </c>
      <c r="K226" s="5" t="str">
        <f aca="false">IMSUM(F226,G226,H226)</f>
        <v>3.2847267741847e-09-5.0777821935431e-09i</v>
      </c>
      <c r="L226" s="5" t="str">
        <f aca="false">IMSUM(IMPRODUCT(IMSUM(F226,G226),H226),IMPRODUCT(IMSUM(J226,L_Yv),K226))</f>
        <v>5.57648984435712e-19+3.39790838318112e-19i</v>
      </c>
      <c r="M226" s="37" t="n">
        <f aca="false">IMABS(IMDIV(IMPRODUCT(J226,F226,H226),L226))^2</f>
        <v>5.61057983387231E-023</v>
      </c>
      <c r="N226" s="5" t="str">
        <f aca="false">IMDIV(IMPRODUCT(L_Yv,K226,E226),H226)</f>
        <v>0.000191755677573091-0.0200008659005588i</v>
      </c>
      <c r="O226" s="37" t="n">
        <f aca="false">IMABS(IMSUM(1,IMPRODUCT(E226,G226),N226))^2</f>
        <v>0.998040122704228</v>
      </c>
      <c r="P226" s="37" t="n">
        <f aca="false">IMABS(N226)^2</f>
        <v>0.000400071407012018</v>
      </c>
      <c r="Q226" s="37" t="n">
        <f aca="false">p_Rb^2/(1+(C226*p_Rb*L_Ctot)^2)</f>
        <v>1899558819524850</v>
      </c>
      <c r="R226" s="37" t="n">
        <f aca="false">M226*L_Kt^2*Q226</f>
        <v>2.13893662734098E-005</v>
      </c>
      <c r="S226" s="37" t="n">
        <f aca="false">L_kT4*D226</f>
        <v>1.43517096126144E-012</v>
      </c>
      <c r="T226" s="37" t="n">
        <f aca="false">L_kT4*L_Rsq*O226</f>
        <v>5.1553676543779E-012</v>
      </c>
      <c r="U226" s="37" t="n">
        <f aca="false">L_kT4*L_Rh*O226</f>
        <v>3.92242456911059E-012</v>
      </c>
      <c r="V226" s="37" t="n">
        <f aca="false">L_kT4*p_Rv*P226</f>
        <v>3.29371187516168E-012</v>
      </c>
      <c r="W226" s="37" t="n">
        <f aca="false">L_kT4/p_Rb*Q226/R226</f>
        <v>1.46228800053037E-012</v>
      </c>
      <c r="X226" s="37" t="n">
        <f aca="false">p_en^2*(1+p_fc/B226)/R226</f>
        <v>3.19395536786993E-012</v>
      </c>
      <c r="Y226" s="37" t="n">
        <f aca="false">p_in^2*Q226/R226</f>
        <v>2.22021400171903E-013</v>
      </c>
      <c r="Z226" s="37" t="n">
        <f aca="false">p_eo^2/L_G^2/R226</f>
        <v>2.96388994830833E-012</v>
      </c>
      <c r="AA226" s="37" t="n">
        <f aca="false">SUM(S226:Z226)</f>
        <v>2.16488297767921E-011</v>
      </c>
      <c r="AB226" s="47" t="n">
        <f aca="false">10*LOG10(AA226/L_PREF^2)</f>
        <v>-12.6662556570636</v>
      </c>
      <c r="AC226" s="47" t="n">
        <f aca="false">10*LOG10(S226/L_PREF^2)</f>
        <v>-24.4515635289906</v>
      </c>
      <c r="AD226" s="47" t="n">
        <f aca="false">10*LOG10(T226/L_PREF^2)</f>
        <v>-18.8980034894916</v>
      </c>
      <c r="AE226" s="47" t="n">
        <f aca="false">10*LOG10(U226/L_PREF^2)</f>
        <v>-20.0850539076664</v>
      </c>
      <c r="AF226" s="47" t="n">
        <f aca="false">10*LOG10(V226/L_PREF^2)</f>
        <v>-20.8437438571714</v>
      </c>
      <c r="AG226" s="47" t="n">
        <f aca="false">10*LOG10(W226/L_PREF^2)</f>
        <v>-24.3702707511978</v>
      </c>
      <c r="AH226" s="47" t="n">
        <f aca="false">10*LOG10(X226/L_PREF^2)</f>
        <v>-20.9773114828669</v>
      </c>
      <c r="AI226" s="47" t="n">
        <f aca="false">10*LOG10(Y226/L_PREF^2)</f>
        <v>-32.556651541357</v>
      </c>
      <c r="AJ226" s="47" t="n">
        <f aca="false">10*LOG10(Z226/L_PREF^2)</f>
        <v>-21.3019791743556</v>
      </c>
      <c r="AK226" s="47" t="n">
        <f aca="false">10*LOG10(R226/$R$6)</f>
        <v>0.0142701279296234</v>
      </c>
      <c r="AL226" s="37" t="n">
        <f aca="false">(12194^2*B226^4/((B226^2+20.6^2)*SQRT((B226^2+107.7^2)*(B226^2+737.9^2))*(B226^2+12194^2))*1.2589254)^2</f>
        <v>1.22655826095841</v>
      </c>
      <c r="AM226" s="37" t="n">
        <f aca="false">0.5*(B226-B225)*(S226*AL226+S225*AL225)</f>
        <v>5.9087651556303E-011</v>
      </c>
      <c r="AN226" s="37" t="n">
        <f aca="false">0.5*(B226-B225)*(T226*AL226+T225*AL225)</f>
        <v>2.1254071562105E-010</v>
      </c>
      <c r="AO226" s="37" t="n">
        <f aca="false">0.5*(B226-B225)*(U226*AL226+U225*AL225)</f>
        <v>1.61710081759232E-010</v>
      </c>
      <c r="AP226" s="37" t="n">
        <f aca="false">0.5*(B226-B225)*(V226*AL226+V225*AL225)</f>
        <v>1.39063100243045E-010</v>
      </c>
      <c r="AQ226" s="37" t="n">
        <f aca="false">0.5*(B226-B225)*(W226*AL226+W225*AL225)</f>
        <v>6.17042187455458E-011</v>
      </c>
      <c r="AR226" s="37" t="n">
        <f aca="false">0.5*(B226-B225)*(X226*AL226+X225*AL225)</f>
        <v>1.31781342243748E-010</v>
      </c>
      <c r="AS226" s="37" t="n">
        <f aca="false">0.5*(B226-B225)*(Y226*AL226+Y225*AL225)</f>
        <v>9.36864491634384E-012</v>
      </c>
      <c r="AT226" s="37" t="n">
        <f aca="false">0.5*(B226-B225)*(Z226*AL226+Z225*AL225)</f>
        <v>1.22199367369528E-010</v>
      </c>
      <c r="AU226" s="37" t="n">
        <f aca="false">0.5*(B226-B225)*(AA226*AL226+AA225*AL225)</f>
        <v>8.97455122454796E-010</v>
      </c>
      <c r="AV226" s="37" t="n">
        <f aca="false">0.5*(B226-B225)*(S226+S225)</f>
        <v>4.83723958903462E-011</v>
      </c>
      <c r="AW226" s="37" t="n">
        <f aca="false">0.5*(B226-B225)*(T226+T225)</f>
        <v>1.73998480482089E-010</v>
      </c>
      <c r="AX226" s="37" t="n">
        <f aca="false">0.5*(B226-B225)*(U226+U225)</f>
        <v>1.32385498103376E-010</v>
      </c>
      <c r="AY226" s="37" t="n">
        <f aca="false">0.5*(B226-B225)*(V226+V225)</f>
        <v>1.13856451333988E-010</v>
      </c>
      <c r="AZ226" s="37" t="n">
        <f aca="false">0.5*(B226-B225)*(W226+W225)</f>
        <v>5.0519565178019E-011</v>
      </c>
      <c r="BA226" s="37" t="n">
        <f aca="false">0.5*(B226-B225)*(X226+X225)</f>
        <v>1.07884403594375E-010</v>
      </c>
      <c r="BB226" s="37" t="n">
        <f aca="false">0.5*(B226-B225)*(Y226+Y225)</f>
        <v>7.67046203814248E-012</v>
      </c>
      <c r="BC226" s="37" t="n">
        <f aca="false">0.5*(B226-B225)*(Z226+Z225)</f>
        <v>1.00039698893138E-010</v>
      </c>
      <c r="BD226" s="37" t="n">
        <f aca="false">0.5*(B226-B225)*(AA226+AA225)</f>
        <v>7.34726955513473E-010</v>
      </c>
      <c r="BE226" s="37" t="n">
        <f aca="false">IF(B226&gt;2000,AK226,-999)</f>
        <v>-999</v>
      </c>
      <c r="BF226" s="37" t="n">
        <f aca="false">IF(AND(B226&lt;1000,AK226&gt;=-3),B226,1000000000)</f>
        <v>1000000000</v>
      </c>
    </row>
    <row r="227" customFormat="false" ht="15" hidden="false" customHeight="false" outlineLevel="0" collapsed="false">
      <c r="A227" s="5" t="n">
        <v>188</v>
      </c>
      <c r="B227" s="47" t="n">
        <f aca="false">20*10^(A227/100)</f>
        <v>1517.15515005837</v>
      </c>
      <c r="C227" s="37" t="n">
        <f aca="false">2*PI()*B227</f>
        <v>9532.56694755858</v>
      </c>
      <c r="D227" s="37" t="n">
        <f aca="false">SQRT(L_Rp0^2+L_Rp1^2*C227)</f>
        <v>87391480.2484623</v>
      </c>
      <c r="E227" s="5" t="str">
        <f aca="false">COMPLEX(D227,C227*L_Mp)</f>
        <v>87391480.2484623+140821934.45478i</v>
      </c>
      <c r="F227" s="5" t="str">
        <f aca="false">IMDIV(1,E227)</f>
        <v>3.18156400655678e-09-5.12674687190585e-09i</v>
      </c>
      <c r="G227" s="5" t="str">
        <f aca="false">COMPLEX(0,C227*L_Cf)</f>
        <v>1.00799058343646e-11i</v>
      </c>
      <c r="H227" s="5" t="str">
        <f aca="false">COMPLEX(0,C227*L_Cbv)</f>
        <v>1.00799058343646e-10i</v>
      </c>
      <c r="I227" s="5" t="str">
        <f aca="false">COMPLEX(L_Rsq+L_Rh,C227*(L_Md+L_Mh)-1/(C227*L_Cd))</f>
        <v>552400610.124532-120810679192.136i</v>
      </c>
      <c r="J227" s="5" t="str">
        <f aca="false">IMDIV(1,I227)</f>
        <v>3.78472577555877e-14+8.27724088498309e-12i</v>
      </c>
      <c r="K227" s="5" t="str">
        <f aca="false">IMSUM(F227,G227,H227)</f>
        <v>3.18156400655678e-09-5.01586790772784e-09i</v>
      </c>
      <c r="L227" s="5" t="str">
        <f aca="false">IMSUM(IMPRODUCT(IMSUM(F227,G227),H227),IMPRODUCT(IMSUM(J227,L_Yv),K227))</f>
        <v>5.637563004437e-19+3.36811654933196e-19i</v>
      </c>
      <c r="M227" s="37" t="n">
        <f aca="false">IMABS(IMDIV(IMPRODUCT(J227,F227,H227),L227))^2</f>
        <v>5.87654855530763E-023</v>
      </c>
      <c r="N227" s="5" t="str">
        <f aca="false">IMDIV(IMPRODUCT(L_Yv,K227,E227),H227)</f>
        <v>0.00019226125654662-0.0195316469409491i</v>
      </c>
      <c r="O227" s="37" t="n">
        <f aca="false">IMABS(IMSUM(1,IMPRODUCT(E227,G227),N227))^2</f>
        <v>0.997894935321571</v>
      </c>
      <c r="P227" s="37" t="n">
        <f aca="false">IMABS(N227)^2</f>
        <v>0.000381522196616655</v>
      </c>
      <c r="Q227" s="37" t="n">
        <f aca="false">p_Rb^2/(1+(C227*p_Rb*L_Ctot)^2)</f>
        <v>1814064589512950</v>
      </c>
      <c r="R227" s="37" t="n">
        <f aca="false">M227*L_Kt^2*Q227</f>
        <v>2.13950103031032E-005</v>
      </c>
      <c r="S227" s="37" t="n">
        <f aca="false">L_kT4*D227</f>
        <v>1.43895490273651E-012</v>
      </c>
      <c r="T227" s="37" t="n">
        <f aca="false">L_kT4*L_Rsq*O227</f>
        <v>5.15461769020377E-012</v>
      </c>
      <c r="U227" s="37" t="n">
        <f aca="false">L_kT4*L_Rh*O227</f>
        <v>3.9218539642382E-012</v>
      </c>
      <c r="V227" s="37" t="n">
        <f aca="false">L_kT4*p_Rv*P227</f>
        <v>3.14099975056778E-012</v>
      </c>
      <c r="W227" s="37" t="n">
        <f aca="false">L_kT4/p_Rb*Q227/R227</f>
        <v>1.3961058076648E-012</v>
      </c>
      <c r="X227" s="37" t="n">
        <f aca="false">p_en^2*(1+p_fc/B227)/R227</f>
        <v>3.18852015478982E-012</v>
      </c>
      <c r="Y227" s="37" t="n">
        <f aca="false">p_in^2*Q227/R227</f>
        <v>2.11972857667873E-013</v>
      </c>
      <c r="Z227" s="37" t="n">
        <f aca="false">p_eo^2/L_G^2/R227</f>
        <v>2.96310807054154E-012</v>
      </c>
      <c r="AA227" s="37" t="n">
        <f aca="false">SUM(S227:Z227)</f>
        <v>2.14161331984103E-011</v>
      </c>
      <c r="AB227" s="47" t="n">
        <f aca="false">10*LOG10(AA227/L_PREF^2)</f>
        <v>-12.7131893203054</v>
      </c>
      <c r="AC227" s="47" t="n">
        <f aca="false">10*LOG10(S227/L_PREF^2)</f>
        <v>-24.4401280809295</v>
      </c>
      <c r="AD227" s="47" t="n">
        <f aca="false">10*LOG10(T227/L_PREF^2)</f>
        <v>-18.8986353144499</v>
      </c>
      <c r="AE227" s="47" t="n">
        <f aca="false">10*LOG10(U227/L_PREF^2)</f>
        <v>-20.0856857326247</v>
      </c>
      <c r="AF227" s="47" t="n">
        <f aca="false">10*LOG10(V227/L_PREF^2)</f>
        <v>-21.0499208941753</v>
      </c>
      <c r="AG227" s="47" t="n">
        <f aca="false">10*LOG10(W227/L_PREF^2)</f>
        <v>-24.5714165760842</v>
      </c>
      <c r="AH227" s="47" t="n">
        <f aca="false">10*LOG10(X227/L_PREF^2)</f>
        <v>-20.9847082479963</v>
      </c>
      <c r="AI227" s="47" t="n">
        <f aca="false">10*LOG10(Y227/L_PREF^2)</f>
        <v>-32.7577973662433</v>
      </c>
      <c r="AJ227" s="47" t="n">
        <f aca="false">10*LOG10(Z227/L_PREF^2)</f>
        <v>-21.3031249996133</v>
      </c>
      <c r="AK227" s="47" t="n">
        <f aca="false">10*LOG10(R227/$R$6)</f>
        <v>0.0154159531872989</v>
      </c>
      <c r="AL227" s="37" t="n">
        <f aca="false">(12194^2*B227^4/((B227^2+20.6^2)*SQRT((B227^2+107.7^2)*(B227^2+737.9^2))*(B227^2+12194^2))*1.2589254)^2</f>
        <v>1.23623257059916</v>
      </c>
      <c r="AM227" s="37" t="n">
        <f aca="false">0.5*(B227-B226)*(S227*AL227+S226*AL226)</f>
        <v>6.11126117104613E-011</v>
      </c>
      <c r="AN227" s="37" t="n">
        <f aca="false">0.5*(B227-B226)*(T227*AL227+T226*AL226)</f>
        <v>2.19220285534255E-010</v>
      </c>
      <c r="AO227" s="37" t="n">
        <f aca="false">0.5*(B227-B226)*(U227*AL227+U226*AL226)</f>
        <v>1.66792184704189E-010</v>
      </c>
      <c r="AP227" s="37" t="n">
        <f aca="false">0.5*(B227-B226)*(V227*AL227+V226*AL226)</f>
        <v>1.36807974936053E-010</v>
      </c>
      <c r="AQ227" s="37" t="n">
        <f aca="false">0.5*(B227-B226)*(W227*AL227+W226*AL226)</f>
        <v>6.07722584307406E-011</v>
      </c>
      <c r="AR227" s="37" t="n">
        <f aca="false">0.5*(B227-B226)*(X227*AL227+X226*AL226)</f>
        <v>1.3570958435509E-010</v>
      </c>
      <c r="AS227" s="37" t="n">
        <f aca="false">0.5*(B227-B226)*(Y227*AL227+Y226*AL226)</f>
        <v>9.22714397130247E-012</v>
      </c>
      <c r="AT227" s="37" t="n">
        <f aca="false">0.5*(B227-B226)*(Z227*AL227+Z226*AL226)</f>
        <v>1.26025193304582E-010</v>
      </c>
      <c r="AU227" s="37" t="n">
        <f aca="false">0.5*(B227-B226)*(AA227*AL227+AA226*AL226)</f>
        <v>9.15667236946674E-010</v>
      </c>
      <c r="AV227" s="37" t="n">
        <f aca="false">0.5*(B227-B226)*(S227+S226)</f>
        <v>4.96284904706933E-011</v>
      </c>
      <c r="AW227" s="37" t="n">
        <f aca="false">0.5*(B227-B226)*(T227+T226)</f>
        <v>1.78025957678423E-010</v>
      </c>
      <c r="AX227" s="37" t="n">
        <f aca="false">0.5*(B227-B226)*(U227+U226)</f>
        <v>1.35449775292806E-010</v>
      </c>
      <c r="AY227" s="37" t="n">
        <f aca="false">0.5*(B227-B226)*(V227+V226)</f>
        <v>1.11110313086623E-010</v>
      </c>
      <c r="AZ227" s="37" t="n">
        <f aca="false">0.5*(B227-B226)*(W227+W226)</f>
        <v>4.9356839812915E-011</v>
      </c>
      <c r="BA227" s="37" t="n">
        <f aca="false">0.5*(B227-B226)*(X227+X226)</f>
        <v>1.10208334862255E-010</v>
      </c>
      <c r="BB227" s="37" t="n">
        <f aca="false">0.5*(B227-B226)*(Y227+Y226)</f>
        <v>7.49392368627052E-012</v>
      </c>
      <c r="BC227" s="37" t="n">
        <f aca="false">0.5*(B227-B226)*(Z227+Z226)</f>
        <v>1.02343452798252E-010</v>
      </c>
      <c r="BD227" s="37" t="n">
        <f aca="false">0.5*(B227-B226)*(AA227+AA226)</f>
        <v>7.43617087688237E-010</v>
      </c>
      <c r="BE227" s="37" t="n">
        <f aca="false">IF(B227&gt;2000,AK227,-999)</f>
        <v>-999</v>
      </c>
      <c r="BF227" s="37" t="n">
        <f aca="false">IF(AND(B227&lt;1000,AK227&gt;=-3),B227,1000000000)</f>
        <v>1000000000</v>
      </c>
    </row>
    <row r="228" customFormat="false" ht="15" hidden="false" customHeight="false" outlineLevel="0" collapsed="false">
      <c r="A228" s="5" t="n">
        <v>189</v>
      </c>
      <c r="B228" s="47" t="n">
        <f aca="false">20*10^(A228/100)</f>
        <v>1552.49423325738</v>
      </c>
      <c r="C228" s="37" t="n">
        <f aca="false">2*PI()*B228</f>
        <v>9754.60895588383</v>
      </c>
      <c r="D228" s="37" t="n">
        <f aca="false">SQRT(L_Rp0^2+L_Rp1^2*C228)</f>
        <v>87626017.8863306</v>
      </c>
      <c r="E228" s="5" t="str">
        <f aca="false">COMPLEX(D228,C228*L_Mp)</f>
        <v>87626017.8863306+144102098.686996i</v>
      </c>
      <c r="F228" s="5" t="str">
        <f aca="false">IMDIV(1,E228)</f>
        <v>3.08067915162131e-09-5.06621596916316e-09i</v>
      </c>
      <c r="G228" s="5" t="str">
        <f aca="false">COMPLEX(0,C228*L_Cf)</f>
        <v>1.03146970031552e-11i</v>
      </c>
      <c r="H228" s="5" t="str">
        <f aca="false">COMPLEX(0,C228*L_Cbv)</f>
        <v>1.03146970031552e-10i</v>
      </c>
      <c r="I228" s="5" t="str">
        <f aca="false">COMPLEX(L_Rsq+L_Rh,C228*(L_Md+L_Mh)-1/(C228*L_Cd))</f>
        <v>552400610.124532-118059038135.65i</v>
      </c>
      <c r="J228" s="5" t="str">
        <f aca="false">IMDIV(1,I228)</f>
        <v>3.96320156237162e-14+8.47015292553386e-12i</v>
      </c>
      <c r="K228" s="5" t="str">
        <f aca="false">IMSUM(F228,G228,H228)</f>
        <v>3.08067915162131e-09-4.95275430212845e-09i</v>
      </c>
      <c r="L228" s="5" t="str">
        <f aca="false">IMSUM(IMPRODUCT(IMSUM(F228,G228),H228),IMPRODUCT(IMSUM(J228,L_Yv),K228))</f>
        <v>5.69734935171109e-19+3.33754747417707e-19i</v>
      </c>
      <c r="M228" s="37" t="n">
        <f aca="false">IMABS(IMDIV(IMPRODUCT(J228,F228,H228),L228))^2</f>
        <v>6.15519333814324E-023</v>
      </c>
      <c r="N228" s="5" t="str">
        <f aca="false">IMDIV(IMPRODUCT(L_Yv,K228,E228),H228)</f>
        <v>0.000192777239349941-0.0190727839190794i</v>
      </c>
      <c r="O228" s="37" t="n">
        <f aca="false">IMABS(IMSUM(1,IMPRODUCT(E228,G228),N228))^2</f>
        <v>0.997744599563528</v>
      </c>
      <c r="P228" s="37" t="n">
        <f aca="false">IMABS(N228)^2</f>
        <v>0.000363808249487905</v>
      </c>
      <c r="Q228" s="37" t="n">
        <f aca="false">p_Rb^2/(1+(C228*p_Rb*L_Ctot)^2)</f>
        <v>1732418233690336</v>
      </c>
      <c r="R228" s="37" t="n">
        <f aca="false">M228*L_Kt^2*Q228</f>
        <v>2.14008917383891E-005</v>
      </c>
      <c r="S228" s="37" t="n">
        <f aca="false">L_kT4*D228</f>
        <v>1.44281671035125E-012</v>
      </c>
      <c r="T228" s="37" t="n">
        <f aca="false">L_kT4*L_Rsq*O228</f>
        <v>5.15384113214094E-012</v>
      </c>
      <c r="U228" s="37" t="n">
        <f aca="false">L_kT4*L_Rh*O228</f>
        <v>3.92126312559599E-012</v>
      </c>
      <c r="V228" s="37" t="n">
        <f aca="false">L_kT4*p_Rv*P228</f>
        <v>2.99516418973701E-012</v>
      </c>
      <c r="W228" s="37" t="n">
        <f aca="false">L_kT4/p_Rb*Q228/R228</f>
        <v>1.33290428364742E-012</v>
      </c>
      <c r="X228" s="37" t="n">
        <f aca="false">p_en^2*(1+p_fc/B228)/R228</f>
        <v>3.18315701037913E-012</v>
      </c>
      <c r="Y228" s="37" t="n">
        <f aca="false">p_in^2*Q228/R228</f>
        <v>2.02376874626059E-013</v>
      </c>
      <c r="Z228" s="37" t="n">
        <f aca="false">p_eo^2/L_G^2/R228</f>
        <v>2.96229374333616E-012</v>
      </c>
      <c r="AA228" s="37" t="n">
        <f aca="false">SUM(S228:Z228)</f>
        <v>2.1193817069814E-011</v>
      </c>
      <c r="AB228" s="47" t="n">
        <f aca="false">10*LOG10(AA228/L_PREF^2)</f>
        <v>-12.7585080983817</v>
      </c>
      <c r="AC228" s="47" t="n">
        <f aca="false">10*LOG10(S228/L_PREF^2)</f>
        <v>-24.4284882775974</v>
      </c>
      <c r="AD228" s="47" t="n">
        <f aca="false">10*LOG10(T228/L_PREF^2)</f>
        <v>-18.8992896409366</v>
      </c>
      <c r="AE228" s="47" t="n">
        <f aca="false">10*LOG10(U228/L_PREF^2)</f>
        <v>-20.0863400591113</v>
      </c>
      <c r="AF228" s="47" t="n">
        <f aca="false">10*LOG10(V228/L_PREF^2)</f>
        <v>-21.2563935667533</v>
      </c>
      <c r="AG228" s="47" t="n">
        <f aca="false">10*LOG10(W228/L_PREF^2)</f>
        <v>-24.7726102764273</v>
      </c>
      <c r="AH228" s="47" t="n">
        <f aca="false">10*LOG10(X228/L_PREF^2)</f>
        <v>-20.992019304451</v>
      </c>
      <c r="AI228" s="47" t="n">
        <f aca="false">10*LOG10(Y228/L_PREF^2)</f>
        <v>-32.9589910665865</v>
      </c>
      <c r="AJ228" s="47" t="n">
        <f aca="false">10*LOG10(Z228/L_PREF^2)</f>
        <v>-21.3043187003111</v>
      </c>
      <c r="AK228" s="47" t="n">
        <f aca="false">10*LOG10(R228/$R$6)</f>
        <v>0.0166096538850573</v>
      </c>
      <c r="AL228" s="37" t="n">
        <f aca="false">(12194^2*B228^4/((B228^2+20.6^2)*SQRT((B228^2+107.7^2)*(B228^2+737.9^2))*(B228^2+12194^2))*1.2589254)^2</f>
        <v>1.24548097551094</v>
      </c>
      <c r="AM228" s="37" t="n">
        <f aca="false">0.5*(B228-B227)*(S228*AL228+S227*AL227)</f>
        <v>6.31842254790124E-011</v>
      </c>
      <c r="AN228" s="37" t="n">
        <f aca="false">0.5*(B228-B227)*(T228*AL228+T227*AL227)</f>
        <v>2.26016714178592E-010</v>
      </c>
      <c r="AO228" s="37" t="n">
        <f aca="false">0.5*(B228-B227)*(U228*AL228+U227*AL227)</f>
        <v>1.71963198778057E-010</v>
      </c>
      <c r="AP228" s="37" t="n">
        <f aca="false">0.5*(B228-B227)*(V228*AL228+V227*AL227)</f>
        <v>1.34525751180879E-010</v>
      </c>
      <c r="AQ228" s="37" t="n">
        <f aca="false">0.5*(B228-B227)*(W228*AL228+W227*AL227)</f>
        <v>5.98293929560234E-011</v>
      </c>
      <c r="AR228" s="37" t="n">
        <f aca="false">0.5*(B228-B227)*(X228*AL228+X227*AL227)</f>
        <v>1.39700943518438E-010</v>
      </c>
      <c r="AS228" s="37" t="n">
        <f aca="false">0.5*(B228-B227)*(Y228*AL228+Y227*AL227)</f>
        <v>9.08398727932761E-012</v>
      </c>
      <c r="AT228" s="37" t="n">
        <f aca="false">0.5*(B228-B227)*(Z228*AL228+Z227*AL227)</f>
        <v>1.29916562826793E-010</v>
      </c>
      <c r="AU228" s="37" t="n">
        <f aca="false">0.5*(B228-B227)*(AA228*AL228+AA227*AL227)</f>
        <v>9.34220776197122E-010</v>
      </c>
      <c r="AV228" s="37" t="n">
        <f aca="false">0.5*(B228-B227)*(S228+S227)</f>
        <v>5.09195833977352E-011</v>
      </c>
      <c r="AW228" s="37" t="n">
        <f aca="false">0.5*(B228-B227)*(T228+T227)</f>
        <v>1.82145741988235E-010</v>
      </c>
      <c r="AX228" s="37" t="n">
        <f aca="false">0.5*(B228-B227)*(U228+U227)</f>
        <v>1.38584283688637E-010</v>
      </c>
      <c r="AY228" s="37" t="n">
        <f aca="false">0.5*(B228-B227)*(V228+V227)</f>
        <v>1.08423204004616E-010</v>
      </c>
      <c r="AZ228" s="37" t="n">
        <f aca="false">0.5*(B228-B227)*(W228+W227)</f>
        <v>4.82203573339182E-011</v>
      </c>
      <c r="BA228" s="37" t="n">
        <f aca="false">0.5*(B228-B227)*(X228+X227)</f>
        <v>1.12584614728588E-010</v>
      </c>
      <c r="BB228" s="37" t="n">
        <f aca="false">0.5*(B228-B227)*(Y228+Y227)</f>
        <v>7.32136983151264E-012</v>
      </c>
      <c r="BC228" s="37" t="n">
        <f aca="false">0.5*(B228-B227)*(Z228+Z227)</f>
        <v>1.04699133844112E-010</v>
      </c>
      <c r="BD228" s="37" t="n">
        <f aca="false">0.5*(B228-B227)*(AA228+AA227)</f>
        <v>7.52898288817354E-010</v>
      </c>
      <c r="BE228" s="37" t="n">
        <f aca="false">IF(B228&gt;2000,AK228,-999)</f>
        <v>-999</v>
      </c>
      <c r="BF228" s="37" t="n">
        <f aca="false">IF(AND(B228&lt;1000,AK228&gt;=-3),B228,1000000000)</f>
        <v>1000000000</v>
      </c>
    </row>
    <row r="229" customFormat="false" ht="15" hidden="false" customHeight="false" outlineLevel="0" collapsed="false">
      <c r="A229" s="5" t="n">
        <v>190</v>
      </c>
      <c r="B229" s="47" t="n">
        <f aca="false">20*10^(A229/100)</f>
        <v>1588.65646944856</v>
      </c>
      <c r="C229" s="37" t="n">
        <f aca="false">2*PI()*B229</f>
        <v>9981.82298699501</v>
      </c>
      <c r="D229" s="37" t="n">
        <f aca="false">SQRT(L_Rp0^2+L_Rp1^2*C229)</f>
        <v>87865370.5187683</v>
      </c>
      <c r="E229" s="5" t="str">
        <f aca="false">COMPLEX(D229,C229*L_Mp)</f>
        <v>87865370.5187683+147458667.759353i</v>
      </c>
      <c r="F229" s="5" t="str">
        <f aca="false">IMDIV(1,E229)</f>
        <v>2.982087675149e-09-5.00464145456632e-09i</v>
      </c>
      <c r="G229" s="5" t="str">
        <f aca="false">COMPLEX(0,C229*L_Cf)</f>
        <v>1.0554957160828e-11i</v>
      </c>
      <c r="H229" s="5" t="str">
        <f aca="false">COMPLEX(0,C229*L_Cbv)</f>
        <v>1.0554957160828e-10i</v>
      </c>
      <c r="I229" s="5" t="str">
        <f aca="false">COMPLEX(L_Rsq+L_Rh,C229*(L_Md+L_Mh)-1/(C229*L_Cd))</f>
        <v>552400610.124532-115369993543.88i</v>
      </c>
      <c r="J229" s="5" t="str">
        <f aca="false">IMDIV(1,I229)</f>
        <v>4.1500989968769e-14+8.66756635855655e-12i</v>
      </c>
      <c r="K229" s="5" t="str">
        <f aca="false">IMSUM(F229,G229,H229)</f>
        <v>2.982087675149e-09-4.88853692579721e-09i</v>
      </c>
      <c r="L229" s="5" t="str">
        <f aca="false">IMSUM(IMPRODUCT(IMSUM(F229,G229),H229),IMPRODUCT(IMSUM(J229,L_Yv),K229))</f>
        <v>5.75583343517437e-19+3.30625566448183e-19i</v>
      </c>
      <c r="M229" s="37" t="n">
        <f aca="false">IMABS(IMDIV(IMPRODUCT(J229,F229,H229),L229))^2</f>
        <v>6.44712531778692E-023</v>
      </c>
      <c r="N229" s="5" t="str">
        <f aca="false">IMDIV(IMPRODUCT(L_Yv,K229,E229),H229)</f>
        <v>0.000193303815141305-0.0186240335397018i</v>
      </c>
      <c r="O229" s="37" t="n">
        <f aca="false">IMABS(IMSUM(1,IMPRODUCT(E229,G229),N229))^2</f>
        <v>0.997588796173308</v>
      </c>
      <c r="P229" s="37" t="n">
        <f aca="false">IMABS(N229)^2</f>
        <v>0.000346891991652886</v>
      </c>
      <c r="Q229" s="37" t="n">
        <f aca="false">p_Rb^2/(1+(C229*p_Rb*L_Ctot)^2)</f>
        <v>1654446569191620</v>
      </c>
      <c r="R229" s="37" t="n">
        <f aca="false">M229*L_Kt^2*Q229</f>
        <v>2.14070233688347E-005</v>
      </c>
      <c r="S229" s="37" t="n">
        <f aca="false">L_kT4*D229</f>
        <v>1.44675779983674E-012</v>
      </c>
      <c r="T229" s="37" t="n">
        <f aca="false">L_kT4*L_Rsq*O229</f>
        <v>5.15303633107121E-012</v>
      </c>
      <c r="U229" s="37" t="n">
        <f aca="false">L_kT4*L_Rh*O229</f>
        <v>3.9206507984642E-012</v>
      </c>
      <c r="V229" s="37" t="n">
        <f aca="false">L_kT4*p_Rv*P229</f>
        <v>2.8558958532902E-012</v>
      </c>
      <c r="W229" s="37" t="n">
        <f aca="false">L_kT4/p_Rb*Q229/R229</f>
        <v>1.27254910718959E-012</v>
      </c>
      <c r="X229" s="37" t="n">
        <f aca="false">p_en^2*(1+p_fc/B229)/R229</f>
        <v>3.17786177674661E-012</v>
      </c>
      <c r="Y229" s="37" t="n">
        <f aca="false">p_in^2*Q229/R229</f>
        <v>1.93213056841924E-013</v>
      </c>
      <c r="Z229" s="37" t="n">
        <f aca="false">p_eo^2/L_G^2/R229</f>
        <v>2.96144525122249E-012</v>
      </c>
      <c r="AA229" s="37" t="n">
        <f aca="false">SUM(S229:Z229)</f>
        <v>2.0981409974663E-011</v>
      </c>
      <c r="AB229" s="47" t="n">
        <f aca="false">10*LOG10(AA229/L_PREF^2)</f>
        <v>-12.8022532140559</v>
      </c>
      <c r="AC229" s="47" t="n">
        <f aca="false">10*LOG10(S229/L_PREF^2)</f>
        <v>-24.4166415889481</v>
      </c>
      <c r="AD229" s="47" t="n">
        <f aca="false">10*LOG10(T229/L_PREF^2)</f>
        <v>-18.8999678689753</v>
      </c>
      <c r="AE229" s="47" t="n">
        <f aca="false">10*LOG10(U229/L_PREF^2)</f>
        <v>-20.08701828715</v>
      </c>
      <c r="AF229" s="47" t="n">
        <f aca="false">10*LOG10(V229/L_PREF^2)</f>
        <v>-21.4631762546685</v>
      </c>
      <c r="AG229" s="47" t="n">
        <f aca="false">10*LOG10(W229/L_PREF^2)</f>
        <v>-24.973854407357</v>
      </c>
      <c r="AH229" s="47" t="n">
        <f aca="false">10*LOG10(X229/L_PREF^2)</f>
        <v>-20.9992498797885</v>
      </c>
      <c r="AI229" s="47" t="n">
        <f aca="false">10*LOG10(Y229/L_PREF^2)</f>
        <v>-33.1602351975162</v>
      </c>
      <c r="AJ229" s="47" t="n">
        <f aca="false">10*LOG10(Z229/L_PREF^2)</f>
        <v>-21.3055628315794</v>
      </c>
      <c r="AK229" s="47" t="n">
        <f aca="false">10*LOG10(R229/$R$6)</f>
        <v>0.0178537851533773</v>
      </c>
      <c r="AL229" s="37" t="n">
        <f aca="false">(12194^2*B229^4/((B229^2+20.6^2)*SQRT((B229^2+107.7^2)*(B229^2+737.9^2))*(B229^2+12194^2))*1.2589254)^2</f>
        <v>1.25430146170411</v>
      </c>
      <c r="AM229" s="37" t="n">
        <f aca="false">0.5*(B229-B228)*(S229*AL229+S228*AL228)</f>
        <v>6.53030532538409E-011</v>
      </c>
      <c r="AN229" s="37" t="n">
        <f aca="false">0.5*(B229-B228)*(T229*AL229+T228*AL228)</f>
        <v>2.32929499098832E-010</v>
      </c>
      <c r="AO229" s="37" t="n">
        <f aca="false">0.5*(B229-B228)*(U229*AL229+U228*AL228)</f>
        <v>1.77222741691374E-010</v>
      </c>
      <c r="AP229" s="37" t="n">
        <f aca="false">0.5*(B229-B228)*(V229*AL229+V228*AL228)</f>
        <v>1.32219520587853E-010</v>
      </c>
      <c r="AQ229" s="37" t="n">
        <f aca="false">0.5*(B229-B228)*(W229*AL229+W228*AL228)</f>
        <v>5.8876950577101E-011</v>
      </c>
      <c r="AR229" s="37" t="n">
        <f aca="false">0.5*(B229-B228)*(X229*AL229+X228*AL228)</f>
        <v>1.43754981200489E-010</v>
      </c>
      <c r="AS229" s="37" t="n">
        <f aca="false">0.5*(B229-B228)*(Y229*AL229+Y228*AL228)</f>
        <v>8.93937651149342E-012</v>
      </c>
      <c r="AT229" s="37" t="n">
        <f aca="false">0.5*(B229-B228)*(Z229*AL229+Z228*AL228)</f>
        <v>1.33873061411241E-010</v>
      </c>
      <c r="AU229" s="37" t="n">
        <f aca="false">0.5*(B229-B228)*(AA229*AL229+AA228*AL228)</f>
        <v>9.53119184332224E-010</v>
      </c>
      <c r="AV229" s="37" t="n">
        <f aca="false">0.5*(B229-B228)*(S229+S228)</f>
        <v>5.2246737964715E-011</v>
      </c>
      <c r="AW229" s="37" t="n">
        <f aca="false">0.5*(B229-B228)*(T229+T228)</f>
        <v>1.86359868609112E-010</v>
      </c>
      <c r="AX229" s="37" t="n">
        <f aca="false">0.5*(B229-B228)*(U229+U228)</f>
        <v>1.41790571756382E-010</v>
      </c>
      <c r="AY229" s="37" t="n">
        <f aca="false">0.5*(B229-B228)*(V229+V228)</f>
        <v>1.05793707622362E-010</v>
      </c>
      <c r="AZ229" s="37" t="n">
        <f aca="false">0.5*(B229-B228)*(W229+W228)</f>
        <v>4.71095104522787E-011</v>
      </c>
      <c r="BA229" s="37" t="n">
        <f aca="false">0.5*(B229-B228)*(X229+X228)</f>
        <v>1.15014331898286E-010</v>
      </c>
      <c r="BB229" s="37" t="n">
        <f aca="false">0.5*(B229-B228)*(Y229+Y228)</f>
        <v>7.15270826829887E-012</v>
      </c>
      <c r="BC229" s="37" t="n">
        <f aca="false">0.5*(B229-B228)*(Z229+Z228)</f>
        <v>1.07107824328065E-010</v>
      </c>
      <c r="BD229" s="37" t="n">
        <f aca="false">0.5*(B229-B228)*(AA229+AA228)</f>
        <v>7.62575260899499E-010</v>
      </c>
      <c r="BE229" s="37" t="n">
        <f aca="false">IF(B229&gt;2000,AK229,-999)</f>
        <v>-999</v>
      </c>
      <c r="BF229" s="37" t="n">
        <f aca="false">IF(AND(B229&lt;1000,AK229&gt;=-3),B229,1000000000)</f>
        <v>1000000000</v>
      </c>
    </row>
    <row r="230" customFormat="false" ht="15" hidden="false" customHeight="false" outlineLevel="0" collapsed="false">
      <c r="A230" s="5" t="n">
        <v>191</v>
      </c>
      <c r="B230" s="47" t="n">
        <f aca="false">20*10^(A230/100)</f>
        <v>1625.6610323282</v>
      </c>
      <c r="C230" s="37" t="n">
        <f aca="false">2*PI()*B230</f>
        <v>10214.3295127789</v>
      </c>
      <c r="D230" s="37" t="n">
        <f aca="false">SQRT(L_Rp0^2+L_Rp1^2*C230)</f>
        <v>88109625.2893042</v>
      </c>
      <c r="E230" s="5" t="str">
        <f aca="false">COMPLEX(D230,C230*L_Mp)</f>
        <v>88109625.2893042+150893421.369201i</v>
      </c>
      <c r="F230" s="5" t="str">
        <f aca="false">IMDIV(1,E230)</f>
        <v>2.88580008416426e-09-4.9421189416854e-09i</v>
      </c>
      <c r="G230" s="5" t="str">
        <f aca="false">COMPLEX(0,C230*L_Cf)</f>
        <v>1.08008136964988e-11i</v>
      </c>
      <c r="H230" s="5" t="str">
        <f aca="false">COMPLEX(0,C230*L_Cbv)</f>
        <v>1.08008136964988e-10i</v>
      </c>
      <c r="I230" s="5" t="str">
        <f aca="false">COMPLEX(L_Rsq+L_Rh,C230*(L_Md+L_Mh)-1/(C230*L_Cd))</f>
        <v>552400610.124532-112742119649.789i</v>
      </c>
      <c r="J230" s="5" t="str">
        <f aca="false">IMDIV(1,I230)</f>
        <v>4.3458159776814e-14+8.86958659986393e-12i</v>
      </c>
      <c r="K230" s="5" t="str">
        <f aca="false">IMSUM(F230,G230,H230)</f>
        <v>2.88580008416426e-09-4.82330999102391e-09i</v>
      </c>
      <c r="L230" s="5" t="str">
        <f aca="false">IMSUM(IMPRODUCT(IMSUM(F230,G230),H230),IMPRODUCT(IMSUM(J230,L_Yv),K230))</f>
        <v>5.81300261178599e-19+3.27429512342086e-19i</v>
      </c>
      <c r="M230" s="37" t="n">
        <f aca="false">IMABS(IMDIV(IMPRODUCT(J230,F230,H230),L230))^2</f>
        <v>6.75298576983108E-023</v>
      </c>
      <c r="N230" s="5" t="str">
        <f aca="false">IMDIV(IMPRODUCT(L_Yv,K230,E230),H230)</f>
        <v>0.000193841175636479-0.0181851578694252i</v>
      </c>
      <c r="O230" s="37" t="n">
        <f aca="false">IMABS(IMSUM(1,IMPRODUCT(E230,G230),N230))^2</f>
        <v>0.997427194382192</v>
      </c>
      <c r="P230" s="37" t="n">
        <f aca="false">IMABS(N230)^2</f>
        <v>0.00033073754113729</v>
      </c>
      <c r="Q230" s="37" t="n">
        <f aca="false">p_Rb^2/(1+(C230*p_Rb*L_Ctot)^2)</f>
        <v>1579984207664250</v>
      </c>
      <c r="R230" s="37" t="n">
        <f aca="false">M230*L_Kt^2*Q230</f>
        <v>2.14134185434145E-005</v>
      </c>
      <c r="S230" s="37" t="n">
        <f aca="false">L_kT4*D230</f>
        <v>1.45077960606522E-012</v>
      </c>
      <c r="T230" s="37" t="n">
        <f aca="false">L_kT4*L_Rsq*O230</f>
        <v>5.15220157841162E-012</v>
      </c>
      <c r="U230" s="37" t="n">
        <f aca="false">L_kT4*L_Rh*O230</f>
        <v>3.9200156828797E-012</v>
      </c>
      <c r="V230" s="37" t="n">
        <f aca="false">L_kT4*p_Rv*P230</f>
        <v>2.7228993317509E-012</v>
      </c>
      <c r="W230" s="37" t="n">
        <f aca="false">L_kT4/p_Rb*Q230/R230</f>
        <v>1.21491201769471E-012</v>
      </c>
      <c r="X230" s="37" t="n">
        <f aca="false">p_en^2*(1+p_fc/B230)/R230</f>
        <v>3.17263027988089E-012</v>
      </c>
      <c r="Y230" s="37" t="n">
        <f aca="false">p_in^2*Q230/R230</f>
        <v>1.84461930314971E-013</v>
      </c>
      <c r="Z230" s="37" t="n">
        <f aca="false">p_eo^2/L_G^2/R230</f>
        <v>2.96056080769698E-012</v>
      </c>
      <c r="AA230" s="37" t="n">
        <f aca="false">SUM(S230:Z230)</f>
        <v>2.0778461234695E-011</v>
      </c>
      <c r="AB230" s="47" t="n">
        <f aca="false">10*LOG10(AA230/L_PREF^2)</f>
        <v>-12.8444660893574</v>
      </c>
      <c r="AC230" s="47" t="n">
        <f aca="false">10*LOG10(S230/L_PREF^2)</f>
        <v>-24.4045854935173</v>
      </c>
      <c r="AD230" s="47" t="n">
        <f aca="false">10*LOG10(T230/L_PREF^2)</f>
        <v>-18.9006714499654</v>
      </c>
      <c r="AE230" s="47" t="n">
        <f aca="false">10*LOG10(U230/L_PREF^2)</f>
        <v>-20.0877218681401</v>
      </c>
      <c r="AF230" s="47" t="n">
        <f aca="false">10*LOG10(V230/L_PREF^2)</f>
        <v>-21.6702840598258</v>
      </c>
      <c r="AG230" s="47" t="n">
        <f aca="false">10*LOG10(W230/L_PREF^2)</f>
        <v>-25.1751516328106</v>
      </c>
      <c r="AH230" s="47" t="n">
        <f aca="false">10*LOG10(X230/L_PREF^2)</f>
        <v>-21.0064052646456</v>
      </c>
      <c r="AI230" s="47" t="n">
        <f aca="false">10*LOG10(Y230/L_PREF^2)</f>
        <v>-33.3615324229698</v>
      </c>
      <c r="AJ230" s="47" t="n">
        <f aca="false">10*LOG10(Z230/L_PREF^2)</f>
        <v>-21.3068600573563</v>
      </c>
      <c r="AK230" s="47" t="n">
        <f aca="false">10*LOG10(R230/$R$6)</f>
        <v>0.0191510109303235</v>
      </c>
      <c r="AL230" s="37" t="n">
        <f aca="false">(12194^2*B230^4/((B230^2+20.6^2)*SQRT((B230^2+107.7^2)*(B230^2+737.9^2))*(B230^2+12194^2))*1.2589254)^2</f>
        <v>1.26269242528832</v>
      </c>
      <c r="AM230" s="37" t="n">
        <f aca="false">0.5*(B230-B229)*(S230*AL230+S229*AL229)</f>
        <v>6.74696579890957E-011</v>
      </c>
      <c r="AN230" s="37" t="n">
        <f aca="false">0.5*(B230-B229)*(T230*AL230+T229*AL229)</f>
        <v>2.39958066051476E-010</v>
      </c>
      <c r="AO230" s="37" t="n">
        <f aca="false">0.5*(B230-B229)*(U230*AL230+U229*AL229)</f>
        <v>1.82570376535085E-010</v>
      </c>
      <c r="AP230" s="37" t="n">
        <f aca="false">0.5*(B230-B229)*(V230*AL230+V229*AL229)</f>
        <v>1.29892282509454E-010</v>
      </c>
      <c r="AQ230" s="37" t="n">
        <f aca="false">0.5*(B230-B229)*(W230*AL230+W229*AL229)</f>
        <v>5.79162189458766E-011</v>
      </c>
      <c r="AR230" s="37" t="n">
        <f aca="false">0.5*(B230-B229)*(X230*AL230+X229*AL229)</f>
        <v>1.47871211932486E-010</v>
      </c>
      <c r="AS230" s="37" t="n">
        <f aca="false">0.5*(B230-B229)*(Y230*AL230+Y229*AL229)</f>
        <v>8.79350717393713E-012</v>
      </c>
      <c r="AT230" s="37" t="n">
        <f aca="false">0.5*(B230-B229)*(Z230*AL230+Z229*AL229)</f>
        <v>1.37894225222938E-010</v>
      </c>
      <c r="AU230" s="37" t="n">
        <f aca="false">0.5*(B230-B229)*(AA230*AL230+AA229*AL229)</f>
        <v>9.72365546360348E-010</v>
      </c>
      <c r="AV230" s="37" t="n">
        <f aca="false">0.5*(B230-B229)*(S230+S229)</f>
        <v>5.36110525663974E-011</v>
      </c>
      <c r="AW230" s="37" t="n">
        <f aca="false">0.5*(B230-B229)*(T230+T229)</f>
        <v>1.9067041210553E-010</v>
      </c>
      <c r="AX230" s="37" t="n">
        <f aca="false">0.5*(B230-B229)*(U230+U229)</f>
        <v>1.4507021791357E-010</v>
      </c>
      <c r="AY230" s="37" t="n">
        <f aca="false">0.5*(B230-B229)*(V230+V229)</f>
        <v>1.0322043860873E-010</v>
      </c>
      <c r="AZ230" s="37" t="n">
        <f aca="false">0.5*(B230-B229)*(W230+W229)</f>
        <v>4.60237058032149E-011</v>
      </c>
      <c r="BA230" s="37" t="n">
        <f aca="false">0.5*(B230-B229)*(X230+X229)</f>
        <v>1.17498591313049E-010</v>
      </c>
      <c r="BB230" s="37" t="n">
        <f aca="false">0.5*(B230-B229)*(Y230+Y229)</f>
        <v>6.9878489051564E-012</v>
      </c>
      <c r="BC230" s="37" t="n">
        <f aca="false">0.5*(B230-B229)*(Z230+Z229)</f>
        <v>1.09570622790434E-010</v>
      </c>
      <c r="BD230" s="37" t="n">
        <f aca="false">0.5*(B230-B229)*(AA230+AA229)</f>
        <v>7.72652890006081E-010</v>
      </c>
      <c r="BE230" s="37" t="n">
        <f aca="false">IF(B230&gt;2000,AK230,-999)</f>
        <v>-999</v>
      </c>
      <c r="BF230" s="37" t="n">
        <f aca="false">IF(AND(B230&lt;1000,AK230&gt;=-3),B230,1000000000)</f>
        <v>1000000000</v>
      </c>
    </row>
    <row r="231" customFormat="false" ht="15" hidden="false" customHeight="false" outlineLevel="0" collapsed="false">
      <c r="A231" s="5" t="n">
        <v>192</v>
      </c>
      <c r="B231" s="47" t="n">
        <f aca="false">20*10^(A231/100)</f>
        <v>1663.52754220534</v>
      </c>
      <c r="C231" s="37" t="n">
        <f aca="false">2*PI()*B231</f>
        <v>10452.2518112732</v>
      </c>
      <c r="D231" s="37" t="n">
        <f aca="false">SQRT(L_Rp0^2+L_Rp1^2*C231)</f>
        <v>88358870.507112</v>
      </c>
      <c r="E231" s="5" t="str">
        <f aca="false">COMPLEX(D231,C231*L_Mp)</f>
        <v>88358870.507112+154408180.668371i</v>
      </c>
      <c r="F231" s="5" t="str">
        <f aca="false">IMDIV(1,E231)</f>
        <v>2.79182212504646e-09-4.87874248056884e-09i</v>
      </c>
      <c r="G231" s="5" t="str">
        <f aca="false">COMPLEX(0,C231*L_Cf)</f>
        <v>1.10523969665572e-11i</v>
      </c>
      <c r="H231" s="5" t="str">
        <f aca="false">COMPLEX(0,C231*L_Cbv)</f>
        <v>1.10523969665572e-10i</v>
      </c>
      <c r="I231" s="5" t="str">
        <f aca="false">COMPLEX(L_Rsq+L_Rh,C231*(L_Md+L_Mh)-1/(C231*L_Cd))</f>
        <v>552400610.124532-110174023119.855i</v>
      </c>
      <c r="J231" s="5" t="str">
        <f aca="false">IMDIV(1,I231)</f>
        <v>4.55076925222104e-14+9.07632156116368e-12i</v>
      </c>
      <c r="K231" s="5" t="str">
        <f aca="false">IMSUM(F231,G231,H231)</f>
        <v>2.79182212504646e-09-4.75716611393671e-09i</v>
      </c>
      <c r="L231" s="5" t="str">
        <f aca="false">IMSUM(IMPRODUCT(IMSUM(F231,G231),H231),IMPRODUCT(IMSUM(J231,L_Yv),K231))</f>
        <v>5.86884694144361e-19+3.24171919328137e-19i</v>
      </c>
      <c r="M231" s="37" t="n">
        <f aca="false">IMABS(IMDIV(IMPRODUCT(J231,F231,H231),L231))^2</f>
        <v>7.07344766159708E-023</v>
      </c>
      <c r="N231" s="5" t="str">
        <f aca="false">IMDIV(IMPRODUCT(L_Yv,K231,E231),H231)</f>
        <v>0.00019438951511566-0.01775592421056i</v>
      </c>
      <c r="O231" s="37" t="n">
        <f aca="false">IMABS(IMSUM(1,IMPRODUCT(E231,G231),N231))^2</f>
        <v>0.997259451218898</v>
      </c>
      <c r="P231" s="37" t="n">
        <f aca="false">IMABS(N231)^2</f>
        <v>0.000315310631854738</v>
      </c>
      <c r="Q231" s="37" t="n">
        <f aca="false">p_Rb^2/(1+(C231*p_Rb*L_Ctot)^2)</f>
        <v>1508873204457610</v>
      </c>
      <c r="R231" s="37" t="n">
        <f aca="false">M231*L_Kt^2*Q231</f>
        <v>2.14200912015641E-005</v>
      </c>
      <c r="S231" s="37" t="n">
        <f aca="false">L_kT4*D231</f>
        <v>1.45488358310198E-012</v>
      </c>
      <c r="T231" s="37" t="n">
        <f aca="false">L_kT4*L_Rsq*O231</f>
        <v>5.15133510254695E-012</v>
      </c>
      <c r="U231" s="37" t="n">
        <f aca="false">L_kT4*L_Rh*O231</f>
        <v>3.91935643092175E-012</v>
      </c>
      <c r="V231" s="37" t="n">
        <f aca="false">L_kT4*p_Rv*P231</f>
        <v>2.59589251894097E-012</v>
      </c>
      <c r="W231" s="37" t="n">
        <f aca="false">L_kT4/p_Rb*Q231/R231</f>
        <v>1.15987054115514E-012</v>
      </c>
      <c r="X231" s="37" t="n">
        <f aca="false">p_en^2*(1+p_fc/B231)/R231</f>
        <v>3.16745832463223E-012</v>
      </c>
      <c r="Y231" s="37" t="n">
        <f aca="false">p_in^2*Q231/R231</f>
        <v>1.76104899631267E-013</v>
      </c>
      <c r="Z231" s="37" t="n">
        <f aca="false">p_eo^2/L_G^2/R231</f>
        <v>2.95963855157701E-012</v>
      </c>
      <c r="AA231" s="37" t="n">
        <f aca="false">SUM(S231:Z231)</f>
        <v>2.05845399525073E-011</v>
      </c>
      <c r="AB231" s="47" t="n">
        <f aca="false">10*LOG10(AA231/L_PREF^2)</f>
        <v>-12.8851882600952</v>
      </c>
      <c r="AC231" s="47" t="n">
        <f aca="false">10*LOG10(S231/L_PREF^2)</f>
        <v>-24.392317479986</v>
      </c>
      <c r="AD231" s="47" t="n">
        <f aca="false">10*LOG10(T231/L_PREF^2)</f>
        <v>-18.901401889812</v>
      </c>
      <c r="AE231" s="47" t="n">
        <f aca="false">10*LOG10(U231/L_PREF^2)</f>
        <v>-20.0884523079867</v>
      </c>
      <c r="AF231" s="47" t="n">
        <f aca="false">10*LOG10(V231/L_PREF^2)</f>
        <v>-21.8777328447743</v>
      </c>
      <c r="AG231" s="47" t="n">
        <f aca="false">10*LOG10(W231/L_PREF^2)</f>
        <v>-25.3765047313511</v>
      </c>
      <c r="AH231" s="47" t="n">
        <f aca="false">10*LOG10(X231/L_PREF^2)</f>
        <v>-21.0134908190076</v>
      </c>
      <c r="AI231" s="47" t="n">
        <f aca="false">10*LOG10(Y231/L_PREF^2)</f>
        <v>-33.5628855215103</v>
      </c>
      <c r="AJ231" s="47" t="n">
        <f aca="false">10*LOG10(Z231/L_PREF^2)</f>
        <v>-21.3082131562057</v>
      </c>
      <c r="AK231" s="47" t="n">
        <f aca="false">10*LOG10(R231/$R$6)</f>
        <v>0.020504109779661</v>
      </c>
      <c r="AL231" s="37" t="n">
        <f aca="false">(12194^2*B231^4/((B231^2+20.6^2)*SQRT((B231^2+107.7^2)*(B231^2+737.9^2))*(B231^2+12194^2))*1.2589254)^2</f>
        <v>1.27065262828494</v>
      </c>
      <c r="AM231" s="37" t="n">
        <f aca="false">0.5*(B231-B230)*(S231*AL231+S230*AL230)</f>
        <v>6.96846034201794E-011</v>
      </c>
      <c r="AN231" s="37" t="n">
        <f aca="false">0.5*(B231-B230)*(T231*AL231+T230*AL230)</f>
        <v>2.47101761110851E-010</v>
      </c>
      <c r="AO231" s="37" t="n">
        <f aca="false">0.5*(B231-B230)*(U231*AL231+U230*AL230)</f>
        <v>1.88005605774523E-010</v>
      </c>
      <c r="AP231" s="37" t="n">
        <f aca="false">0.5*(B231-B230)*(V231*AL231+V230*AL230)</f>
        <v>1.27546939326402E-010</v>
      </c>
      <c r="AQ231" s="37" t="n">
        <f aca="false">0.5*(B231-B230)*(W231*AL231+W230*AL230)</f>
        <v>5.694844300394E-011</v>
      </c>
      <c r="AR231" s="37" t="n">
        <f aca="false">0.5*(B231-B230)*(X231*AL231+X230*AL230)</f>
        <v>1.52049097951818E-010</v>
      </c>
      <c r="AS231" s="37" t="n">
        <f aca="false">0.5*(B231-B230)*(Y231*AL231+Y230*AL230)</f>
        <v>8.64656828802443E-012</v>
      </c>
      <c r="AT231" s="37" t="n">
        <f aca="false">0.5*(B231-B230)*(Z231*AL231+Z230*AL230)</f>
        <v>1.41979536113096E-010</v>
      </c>
      <c r="AU231" s="37" t="n">
        <f aca="false">0.5*(B231-B230)*(AA231*AL231+AA230*AL230)</f>
        <v>9.91962554988835E-010</v>
      </c>
      <c r="AV231" s="37" t="n">
        <f aca="false">0.5*(B231-B230)*(S231+S230)</f>
        <v>5.50136619261261E-011</v>
      </c>
      <c r="AW231" s="37" t="n">
        <f aca="false">0.5*(B231-B230)*(T231+T230)</f>
        <v>1.95079486749514E-010</v>
      </c>
      <c r="AX231" s="37" t="n">
        <f aca="false">0.5*(B231-B230)*(U231+U230)</f>
        <v>1.48424830788933E-010</v>
      </c>
      <c r="AY231" s="37" t="n">
        <f aca="false">0.5*(B231-B230)*(V231+V230)</f>
        <v>1.00702042074347E-010</v>
      </c>
      <c r="AZ231" s="37" t="n">
        <f aca="false">0.5*(B231-B230)*(W231+W230)</f>
        <v>4.4962363610378E-011</v>
      </c>
      <c r="BA231" s="37" t="n">
        <f aca="false">0.5*(B231-B230)*(X231+X230)</f>
        <v>1.2003851388238E-010</v>
      </c>
      <c r="BB231" s="37" t="n">
        <f aca="false">0.5*(B231-B230)*(Y231+Y230)</f>
        <v>6.82670371376475E-012</v>
      </c>
      <c r="BC231" s="37" t="n">
        <f aca="false">0.5*(B231-B230)*(Z231+Z230)</f>
        <v>1.12088643756303E-010</v>
      </c>
      <c r="BD231" s="37" t="n">
        <f aca="false">0.5*(B231-B230)*(AA231+AA230)</f>
        <v>7.83136246501746E-010</v>
      </c>
      <c r="BE231" s="37" t="n">
        <f aca="false">IF(B231&gt;2000,AK231,-999)</f>
        <v>-999</v>
      </c>
      <c r="BF231" s="37" t="n">
        <f aca="false">IF(AND(B231&lt;1000,AK231&gt;=-3),B231,1000000000)</f>
        <v>1000000000</v>
      </c>
    </row>
    <row r="232" customFormat="false" ht="15" hidden="false" customHeight="false" outlineLevel="0" collapsed="false">
      <c r="A232" s="5" t="n">
        <v>193</v>
      </c>
      <c r="B232" s="47" t="n">
        <f aca="false">20*10^(A232/100)</f>
        <v>1702.27607640475</v>
      </c>
      <c r="C232" s="37" t="n">
        <f aca="false">2*PI()*B232</f>
        <v>10695.7160320297</v>
      </c>
      <c r="D232" s="37" t="n">
        <f aca="false">SQRT(L_Rp0^2+L_Rp1^2*C232)</f>
        <v>88613195.6498274</v>
      </c>
      <c r="E232" s="5" t="str">
        <f aca="false">COMPLEX(D232,C232*L_Mp)</f>
        <v>88613195.6498274+158004809.228764i</v>
      </c>
      <c r="F232" s="5" t="str">
        <f aca="false">IMDIV(1,E232)</f>
        <v>2.70015499374543e-09-4.81460432101765e-09i</v>
      </c>
      <c r="G232" s="5" t="str">
        <f aca="false">COMPLEX(0,C232*L_Cf)</f>
        <v>1.13098403637831e-11i</v>
      </c>
      <c r="H232" s="5" t="str">
        <f aca="false">COMPLEX(0,C232*L_Cbv)</f>
        <v>1.13098403637831e-10i</v>
      </c>
      <c r="I232" s="5" t="str">
        <f aca="false">COMPLEX(L_Rsq+L_Rh,C232*(L_Md+L_Mh)-1/(C232*L_Cd))</f>
        <v>552400610.124532-107664342315.305i</v>
      </c>
      <c r="J232" s="5" t="str">
        <f aca="false">IMDIV(1,I232)</f>
        <v>4.76539531439934e-14+9.28788171109329e-12i</v>
      </c>
      <c r="K232" s="5" t="str">
        <f aca="false">IMSUM(F232,G232,H232)</f>
        <v>2.70015499374543e-09-4.69019607701604e-09i</v>
      </c>
      <c r="L232" s="5" t="str">
        <f aca="false">IMSUM(IMPRODUCT(IMSUM(F232,G232),H232),IMPRODUCT(IMSUM(J232,L_Yv),K232))</f>
        <v>5.9233590737656e-19+3.20858041012729e-19i</v>
      </c>
      <c r="M232" s="37" t="n">
        <f aca="false">IMABS(IMDIV(IMPRODUCT(J232,F232,H232),L232))^2</f>
        <v>7.40921728974033E-023</v>
      </c>
      <c r="N232" s="5" t="str">
        <f aca="false">IMDIV(IMPRODUCT(L_Yv,K232,E232),H232)</f>
        <v>0.000194949030429608-0.0173361049777385i</v>
      </c>
      <c r="O232" s="37" t="n">
        <f aca="false">IMABS(IMSUM(1,IMPRODUCT(E232,G232),N232))^2</f>
        <v>0.997085210794157</v>
      </c>
      <c r="P232" s="37" t="n">
        <f aca="false">IMABS(N232)^2</f>
        <v>0.000300578540923635</v>
      </c>
      <c r="Q232" s="37" t="n">
        <f aca="false">p_Rb^2/(1+(C232*p_Rb*L_Ctot)^2)</f>
        <v>1440962723601280</v>
      </c>
      <c r="R232" s="37" t="n">
        <f aca="false">M232*L_Kt^2*Q232</f>
        <v>2.142705590576E-005</v>
      </c>
      <c r="S232" s="37" t="n">
        <f aca="false">L_kT4*D232</f>
        <v>1.45907120425177E-012</v>
      </c>
      <c r="T232" s="37" t="n">
        <f aca="false">L_kT4*L_Rsq*O232</f>
        <v>5.15043506513427E-012</v>
      </c>
      <c r="U232" s="37" t="n">
        <f aca="false">L_kT4*L_Rh*O232</f>
        <v>3.91867164390027E-012</v>
      </c>
      <c r="V232" s="37" t="n">
        <f aca="false">L_kT4*p_Rv*P232</f>
        <v>2.47460601359399E-012</v>
      </c>
      <c r="W232" s="37" t="n">
        <f aca="false">L_kT4/p_Rb*Q232/R232</f>
        <v>1.10730772850322E-012</v>
      </c>
      <c r="X232" s="37" t="n">
        <f aca="false">p_en^2*(1+p_fc/B232)/R232</f>
        <v>3.16234168958281E-012</v>
      </c>
      <c r="Y232" s="37" t="n">
        <f aca="false">p_in^2*Q232/R232</f>
        <v>1.68124208236877E-013</v>
      </c>
      <c r="Z232" s="37" t="n">
        <f aca="false">p_eo^2/L_G^2/R232</f>
        <v>2.95867654321108E-012</v>
      </c>
      <c r="AA232" s="37" t="n">
        <f aca="false">SUM(S232:Z232)</f>
        <v>2.03992340964143E-011</v>
      </c>
      <c r="AB232" s="47" t="n">
        <f aca="false">10*LOG10(AA232/L_PREF^2)</f>
        <v>-12.9244612948761</v>
      </c>
      <c r="AC232" s="47" t="n">
        <f aca="false">10*LOG10(S232/L_PREF^2)</f>
        <v>-24.3798350487723</v>
      </c>
      <c r="AD232" s="47" t="n">
        <f aca="false">10*LOG10(T232/L_PREF^2)</f>
        <v>-18.9021607521754</v>
      </c>
      <c r="AE232" s="47" t="n">
        <f aca="false">10*LOG10(U232/L_PREF^2)</f>
        <v>-20.0892111703501</v>
      </c>
      <c r="AF232" s="47" t="n">
        <f aca="false">10*LOG10(V232/L_PREF^2)</f>
        <v>-22.0855392734824</v>
      </c>
      <c r="AG232" s="47" t="n">
        <f aca="false">10*LOG10(W232/L_PREF^2)</f>
        <v>-25.5779166022454</v>
      </c>
      <c r="AH232" s="47" t="n">
        <f aca="false">10*LOG10(X232/L_PREF^2)</f>
        <v>-21.02051197875</v>
      </c>
      <c r="AI232" s="47" t="n">
        <f aca="false">10*LOG10(Y232/L_PREF^2)</f>
        <v>-33.7642973924045</v>
      </c>
      <c r="AJ232" s="47" t="n">
        <f aca="false">10*LOG10(Z232/L_PREF^2)</f>
        <v>-21.3096250273949</v>
      </c>
      <c r="AK232" s="47" t="n">
        <f aca="false">10*LOG10(R232/$R$6)</f>
        <v>0.0219159809688637</v>
      </c>
      <c r="AL232" s="37" t="n">
        <f aca="false">(12194^2*B232^4/((B232^2+20.6^2)*SQRT((B232^2+107.7^2)*(B232^2+737.9^2))*(B232^2+12194^2))*1.2589254)^2</f>
        <v>1.27818115469486</v>
      </c>
      <c r="AM232" s="37" t="n">
        <f aca="false">0.5*(B232-B231)*(S232*AL232+S231*AL231)</f>
        <v>7.19484519985461E-011</v>
      </c>
      <c r="AN232" s="37" t="n">
        <f aca="false">0.5*(B232-B231)*(T232*AL232+T231*AL231)</f>
        <v>2.54359841878319E-010</v>
      </c>
      <c r="AO232" s="37" t="n">
        <f aca="false">0.5*(B232-B231)*(U232*AL232+U231*AL231)</f>
        <v>1.93527864560999E-010</v>
      </c>
      <c r="AP232" s="37" t="n">
        <f aca="false">0.5*(B232-B231)*(V232*AL232+V231*AL231)</f>
        <v>1.25186292596237E-010</v>
      </c>
      <c r="AQ232" s="37" t="n">
        <f aca="false">0.5*(B232-B231)*(W232*AL232+W231*AL231)</f>
        <v>5.59748232420625E-011</v>
      </c>
      <c r="AR232" s="37" t="n">
        <f aca="false">0.5*(B232-B231)*(X232*AL232+X231*AL231)</f>
        <v>1.56288043302756E-010</v>
      </c>
      <c r="AS232" s="37" t="n">
        <f aca="false">0.5*(B232-B231)*(Y232*AL232+Y231*AL231)</f>
        <v>8.49874212608596E-012</v>
      </c>
      <c r="AT232" s="37" t="n">
        <f aca="false">0.5*(B232-B231)*(Z232*AL232+Z231*AL231)</f>
        <v>1.46128416078598E-010</v>
      </c>
      <c r="AU232" s="37" t="n">
        <f aca="false">0.5*(B232-B231)*(AA232*AL232+AA231*AL231)</f>
        <v>1.0119124757836E-009</v>
      </c>
      <c r="AV232" s="37" t="n">
        <f aca="false">0.5*(B232-B231)*(S232+S231)</f>
        <v>5.64557383666573E-011</v>
      </c>
      <c r="AW232" s="37" t="n">
        <f aca="false">0.5*(B232-B231)*(T232+T231)</f>
        <v>1.99589246828434E-010</v>
      </c>
      <c r="AX232" s="37" t="n">
        <f aca="false">0.5*(B232-B231)*(U232+U231)</f>
        <v>1.51856049456593E-010</v>
      </c>
      <c r="AY232" s="37" t="n">
        <f aca="false">0.5*(B232-B231)*(V232+V231)</f>
        <v>9.82371928979974E-011</v>
      </c>
      <c r="AZ232" s="37" t="n">
        <f aca="false">0.5*(B232-B231)*(W232+W231)</f>
        <v>4.39249173590093E-011</v>
      </c>
      <c r="BA232" s="37" t="n">
        <f aca="false">0.5*(B232-B231)*(X232+X231)</f>
        <v>1.22635236163122E-010</v>
      </c>
      <c r="BB232" s="37" t="n">
        <f aca="false">0.5*(B232-B231)*(Y232+Y231)</f>
        <v>6.66918667933076E-012</v>
      </c>
      <c r="BC232" s="37" t="n">
        <f aca="false">0.5*(B232-B231)*(Z232+Z231)</f>
        <v>1.14663017426643E-010</v>
      </c>
      <c r="BD232" s="37" t="n">
        <f aca="false">0.5*(B232-B231)*(AA232+AA231)</f>
        <v>7.94030585177787E-010</v>
      </c>
      <c r="BE232" s="37" t="n">
        <f aca="false">IF(B232&gt;2000,AK232,-999)</f>
        <v>-999</v>
      </c>
      <c r="BF232" s="37" t="n">
        <f aca="false">IF(AND(B232&lt;1000,AK232&gt;=-3),B232,1000000000)</f>
        <v>1000000000</v>
      </c>
    </row>
    <row r="233" customFormat="false" ht="15" hidden="false" customHeight="false" outlineLevel="0" collapsed="false">
      <c r="A233" s="5" t="n">
        <v>194</v>
      </c>
      <c r="B233" s="47" t="n">
        <f aca="false">20*10^(A233/100)</f>
        <v>1741.92717991216</v>
      </c>
      <c r="C233" s="37" t="n">
        <f aca="false">2*PI()*B233</f>
        <v>10944.8512630009</v>
      </c>
      <c r="D233" s="37" t="n">
        <f aca="false">SQRT(L_Rp0^2+L_Rp1^2*C233)</f>
        <v>88872691.3660289</v>
      </c>
      <c r="E233" s="5" t="str">
        <f aca="false">COMPLEX(D233,C233*L_Mp)</f>
        <v>88872691.3660289+161685214.030452i</v>
      </c>
      <c r="F233" s="5" t="str">
        <f aca="false">IMDIV(1,E233)</f>
        <v>2.61079555589305e-09-4.74979469796586e-09i</v>
      </c>
      <c r="G233" s="5" t="str">
        <f aca="false">COMPLEX(0,C233*L_Cf)</f>
        <v>1.15732803880732e-11i</v>
      </c>
      <c r="H233" s="5" t="str">
        <f aca="false">COMPLEX(0,C233*L_Cbv)</f>
        <v>1.15732803880732e-10i</v>
      </c>
      <c r="I233" s="5" t="str">
        <f aca="false">COMPLEX(L_Rsq+L_Rh,C233*(L_Md+L_Mh)-1/(C233*L_Cd))</f>
        <v>552400610.124532-105211746570.157i</v>
      </c>
      <c r="J233" s="5" t="str">
        <f aca="false">IMDIV(1,I233)</f>
        <v>4.99015134543162e-14+9.50438013788435e-12i</v>
      </c>
      <c r="K233" s="5" t="str">
        <f aca="false">IMSUM(F233,G233,H233)</f>
        <v>2.61079555589305e-09-4.62248861369706e-09i</v>
      </c>
      <c r="L233" s="5" t="str">
        <f aca="false">IMSUM(IMPRODUCT(IMSUM(F233,G233),H233),IMPRODUCT(IMSUM(J233,L_Yv),K233))</f>
        <v>5.97653412792979e-19+3.17493037063221e-19i</v>
      </c>
      <c r="M233" s="37" t="n">
        <f aca="false">IMABS(IMDIV(IMPRODUCT(J233,F233,H233),L233))^2</f>
        <v>7.76103600926354E-023</v>
      </c>
      <c r="N233" s="5" t="str">
        <f aca="false">IMDIV(IMPRODUCT(L_Yv,K233,E233),H233)</f>
        <v>0.000195519921005262-0.0169254775772469i</v>
      </c>
      <c r="O233" s="37" t="n">
        <f aca="false">IMABS(IMSUM(1,IMPRODUCT(E233,G233),N233))^2</f>
        <v>0.996904103559147</v>
      </c>
      <c r="P233" s="37" t="n">
        <f aca="false">IMABS(N233)^2</f>
        <v>0.000286510019257398</v>
      </c>
      <c r="Q233" s="37" t="n">
        <f aca="false">p_Rb^2/(1+(C233*p_Rb*L_Ctot)^2)</f>
        <v>1376108717861723</v>
      </c>
      <c r="R233" s="37" t="n">
        <f aca="false">M233*L_Kt^2*Q233</f>
        <v>2.14343278757172E-005</v>
      </c>
      <c r="S233" s="37" t="n">
        <f aca="false">L_kT4*D233</f>
        <v>1.46334396209962E-012</v>
      </c>
      <c r="T233" s="37" t="n">
        <f aca="false">L_kT4*L_Rsq*O233</f>
        <v>5.14949955727231E-012</v>
      </c>
      <c r="U233" s="37" t="n">
        <f aca="false">L_kT4*L_Rh*O233</f>
        <v>3.91795986944143E-012</v>
      </c>
      <c r="V233" s="37" t="n">
        <f aca="false">L_kT4*p_Rv*P233</f>
        <v>2.35878254791787E-012</v>
      </c>
      <c r="W233" s="37" t="n">
        <f aca="false">L_kT4/p_Rb*Q233/R233</f>
        <v>1.05711190584563E-012</v>
      </c>
      <c r="X233" s="37" t="n">
        <f aca="false">p_en^2*(1+p_fc/B233)/R233</f>
        <v>3.15727612179795E-012</v>
      </c>
      <c r="Y233" s="37" t="n">
        <f aca="false">p_in^2*Q233/R233</f>
        <v>1.60502900515569E-013</v>
      </c>
      <c r="Z233" s="37" t="n">
        <f aca="false">p_eo^2/L_G^2/R233</f>
        <v>2.95767276053779E-012</v>
      </c>
      <c r="AA233" s="37" t="n">
        <f aca="false">SUM(S233:Z233)</f>
        <v>2.02221496254282E-011</v>
      </c>
      <c r="AB233" s="47" t="n">
        <f aca="false">10*LOG10(AA233/L_PREF^2)</f>
        <v>-12.9623267188107</v>
      </c>
      <c r="AC233" s="47" t="n">
        <f aca="false">10*LOG10(S233/L_PREF^2)</f>
        <v>-24.367135713651</v>
      </c>
      <c r="AD233" s="47" t="n">
        <f aca="false">10*LOG10(T233/L_PREF^2)</f>
        <v>-18.9029496618495</v>
      </c>
      <c r="AE233" s="47" t="n">
        <f aca="false">10*LOG10(U233/L_PREF^2)</f>
        <v>-20.0900000800243</v>
      </c>
      <c r="AF233" s="47" t="n">
        <f aca="false">10*LOG10(V233/L_PREF^2)</f>
        <v>-22.2937208545392</v>
      </c>
      <c r="AG233" s="47" t="n">
        <f aca="false">10*LOG10(W233/L_PREF^2)</f>
        <v>-25.779390271816</v>
      </c>
      <c r="AH233" s="47" t="n">
        <f aca="false">10*LOG10(X233/L_PREF^2)</f>
        <v>-21.0274742624624</v>
      </c>
      <c r="AI233" s="47" t="n">
        <f aca="false">10*LOG10(Y233/L_PREF^2)</f>
        <v>-33.9657710619752</v>
      </c>
      <c r="AJ233" s="47" t="n">
        <f aca="false">10*LOG10(Z233/L_PREF^2)</f>
        <v>-21.3110986972471</v>
      </c>
      <c r="AK233" s="47" t="n">
        <f aca="false">10*LOG10(R233/$R$6)</f>
        <v>0.0233896508211271</v>
      </c>
      <c r="AL233" s="37" t="n">
        <f aca="false">(12194^2*B233^4/((B233^2+20.6^2)*SQRT((B233^2+107.7^2)*(B233^2+737.9^2))*(B233^2+12194^2))*1.2589254)^2</f>
        <v>1.28527736712294</v>
      </c>
      <c r="AM233" s="37" t="n">
        <f aca="false">0.5*(B233-B232)*(S233*AL233+S232*AL232)</f>
        <v>7.42617625322635E-011</v>
      </c>
      <c r="AN233" s="37" t="n">
        <f aca="false">0.5*(B233-B232)*(T233*AL233+T232*AL232)</f>
        <v>2.61731467786838E-010</v>
      </c>
      <c r="AO233" s="37" t="n">
        <f aca="false">0.5*(B233-B232)*(U233*AL233+U232*AL232)</f>
        <v>1.99136513355099E-010</v>
      </c>
      <c r="AP233" s="37" t="n">
        <f aca="false">0.5*(B233-B232)*(V233*AL233+V232*AL232)</f>
        <v>1.2281304002958E-010</v>
      </c>
      <c r="AQ233" s="37" t="n">
        <f aca="false">0.5*(B233-B232)*(W233*AL233+W232*AL232)</f>
        <v>5.49965143105832E-011</v>
      </c>
      <c r="AR233" s="37" t="n">
        <f aca="false">0.5*(B233-B232)*(X233*AL233+X232*AL232)</f>
        <v>1.60587387393996E-010</v>
      </c>
      <c r="AS233" s="37" t="n">
        <f aca="false">0.5*(B233-B232)*(Y233*AL233+Y232*AL232)</f>
        <v>8.35020400043019E-012</v>
      </c>
      <c r="AT233" s="37" t="n">
        <f aca="false">0.5*(B233-B232)*(Z233*AL233+Z232*AL232)</f>
        <v>1.50340221180172E-010</v>
      </c>
      <c r="AU233" s="37" t="n">
        <f aca="false">0.5*(B233-B232)*(AA233*AL233+AA232*AL232)</f>
        <v>1.03221711058896E-009</v>
      </c>
      <c r="AV233" s="37" t="n">
        <f aca="false">0.5*(B233-B232)*(S233+S232)</f>
        <v>5.79384931263096E-011</v>
      </c>
      <c r="AW233" s="37" t="n">
        <f aca="false">0.5*(B233-B232)*(T233+T232)</f>
        <v>2.04201886916291E-010</v>
      </c>
      <c r="AX233" s="37" t="n">
        <f aca="false">0.5*(B233-B232)*(U233+U232)</f>
        <v>1.55365543642465E-010</v>
      </c>
      <c r="AY233" s="37" t="n">
        <f aca="false">0.5*(B233-B232)*(V233+V232)</f>
        <v>9.58245950720152E-011</v>
      </c>
      <c r="AZ233" s="37" t="n">
        <f aca="false">0.5*(B233-B232)*(W233+W232)</f>
        <v>4.29108134775167E-011</v>
      </c>
      <c r="BA233" s="37" t="n">
        <f aca="false">0.5*(B233-B232)*(X233+X232)</f>
        <v>1.2528990998316E-010</v>
      </c>
      <c r="BB233" s="37" t="n">
        <f aca="false">0.5*(B233-B232)*(Y233+Y232)</f>
        <v>6.51521375224178E-012</v>
      </c>
      <c r="BC233" s="37" t="n">
        <f aca="false">0.5*(B233-B232)*(Z233+Z232)</f>
        <v>1.17294889314465E-010</v>
      </c>
      <c r="BD233" s="37" t="n">
        <f aca="false">0.5*(B233-B232)*(AA233+AA232)</f>
        <v>8.05341345284465E-010</v>
      </c>
      <c r="BE233" s="37" t="n">
        <f aca="false">IF(B233&gt;2000,AK233,-999)</f>
        <v>-999</v>
      </c>
      <c r="BF233" s="37" t="n">
        <f aca="false">IF(AND(B233&lt;1000,AK233&gt;=-3),B233,1000000000)</f>
        <v>1000000000</v>
      </c>
    </row>
    <row r="234" customFormat="false" ht="15" hidden="false" customHeight="false" outlineLevel="0" collapsed="false">
      <c r="A234" s="5" t="n">
        <v>195</v>
      </c>
      <c r="B234" s="47" t="n">
        <f aca="false">20*10^(A234/100)</f>
        <v>1782.50187626749</v>
      </c>
      <c r="C234" s="37" t="n">
        <f aca="false">2*PI()*B234</f>
        <v>11199.7895989839</v>
      </c>
      <c r="D234" s="37" t="n">
        <f aca="false">SQRT(L_Rp0^2+L_Rp1^2*C234)</f>
        <v>89137449.4773807</v>
      </c>
      <c r="E234" s="5" t="str">
        <f aca="false">COMPLEX(D234,C234*L_Mp)</f>
        <v>89137449.4773807+165451346.472776i</v>
      </c>
      <c r="F234" s="5" t="str">
        <f aca="false">IMDIV(1,E234)</f>
        <v>2.52373657467289e-09-4.68440163893381e-09i</v>
      </c>
      <c r="G234" s="5" t="str">
        <f aca="false">COMPLEX(0,C234*L_Cf)</f>
        <v>1.18428567188156e-11i</v>
      </c>
      <c r="H234" s="5" t="str">
        <f aca="false">COMPLEX(0,C234*L_Cbv)</f>
        <v>1.18428567188156e-10i</v>
      </c>
      <c r="I234" s="5" t="str">
        <f aca="false">COMPLEX(L_Rsq+L_Rh,C234*(L_Md+L_Mh)-1/(C234*L_Cd))</f>
        <v>552400610.124532-102814935485.682i</v>
      </c>
      <c r="J234" s="5" t="str">
        <f aca="false">IMDIV(1,I234)</f>
        <v>5.2255162000188e-14+9.72593261370946e-12i</v>
      </c>
      <c r="K234" s="5" t="str">
        <f aca="false">IMSUM(F234,G234,H234)</f>
        <v>2.52373657467289e-09-4.55413021502684e-09i</v>
      </c>
      <c r="L234" s="5" t="str">
        <f aca="false">IMSUM(IMPRODUCT(IMSUM(F234,G234),H234),IMPRODUCT(IMSUM(J234,L_Yv),K234))</f>
        <v>6.02836956678466e-19+3.14081961116668e-19i</v>
      </c>
      <c r="M234" s="37" t="n">
        <f aca="false">IMABS(IMDIV(IMPRODUCT(J234,F234,H234),L234))^2</f>
        <v>8.12968205966912E-023</v>
      </c>
      <c r="N234" s="5" t="str">
        <f aca="false">IMDIV(IMPRODUCT(L_Yv,K234,E234),H234)</f>
        <v>0.000196102388850226-0.0165238242890018i</v>
      </c>
      <c r="O234" s="37" t="n">
        <f aca="false">IMABS(IMSUM(1,IMPRODUCT(E234,G234),N234))^2</f>
        <v>0.996715745536261</v>
      </c>
      <c r="P234" s="37" t="n">
        <f aca="false">IMABS(N234)^2</f>
        <v>0.000273075225280719</v>
      </c>
      <c r="Q234" s="37" t="n">
        <f aca="false">p_Rb^2/(1+(C234*p_Rb*L_Ctot)^2)</f>
        <v>1314173623198800</v>
      </c>
      <c r="R234" s="37" t="n">
        <f aca="false">M234*L_Kt^2*Q234</f>
        <v>2.14419230243077E-005</v>
      </c>
      <c r="S234" s="37" t="n">
        <f aca="false">L_kT4*D234</f>
        <v>1.46770336854618E-012</v>
      </c>
      <c r="T234" s="37" t="n">
        <f aca="false">L_kT4*L_Rsq*O234</f>
        <v>5.14852659552805E-012</v>
      </c>
      <c r="U234" s="37" t="n">
        <f aca="false">L_kT4*L_Rh*O234</f>
        <v>3.91721959846439E-012</v>
      </c>
      <c r="V234" s="37" t="n">
        <f aca="false">L_kT4*p_Rv*P234</f>
        <v>2.24817644189338E-012</v>
      </c>
      <c r="W234" s="37" t="n">
        <f aca="false">L_kT4/p_Rb*Q234/R234</f>
        <v>1.0091764360368E-012</v>
      </c>
      <c r="X234" s="37" t="n">
        <f aca="false">p_en^2*(1+p_fc/B234)/R234</f>
        <v>3.15225733145027E-012</v>
      </c>
      <c r="Y234" s="37" t="n">
        <f aca="false">p_in^2*Q234/R234</f>
        <v>1.53224785588143E-013</v>
      </c>
      <c r="Z234" s="37" t="n">
        <f aca="false">p_eo^2/L_G^2/R234</f>
        <v>2.95662509498685E-012</v>
      </c>
      <c r="AA234" s="37" t="n">
        <f aca="false">SUM(S234:Z234)</f>
        <v>2.00529096524941E-011</v>
      </c>
      <c r="AB234" s="47" t="n">
        <f aca="false">10*LOG10(AA234/L_PREF^2)</f>
        <v>-12.9988259420512</v>
      </c>
      <c r="AC234" s="47" t="n">
        <f aca="false">10*LOG10(S234/L_PREF^2)</f>
        <v>-24.3542170033978</v>
      </c>
      <c r="AD234" s="47" t="n">
        <f aca="false">10*LOG10(T234/L_PREF^2)</f>
        <v>-18.9037703082756</v>
      </c>
      <c r="AE234" s="47" t="n">
        <f aca="false">10*LOG10(U234/L_PREF^2)</f>
        <v>-20.0908207264503</v>
      </c>
      <c r="AF234" s="47" t="n">
        <f aca="false">10*LOG10(V234/L_PREF^2)</f>
        <v>-22.5022959869534</v>
      </c>
      <c r="AG234" s="47" t="n">
        <f aca="false">10*LOG10(W234/L_PREF^2)</f>
        <v>-25.9809289000826</v>
      </c>
      <c r="AH234" s="47" t="n">
        <f aca="false">10*LOG10(X234/L_PREF^2)</f>
        <v>-21.0343832785717</v>
      </c>
      <c r="AI234" s="47" t="n">
        <f aca="false">10*LOG10(Y234/L_PREF^2)</f>
        <v>-34.1673096902417</v>
      </c>
      <c r="AJ234" s="47" t="n">
        <f aca="false">10*LOG10(Z234/L_PREF^2)</f>
        <v>-21.3126373257827</v>
      </c>
      <c r="AK234" s="47" t="n">
        <f aca="false">10*LOG10(R234/$R$6)</f>
        <v>0.0249282793566762</v>
      </c>
      <c r="AL234" s="37" t="n">
        <f aca="false">(12194^2*B234^4/((B234^2+20.6^2)*SQRT((B234^2+107.7^2)*(B234^2+737.9^2))*(B234^2+12194^2))*1.2589254)^2</f>
        <v>1.29194086423497</v>
      </c>
      <c r="AM234" s="37" t="n">
        <f aca="false">0.5*(B234-B233)*(S234*AL234+S233*AL233)</f>
        <v>7.66250875223369E-011</v>
      </c>
      <c r="AN234" s="37" t="n">
        <f aca="false">0.5*(B234-B233)*(T234*AL234+T233*AL233)</f>
        <v>2.69215689495556E-010</v>
      </c>
      <c r="AO234" s="37" t="n">
        <f aca="false">0.5*(B234-B233)*(U234*AL234+U233*AL233)</f>
        <v>2.04830829857631E-010</v>
      </c>
      <c r="AP234" s="37" t="n">
        <f aca="false">0.5*(B234-B233)*(V234*AL234+V233*AL233)</f>
        <v>1.20429773254996E-010</v>
      </c>
      <c r="AQ234" s="37" t="n">
        <f aca="false">0.5*(B234-B233)*(W234*AL234+W233*AL233)</f>
        <v>5.40146239637613E-011</v>
      </c>
      <c r="AR234" s="37" t="n">
        <f aca="false">0.5*(B234-B233)*(X234*AL234+X233*AL233)</f>
        <v>1.64946398012073E-010</v>
      </c>
      <c r="AS234" s="37" t="n">
        <f aca="false">0.5*(B234-B233)*(Y234*AL234+Y233*AL233)</f>
        <v>8.20112210306278E-012</v>
      </c>
      <c r="AT234" s="37" t="n">
        <f aca="false">0.5*(B234-B233)*(Z234*AL234+Z233*AL233)</f>
        <v>1.54614234916311E-010</v>
      </c>
      <c r="AU234" s="37" t="n">
        <f aca="false">0.5*(B234-B233)*(AA234*AL234+AA233*AL233)</f>
        <v>1.05287775912573E-009</v>
      </c>
      <c r="AV234" s="37" t="n">
        <f aca="false">0.5*(B234-B233)*(S234+S233)</f>
        <v>5.94631777220265E-011</v>
      </c>
      <c r="AW234" s="37" t="n">
        <f aca="false">0.5*(B234-B233)*(T234+T233)</f>
        <v>2.08919642104559E-010</v>
      </c>
      <c r="AX234" s="37" t="n">
        <f aca="false">0.5*(B234-B233)*(U234+U233)</f>
        <v>1.58955013899896E-010</v>
      </c>
      <c r="AY234" s="37" t="n">
        <f aca="false">0.5*(B234-B233)*(V234+V233)</f>
        <v>9.34629810665238E-011</v>
      </c>
      <c r="AZ234" s="37" t="n">
        <f aca="false">0.5*(B234-B233)*(W234+W233)</f>
        <v>4.19195110272186E-011</v>
      </c>
      <c r="BA234" s="37" t="n">
        <f aca="false">0.5*(B234-B233)*(X234+X233)</f>
        <v>1.28003702004671E-010</v>
      </c>
      <c r="BB234" s="37" t="n">
        <f aca="false">0.5*(B234-B233)*(Y234+Y233)</f>
        <v>6.36470280095914E-012</v>
      </c>
      <c r="BC234" s="37" t="n">
        <f aca="false">0.5*(B234-B233)*(Z234+Z233)</f>
        <v>1.19985419821445E-010</v>
      </c>
      <c r="BD234" s="37" t="n">
        <f aca="false">0.5*(B234-B233)*(AA234+AA233)</f>
        <v>8.17074150447299E-010</v>
      </c>
      <c r="BE234" s="37" t="n">
        <f aca="false">IF(B234&gt;2000,AK234,-999)</f>
        <v>-999</v>
      </c>
      <c r="BF234" s="37" t="n">
        <f aca="false">IF(AND(B234&lt;1000,AK234&gt;=-3),B234,1000000000)</f>
        <v>1000000000</v>
      </c>
    </row>
    <row r="235" customFormat="false" ht="15" hidden="false" customHeight="false" outlineLevel="0" collapsed="false">
      <c r="A235" s="5" t="n">
        <v>196</v>
      </c>
      <c r="B235" s="47" t="n">
        <f aca="false">20*10^(A235/100)</f>
        <v>1824.02167871182</v>
      </c>
      <c r="C235" s="37" t="n">
        <f aca="false">2*PI()*B235</f>
        <v>11460.6662116591</v>
      </c>
      <c r="D235" s="37" t="n">
        <f aca="false">SQRT(L_Rp0^2+L_Rp1^2*C235)</f>
        <v>89407562.9804384</v>
      </c>
      <c r="E235" s="5" t="str">
        <f aca="false">COMPLEX(D235,C235*L_Mp)</f>
        <v>89407562.9804384+169305203.409006i</v>
      </c>
      <c r="F235" s="5" t="str">
        <f aca="false">IMDIV(1,E235)</f>
        <v>2.43896694440445e-09-4.61851079332721e-09i</v>
      </c>
      <c r="G235" s="5" t="str">
        <f aca="false">COMPLEX(0,C235*L_Cf)</f>
        <v>1.21187122889491e-11i</v>
      </c>
      <c r="H235" s="5" t="str">
        <f aca="false">COMPLEX(0,C235*L_Cbv)</f>
        <v>1.21187122889491e-10i</v>
      </c>
      <c r="I235" s="5" t="str">
        <f aca="false">COMPLEX(L_Rsq+L_Rh,C235*(L_Md+L_Mh)-1/(C235*L_Cd))</f>
        <v>552400610.124532-100472638240.918i</v>
      </c>
      <c r="J235" s="5" t="str">
        <f aca="false">IMDIV(1,I235)</f>
        <v>5.47199144008245e-14+9.95265766076655e-12i</v>
      </c>
      <c r="K235" s="5" t="str">
        <f aca="false">IMSUM(F235,G235,H235)</f>
        <v>2.43896694440445e-09-4.48520495814877e-09i</v>
      </c>
      <c r="L235" s="5" t="str">
        <f aca="false">IMSUM(IMPRODUCT(IMSUM(F235,G235),H235),IMPRODUCT(IMSUM(J235,L_Yv),K235))</f>
        <v>6.07886506640023e-19+3.10629749910855e-19i</v>
      </c>
      <c r="M235" s="37" t="n">
        <f aca="false">IMABS(IMDIV(IMPRODUCT(J235,F235,H235),L235))^2</f>
        <v>8.51597249439606E-023</v>
      </c>
      <c r="N235" s="5" t="str">
        <f aca="false">IMDIV(IMPRODUCT(L_Yv,K235,E235),H235)</f>
        <v>0.000196696638556969-0.0161309321511134i</v>
      </c>
      <c r="O235" s="37" t="n">
        <f aca="false">IMABS(IMSUM(1,IMPRODUCT(E235,G235),N235))^2</f>
        <v>0.996519737520756</v>
      </c>
      <c r="P235" s="37" t="n">
        <f aca="false">IMABS(N235)^2</f>
        <v>0.000260245661631444</v>
      </c>
      <c r="Q235" s="37" t="n">
        <f aca="false">p_Rb^2/(1+(C235*p_Rb*L_Ctot)^2)</f>
        <v>1255026066974020</v>
      </c>
      <c r="R235" s="37" t="n">
        <f aca="false">M235*L_Kt^2*Q235</f>
        <v>2.14498579953074E-005</v>
      </c>
      <c r="S235" s="37" t="n">
        <f aca="false">L_kT4*D235</f>
        <v>1.47215095483737E-012</v>
      </c>
      <c r="T235" s="37" t="n">
        <f aca="false">L_kT4*L_Rsq*O235</f>
        <v>5.14751411781282E-012</v>
      </c>
      <c r="U235" s="37" t="n">
        <f aca="false">L_kT4*L_Rh*O235</f>
        <v>3.91644926204377E-012</v>
      </c>
      <c r="V235" s="37" t="n">
        <f aca="false">L_kT4*p_Rv*P235</f>
        <v>2.14255308215277E-012</v>
      </c>
      <c r="W235" s="37" t="n">
        <f aca="false">L_kT4/p_Rb*Q235/R235</f>
        <v>9.63399491072569E-013</v>
      </c>
      <c r="X235" s="37" t="n">
        <f aca="false">p_en^2*(1+p_fc/B235)/R235</f>
        <v>3.14728098630896E-012</v>
      </c>
      <c r="Y235" s="37" t="n">
        <f aca="false">p_in^2*Q235/R235</f>
        <v>1.46274402754622E-013</v>
      </c>
      <c r="Z235" s="37" t="n">
        <f aca="false">p_eo^2/L_G^2/R235</f>
        <v>2.95553134721515E-012</v>
      </c>
      <c r="AA235" s="37" t="n">
        <f aca="false">SUM(S235:Z235)</f>
        <v>1.9891153644198E-011</v>
      </c>
      <c r="AB235" s="47" t="n">
        <f aca="false">10*LOG10(AA235/L_PREF^2)</f>
        <v>-13.034000193257</v>
      </c>
      <c r="AC235" s="47" t="n">
        <f aca="false">10*LOG10(S235/L_PREF^2)</f>
        <v>-24.341076463458</v>
      </c>
      <c r="AD235" s="47" t="n">
        <f aca="false">10*LOG10(T235/L_PREF^2)</f>
        <v>-18.9046244491991</v>
      </c>
      <c r="AE235" s="47" t="n">
        <f aca="false">10*LOG10(U235/L_PREF^2)</f>
        <v>-20.0916748673739</v>
      </c>
      <c r="AF235" s="47" t="n">
        <f aca="false">10*LOG10(V235/L_PREF^2)</f>
        <v>-22.7112840087254</v>
      </c>
      <c r="AG235" s="47" t="n">
        <f aca="false">10*LOG10(W235/L_PREF^2)</f>
        <v>-26.182535787708</v>
      </c>
      <c r="AH235" s="47" t="n">
        <f aca="false">10*LOG10(X235/L_PREF^2)</f>
        <v>-21.0412447327781</v>
      </c>
      <c r="AI235" s="47" t="n">
        <f aca="false">10*LOG10(Y235/L_PREF^2)</f>
        <v>-34.3689165778672</v>
      </c>
      <c r="AJ235" s="47" t="n">
        <f aca="false">10*LOG10(Z235/L_PREF^2)</f>
        <v>-21.314244213665</v>
      </c>
      <c r="AK235" s="47" t="n">
        <f aca="false">10*LOG10(R235/$R$6)</f>
        <v>0.0265351672389841</v>
      </c>
      <c r="AL235" s="37" t="n">
        <f aca="false">(12194^2*B235^4/((B235^2+20.6^2)*SQRT((B235^2+107.7^2)*(B235^2+737.9^2))*(B235^2+12194^2))*1.2589254)^2</f>
        <v>1.29817143929836</v>
      </c>
      <c r="AM235" s="37" t="n">
        <f aca="false">0.5*(B235-B234)*(S235*AL235+S234*AL234)</f>
        <v>7.90389701847746E-011</v>
      </c>
      <c r="AN235" s="37" t="n">
        <f aca="false">0.5*(B235-B234)*(T235*AL235+T234*AL234)</f>
        <v>2.76811437371337E-010</v>
      </c>
      <c r="AO235" s="37" t="n">
        <f aca="false">0.5*(B235-B234)*(U235*AL235+U234*AL234)</f>
        <v>2.10610000245884E-010</v>
      </c>
      <c r="AP235" s="37" t="n">
        <f aca="false">0.5*(B235-B234)*(V235*AL235+V234*AL234)</f>
        <v>1.18038976330002E-010</v>
      </c>
      <c r="AQ235" s="37" t="n">
        <f aca="false">0.5*(B235-B234)*(W235*AL235+W234*AL234)</f>
        <v>5.30302123197148E-011</v>
      </c>
      <c r="AR235" s="37" t="n">
        <f aca="false">0.5*(B235-B234)*(X235*AL235+X234*AL234)</f>
        <v>1.69364263791042E-010</v>
      </c>
      <c r="AS235" s="37" t="n">
        <f aca="false">0.5*(B235-B234)*(Y235*AL235+Y234*AL234)</f>
        <v>8.05165739332197E-012</v>
      </c>
      <c r="AT235" s="37" t="n">
        <f aca="false">0.5*(B235-B234)*(Z235*AL235+Z234*AL234)</f>
        <v>1.58949661051448E-010</v>
      </c>
      <c r="AU235" s="37" t="n">
        <f aca="false">0.5*(B235-B234)*(AA235*AL235+AA234*AL234)</f>
        <v>1.07389517868753E-009</v>
      </c>
      <c r="AV235" s="37" t="n">
        <f aca="false">0.5*(B235-B234)*(S235+S234)</f>
        <v>6.10310853609952E-011</v>
      </c>
      <c r="AW235" s="37" t="n">
        <f aca="false">0.5*(B235-B234)*(T235+T234)</f>
        <v>2.13744788188339E-010</v>
      </c>
      <c r="AX235" s="37" t="n">
        <f aca="false">0.5*(B235-B234)*(U235+U234)</f>
        <v>1.62626191751294E-010</v>
      </c>
      <c r="AY235" s="37" t="n">
        <f aca="false">0.5*(B235-B234)*(V235+V234)</f>
        <v>9.11511112124387E-011</v>
      </c>
      <c r="AZ235" s="37" t="n">
        <f aca="false">0.5*(B235-B234)*(W235+W234)</f>
        <v>4.09504814000096E-011</v>
      </c>
      <c r="BA235" s="37" t="n">
        <f aca="false">0.5*(B235-B234)*(X235+X234)</f>
        <v>1.30777793221921E-010</v>
      </c>
      <c r="BB235" s="37" t="n">
        <f aca="false">0.5*(B235-B234)*(Y235+Y234)</f>
        <v>6.21757356611418E-012</v>
      </c>
      <c r="BC235" s="37" t="n">
        <f aca="false">0.5*(B235-B234)*(Z235+Z234)</f>
        <v>1.22735783750096E-010</v>
      </c>
      <c r="BD235" s="37" t="n">
        <f aca="false">0.5*(B235-B234)*(AA235+AA234)</f>
        <v>8.29234808451207E-010</v>
      </c>
      <c r="BE235" s="37" t="n">
        <f aca="false">IF(B235&gt;2000,AK235,-999)</f>
        <v>-999</v>
      </c>
      <c r="BF235" s="37" t="n">
        <f aca="false">IF(AND(B235&lt;1000,AK235&gt;=-3),B235,1000000000)</f>
        <v>1000000000</v>
      </c>
    </row>
    <row r="236" customFormat="false" ht="15" hidden="false" customHeight="false" outlineLevel="0" collapsed="false">
      <c r="A236" s="5" t="n">
        <v>197</v>
      </c>
      <c r="B236" s="47" t="n">
        <f aca="false">20*10^(A236/100)</f>
        <v>1866.50860159398</v>
      </c>
      <c r="C236" s="37" t="n">
        <f aca="false">2*PI()*B236</f>
        <v>11727.6194212596</v>
      </c>
      <c r="D236" s="37" t="n">
        <f aca="false">SQRT(L_Rp0^2+L_Rp1^2*C236)</f>
        <v>89683126.048118</v>
      </c>
      <c r="E236" s="5" t="str">
        <f aca="false">COMPLEX(D236,C236*L_Mp)</f>
        <v>89683126.048118+173248828.205104i</v>
      </c>
      <c r="F236" s="5" t="str">
        <f aca="false">IMDIV(1,E236)</f>
        <v>2.35647192790957e-09-4.5522052831824e-09i</v>
      </c>
      <c r="G236" s="5" t="str">
        <f aca="false">COMPLEX(0,C236*L_Cf)</f>
        <v>1.24009933607483e-11i</v>
      </c>
      <c r="H236" s="5" t="str">
        <f aca="false">COMPLEX(0,C236*L_Cbv)</f>
        <v>1.24009933607483e-10i</v>
      </c>
      <c r="I236" s="5" t="str">
        <f aca="false">COMPLEX(L_Rsq+L_Rh,C236*(L_Md+L_Mh)-1/(C236*L_Cd))</f>
        <v>552400610.124532-98183612918.8617i</v>
      </c>
      <c r="J236" s="5" t="str">
        <f aca="false">IMDIV(1,I236)</f>
        <v>5.7301024184084e-14+1.01846766191589e-11i</v>
      </c>
      <c r="K236" s="5" t="str">
        <f aca="false">IMSUM(F236,G236,H236)</f>
        <v>2.35647192790957e-09-4.41579435621417e-09i</v>
      </c>
      <c r="L236" s="5" t="str">
        <f aca="false">IMSUM(IMPRODUCT(IMSUM(F236,G236),H236),IMPRODUCT(IMSUM(J236,L_Yv),K236))</f>
        <v>6.12802238217247e-19+3.07141213624222e-19i</v>
      </c>
      <c r="M236" s="37" t="n">
        <f aca="false">IMABS(IMDIV(IMPRODUCT(J236,F236,H236),L236))^2</f>
        <v>8.92076522013932E-023</v>
      </c>
      <c r="N236" s="5" t="str">
        <f aca="false">IMDIV(IMPRODUCT(L_Yv,K236,E236),H236)</f>
        <v>0.000197302877305849-0.0157465928469696i</v>
      </c>
      <c r="O236" s="37" t="n">
        <f aca="false">IMABS(IMSUM(1,IMPRODUCT(E236,G236),N236))^2</f>
        <v>0.996315664251705</v>
      </c>
      <c r="P236" s="37" t="n">
        <f aca="false">IMABS(N236)^2</f>
        <v>0.000247994114713627</v>
      </c>
      <c r="Q236" s="37" t="n">
        <f aca="false">p_Rb^2/(1+(C236*p_Rb*L_Ctot)^2)</f>
        <v>1198540589291528</v>
      </c>
      <c r="R236" s="37" t="n">
        <f aca="false">M236*L_Kt^2*Q236</f>
        <v>2.14581502030915E-005</v>
      </c>
      <c r="S236" s="37" t="n">
        <f aca="false">L_kT4*D236</f>
        <v>1.47668827158865E-012</v>
      </c>
      <c r="T236" s="37" t="n">
        <f aca="false">L_kT4*L_Rsq*O236</f>
        <v>5.14645997909991E-012</v>
      </c>
      <c r="U236" s="37" t="n">
        <f aca="false">L_kT4*L_Rh*O236</f>
        <v>3.91564722815133E-012</v>
      </c>
      <c r="V236" s="37" t="n">
        <f aca="false">L_kT4*p_Rv*P236</f>
        <v>2.04168842433157E-012</v>
      </c>
      <c r="W236" s="37" t="n">
        <f aca="false">L_kT4/p_Rb*Q236/R236</f>
        <v>9.19683834809075E-013</v>
      </c>
      <c r="X236" s="37" t="n">
        <f aca="false">p_en^2*(1+p_fc/B236)/R236</f>
        <v>3.14234270608497E-012</v>
      </c>
      <c r="Y236" s="37" t="n">
        <f aca="false">p_in^2*Q236/R236</f>
        <v>1.39636988504123E-013</v>
      </c>
      <c r="Z236" s="37" t="n">
        <f aca="false">p_eo^2/L_G^2/R236</f>
        <v>2.95438922266986E-012</v>
      </c>
      <c r="AA236" s="37" t="n">
        <f aca="false">SUM(S236:Z236)</f>
        <v>1.97365366552395E-011</v>
      </c>
      <c r="AB236" s="47" t="n">
        <f aca="false">10*LOG10(AA236/L_PREF^2)</f>
        <v>-13.0678904580491</v>
      </c>
      <c r="AC236" s="47" t="n">
        <f aca="false">10*LOG10(S236/L_PREF^2)</f>
        <v>-24.3277116576377</v>
      </c>
      <c r="AD236" s="47" t="n">
        <f aca="false">10*LOG10(T236/L_PREF^2)</f>
        <v>-18.9055139144795</v>
      </c>
      <c r="AE236" s="47" t="n">
        <f aca="false">10*LOG10(U236/L_PREF^2)</f>
        <v>-20.0925643326542</v>
      </c>
      <c r="AF236" s="47" t="n">
        <f aca="false">10*LOG10(V236/L_PREF^2)</f>
        <v>-22.9207052483956</v>
      </c>
      <c r="AG236" s="47" t="n">
        <f aca="false">10*LOG10(W236/L_PREF^2)</f>
        <v>-26.3842143832677</v>
      </c>
      <c r="AH236" s="47" t="n">
        <f aca="false">10*LOG10(X236/L_PREF^2)</f>
        <v>-21.0480644358223</v>
      </c>
      <c r="AI236" s="47" t="n">
        <f aca="false">10*LOG10(Y236/L_PREF^2)</f>
        <v>-34.5705951734269</v>
      </c>
      <c r="AJ236" s="47" t="n">
        <f aca="false">10*LOG10(Z236/L_PREF^2)</f>
        <v>-21.31592280947</v>
      </c>
      <c r="AK236" s="47" t="n">
        <f aca="false">10*LOG10(R236/$R$6)</f>
        <v>0.0282137630440382</v>
      </c>
      <c r="AL236" s="37" t="n">
        <f aca="false">(12194^2*B236^4/((B236^2+20.6^2)*SQRT((B236^2+107.7^2)*(B236^2+737.9^2))*(B236^2+12194^2))*1.2589254)^2</f>
        <v>1.30396904003311</v>
      </c>
      <c r="AM236" s="37" t="n">
        <f aca="false">0.5*(B236-B235)*(S236*AL236+S235*AL235)</f>
        <v>8.15039411483502E-011</v>
      </c>
      <c r="AN236" s="37" t="n">
        <f aca="false">0.5*(B236-B235)*(T236*AL236+T235*AL235)</f>
        <v>2.84517509056533E-010</v>
      </c>
      <c r="AO236" s="37" t="n">
        <f aca="false">0.5*(B236-B235)*(U236*AL236+U235*AL235)</f>
        <v>2.16473109714647E-010</v>
      </c>
      <c r="AP236" s="37" t="n">
        <f aca="false">0.5*(B236-B235)*(V236*AL236+V235*AL235)</f>
        <v>1.15643024953207E-010</v>
      </c>
      <c r="AQ236" s="37" t="n">
        <f aca="false">0.5*(B236-B235)*(W236*AL236+W235*AL235)</f>
        <v>5.20442914164827E-011</v>
      </c>
      <c r="AR236" s="37" t="n">
        <f aca="false">0.5*(B236-B235)*(X236*AL236+X235*AL235)</f>
        <v>1.73840086140159E-010</v>
      </c>
      <c r="AS236" s="37" t="n">
        <f aca="false">0.5*(B236-B235)*(Y236*AL236+Y235*AL235)</f>
        <v>7.90196353047488E-012</v>
      </c>
      <c r="AT236" s="37" t="n">
        <f aca="false">0.5*(B236-B235)*(Z236*AL236+Z235*AL235)</f>
        <v>1.63345615898388E-010</v>
      </c>
      <c r="AU236" s="37" t="n">
        <f aca="false">0.5*(B236-B235)*(AA236*AL236+AA235*AL235)</f>
        <v>1.09526954185824E-009</v>
      </c>
      <c r="AV236" s="37" t="n">
        <f aca="false">0.5*(B236-B235)*(S236+S235)</f>
        <v>6.26435524025292E-011</v>
      </c>
      <c r="AW236" s="37" t="n">
        <f aca="false">0.5*(B236-B235)*(T236+T235)</f>
        <v>2.18679641803255E-010</v>
      </c>
      <c r="AX236" s="37" t="n">
        <f aca="false">0.5*(B236-B235)*(U236+U235)</f>
        <v>1.66380839792288E-010</v>
      </c>
      <c r="AY236" s="37" t="n">
        <f aca="false">0.5*(B236-B235)*(V236+V235)</f>
        <v>8.88877731031722E-011</v>
      </c>
      <c r="AZ236" s="37" t="n">
        <f aca="false">0.5*(B236-B235)*(W236+W235)</f>
        <v>4.00032080237099E-011</v>
      </c>
      <c r="BA236" s="37" t="n">
        <f aca="false">0.5*(B236-B235)*(X236+X235)</f>
        <v>1.33613378388282E-010</v>
      </c>
      <c r="BB236" s="37" t="n">
        <f aca="false">0.5*(B236-B235)*(Y236+Y235)</f>
        <v>6.07374761577105E-012</v>
      </c>
      <c r="BC236" s="37" t="n">
        <f aca="false">0.5*(B236-B235)*(Z236+Z235)</f>
        <v>1.25547169746205E-010</v>
      </c>
      <c r="BD236" s="37" t="n">
        <f aca="false">0.5*(B236-B235)*(AA236+AA235)</f>
        <v>8.41829310875213E-010</v>
      </c>
      <c r="BE236" s="37" t="n">
        <f aca="false">IF(B236&gt;2000,AK236,-999)</f>
        <v>-999</v>
      </c>
      <c r="BF236" s="37" t="n">
        <f aca="false">IF(AND(B236&lt;1000,AK236&gt;=-3),B236,1000000000)</f>
        <v>1000000000</v>
      </c>
    </row>
    <row r="237" customFormat="false" ht="15" hidden="false" customHeight="false" outlineLevel="0" collapsed="false">
      <c r="A237" s="5" t="n">
        <v>198</v>
      </c>
      <c r="B237" s="47" t="n">
        <f aca="false">20*10^(A237/100)</f>
        <v>1909.98517204287</v>
      </c>
      <c r="C237" s="37" t="n">
        <f aca="false">2*PI()*B237</f>
        <v>12000.7907699106</v>
      </c>
      <c r="D237" s="37" t="n">
        <f aca="false">SQRT(L_Rp0^2+L_Rp1^2*C237)</f>
        <v>89964234.0308296</v>
      </c>
      <c r="E237" s="5" t="str">
        <f aca="false">COMPLEX(D237,C237*L_Mp)</f>
        <v>89964234.0308296+177284311.823135i</v>
      </c>
      <c r="F237" s="5" t="str">
        <f aca="false">IMDIV(1,E237)</f>
        <v>2.27623339585153e-09-4.48556557480485e-09i</v>
      </c>
      <c r="G237" s="5" t="str">
        <f aca="false">COMPLEX(0,C237*L_Cf)</f>
        <v>1.26898496033738e-11i</v>
      </c>
      <c r="H237" s="5" t="str">
        <f aca="false">COMPLEX(0,C237*L_Cbv)</f>
        <v>1.26898496033738e-10i</v>
      </c>
      <c r="I237" s="5" t="str">
        <f aca="false">COMPLEX(L_Rsq+L_Rh,C237*(L_Md+L_Mh)-1/(C237*L_Cd))</f>
        <v>552400610.124532-95946645847.989i</v>
      </c>
      <c r="J237" s="5" t="str">
        <f aca="false">IMDIV(1,I237)</f>
        <v>6.00039941466558e-14+1.04221137166306e-11i</v>
      </c>
      <c r="K237" s="5" t="str">
        <f aca="false">IMSUM(F237,G237,H237)</f>
        <v>2.27623339585153e-09-4.34597722916774e-09i</v>
      </c>
      <c r="L237" s="5" t="str">
        <f aca="false">IMSUM(IMPRODUCT(IMSUM(F237,G237),H237),IMPRODUCT(IMSUM(J237,L_Yv),K237))</f>
        <v>6.1758452125322e-19+3.03621027401928e-19i</v>
      </c>
      <c r="M237" s="37" t="n">
        <f aca="false">IMABS(IMDIV(IMPRODUCT(J237,F237,H237),L237))^2</f>
        <v>9.34496115313143E-023</v>
      </c>
      <c r="N237" s="5" t="str">
        <f aca="false">IMDIV(IMPRODUCT(L_Yv,K237,E237),H237)</f>
        <v>0.00019792131486782-0.0153706025947842i</v>
      </c>
      <c r="O237" s="37" t="n">
        <f aca="false">IMABS(IMSUM(1,IMPRODUCT(E237,G237),N237))^2</f>
        <v>0.996103093550671</v>
      </c>
      <c r="P237" s="37" t="n">
        <f aca="false">IMABS(N237)^2</f>
        <v>0.000236294596973666</v>
      </c>
      <c r="Q237" s="37" t="n">
        <f aca="false">p_Rb^2/(1+(C237*p_Rb*L_Ctot)^2)</f>
        <v>1144597376880920</v>
      </c>
      <c r="R237" s="37" t="n">
        <f aca="false">M237*L_Kt^2*Q237</f>
        <v>2.1466817874394E-005</v>
      </c>
      <c r="S237" s="37" t="n">
        <f aca="false">L_kT4*D237</f>
        <v>1.48131688880364E-012</v>
      </c>
      <c r="T237" s="37" t="n">
        <f aca="false">L_kT4*L_Rsq*O237</f>
        <v>5.1453619469753E-012</v>
      </c>
      <c r="U237" s="37" t="n">
        <f aca="false">L_kT4*L_Rh*O237</f>
        <v>3.91481179827086E-012</v>
      </c>
      <c r="V237" s="37" t="n">
        <f aca="false">L_kT4*p_Rv*P237</f>
        <v>1.94536851783894E-012</v>
      </c>
      <c r="W237" s="37" t="n">
        <f aca="false">L_kT4/p_Rb*Q237/R237</f>
        <v>8.7793661553531E-013</v>
      </c>
      <c r="X237" s="37" t="n">
        <f aca="false">p_en^2*(1+p_fc/B237)/R237</f>
        <v>3.13743805662506E-012</v>
      </c>
      <c r="Y237" s="37" t="n">
        <f aca="false">p_in^2*Q237/R237</f>
        <v>1.3329844502084E-013</v>
      </c>
      <c r="Z237" s="37" t="n">
        <f aca="false">p_eo^2/L_G^2/R237</f>
        <v>2.95319632697233E-012</v>
      </c>
      <c r="AA237" s="37" t="n">
        <f aca="false">SUM(S237:Z237)</f>
        <v>1.95887285960423E-011</v>
      </c>
      <c r="AB237" s="47" t="n">
        <f aca="false">10*LOG10(AA237/L_PREF^2)</f>
        <v>-13.1005374224705</v>
      </c>
      <c r="AC237" s="47" t="n">
        <f aca="false">10*LOG10(S237/L_PREF^2)</f>
        <v>-24.3141201698141</v>
      </c>
      <c r="AD237" s="47" t="n">
        <f aca="false">10*LOG10(T237/L_PREF^2)</f>
        <v>-18.9064406100595</v>
      </c>
      <c r="AE237" s="47" t="n">
        <f aca="false">10*LOG10(U237/L_PREF^2)</f>
        <v>-20.0934910282342</v>
      </c>
      <c r="AF237" s="47" t="n">
        <f aca="false">10*LOG10(V237/L_PREF^2)</f>
        <v>-23.130581079778</v>
      </c>
      <c r="AG237" s="47" t="n">
        <f aca="false">10*LOG10(W237/L_PREF^2)</f>
        <v>-26.5859682908579</v>
      </c>
      <c r="AH237" s="47" t="n">
        <f aca="false">10*LOG10(X237/L_PREF^2)</f>
        <v>-21.0548483115966</v>
      </c>
      <c r="AI237" s="47" t="n">
        <f aca="false">10*LOG10(Y237/L_PREF^2)</f>
        <v>-34.7723490810171</v>
      </c>
      <c r="AJ237" s="47" t="n">
        <f aca="false">10*LOG10(Z237/L_PREF^2)</f>
        <v>-21.3176767172945</v>
      </c>
      <c r="AK237" s="47" t="n">
        <f aca="false">10*LOG10(R237/$R$6)</f>
        <v>0.0299676708685095</v>
      </c>
      <c r="AL237" s="37" t="n">
        <f aca="false">(12194^2*B237^4/((B237^2+20.6^2)*SQRT((B237^2+107.7^2)*(B237^2+737.9^2))*(B237^2+12194^2))*1.2589254)^2</f>
        <v>1.30933372997648</v>
      </c>
      <c r="AM237" s="37" t="n">
        <f aca="false">0.5*(B237-B236)*(S237*AL237+S236*AL236)</f>
        <v>8.40205148179809E-011</v>
      </c>
      <c r="AN237" s="37" t="n">
        <f aca="false">0.5*(B237-B236)*(T237*AL237+T236*AL236)</f>
        <v>2.9233255612463E-010</v>
      </c>
      <c r="AO237" s="37" t="n">
        <f aca="false">0.5*(B237-B236)*(U237*AL237+U236*AL236)</f>
        <v>2.22419132323263E-010</v>
      </c>
      <c r="AP237" s="37" t="n">
        <f aca="false">0.5*(B237-B236)*(V237*AL237+V236*AL236)</f>
        <v>1.1324418633079E-010</v>
      </c>
      <c r="AQ237" s="37" t="n">
        <f aca="false">0.5*(B237-B236)*(W237*AL237+W236*AL236)</f>
        <v>5.10578250440089E-011</v>
      </c>
      <c r="AR237" s="37" t="n">
        <f aca="false">0.5*(B237-B236)*(X237*AL237+X236*AL236)</f>
        <v>1.78372870632754E-010</v>
      </c>
      <c r="AS237" s="37" t="n">
        <f aca="false">0.5*(B237-B236)*(Y237*AL237+Y236*AL236)</f>
        <v>7.75218684820729E-012</v>
      </c>
      <c r="AT237" s="37" t="n">
        <f aca="false">0.5*(B237-B236)*(Z237*AL237+Z236*AL236)</f>
        <v>1.67801120056637E-010</v>
      </c>
      <c r="AU237" s="37" t="n">
        <f aca="false">0.5*(B237-B236)*(AA237*AL237+AA236*AL236)</f>
        <v>1.11700039217827E-009</v>
      </c>
      <c r="AV237" s="37" t="n">
        <f aca="false">0.5*(B237-B236)*(S237+S236)</f>
        <v>6.43019598719871E-011</v>
      </c>
      <c r="AW237" s="37" t="n">
        <f aca="false">0.5*(B237-B236)*(T237+T236)</f>
        <v>2.23726560508217E-010</v>
      </c>
      <c r="AX237" s="37" t="n">
        <f aca="false">0.5*(B237-B236)*(U237+U236)</f>
        <v>1.70220751754694E-010</v>
      </c>
      <c r="AY237" s="37" t="n">
        <f aca="false">0.5*(B237-B236)*(V237+V236)</f>
        <v>8.66717810150052E-011</v>
      </c>
      <c r="AZ237" s="37" t="n">
        <f aca="false">0.5*(B237-B236)*(W237+W236)</f>
        <v>3.90771860748811E-011</v>
      </c>
      <c r="BA237" s="37" t="n">
        <f aca="false">0.5*(B237-B236)*(X237+X236)</f>
        <v>1.36511665366772E-010</v>
      </c>
      <c r="BB237" s="37" t="n">
        <f aca="false">0.5*(B237-B236)*(Y237+Y236)</f>
        <v>5.93314830182311E-012</v>
      </c>
      <c r="BC237" s="37" t="n">
        <f aca="false">0.5*(B237-B236)*(Z237+Z236)</f>
        <v>1.2842077966593E-010</v>
      </c>
      <c r="BD237" s="37" t="n">
        <f aca="false">0.5*(B237-B236)*(AA237+AA236)</f>
        <v>8.5486383255931E-010</v>
      </c>
      <c r="BE237" s="37" t="n">
        <f aca="false">IF(B237&gt;2000,AK237,-999)</f>
        <v>-999</v>
      </c>
      <c r="BF237" s="37" t="n">
        <f aca="false">IF(AND(B237&lt;1000,AK237&gt;=-3),B237,1000000000)</f>
        <v>1000000000</v>
      </c>
    </row>
    <row r="238" customFormat="false" ht="15" hidden="false" customHeight="false" outlineLevel="0" collapsed="false">
      <c r="A238" s="5" t="n">
        <v>199</v>
      </c>
      <c r="B238" s="47" t="n">
        <f aca="false">20*10^(A238/100)</f>
        <v>1954.47444191162</v>
      </c>
      <c r="C238" s="37" t="n">
        <f aca="false">2*PI()*B238</f>
        <v>12280.3250966771</v>
      </c>
      <c r="D238" s="37" t="n">
        <f aca="false">SQRT(L_Rp0^2+L_Rp1^2*C238)</f>
        <v>90250983.4572791</v>
      </c>
      <c r="E238" s="5" t="str">
        <f aca="false">COMPLEX(D238,C238*L_Mp)</f>
        <v>90250983.4572791+181413793.92993i</v>
      </c>
      <c r="F238" s="5" t="str">
        <f aca="false">IMDIV(1,E238)</f>
        <v>2.19823006636686e-09-4.41866937061383e-09i</v>
      </c>
      <c r="G238" s="5" t="str">
        <f aca="false">COMPLEX(0,C238*L_Cf)</f>
        <v>1.29854341722292e-11i</v>
      </c>
      <c r="H238" s="5" t="str">
        <f aca="false">COMPLEX(0,C238*L_Cbv)</f>
        <v>1.29854341722292e-10i</v>
      </c>
      <c r="I238" s="5" t="str">
        <f aca="false">COMPLEX(L_Rsq+L_Rh,C238*(L_Md+L_Mh)-1/(C238*L_Cd))</f>
        <v>552400610.124532-93760550958.749i</v>
      </c>
      <c r="J238" s="5" t="str">
        <f aca="false">IMDIV(1,I238)</f>
        <v>6.28345882639556e-14+1.06650961402205e-11i</v>
      </c>
      <c r="K238" s="5" t="str">
        <f aca="false">IMSUM(F238,G238,H238)</f>
        <v>2.19823006636686e-09-4.27582959471931e-09i</v>
      </c>
      <c r="L238" s="5" t="str">
        <f aca="false">IMSUM(IMPRODUCT(IMSUM(F238,G238),H238),IMPRODUCT(IMSUM(J238,L_Yv),K238))</f>
        <v>6.22233906123845e-19+3.00073724036835e-19i</v>
      </c>
      <c r="M238" s="37" t="n">
        <f aca="false">IMABS(IMDIV(IMPRODUCT(J238,F238,H238),L238))^2</f>
        <v>9.78950650000208E-023</v>
      </c>
      <c r="N238" s="5" t="str">
        <f aca="false">IMDIV(IMPRODUCT(L_Yv,K238,E238),H238)</f>
        <v>0.000198552163606-0.0150027620395484i</v>
      </c>
      <c r="O238" s="37" t="n">
        <f aca="false">IMABS(IMSUM(1,IMPRODUCT(E238,G238),N238))^2</f>
        <v>0.995881575426422</v>
      </c>
      <c r="P238" s="37" t="n">
        <f aca="false">IMABS(N238)^2</f>
        <v>0.000225122291776987</v>
      </c>
      <c r="Q238" s="37" t="n">
        <f aca="false">p_Rb^2/(1+(C238*p_Rb*L_Ctot)^2)</f>
        <v>1093082008957170</v>
      </c>
      <c r="R238" s="37" t="n">
        <f aca="false">M238*L_Kt^2*Q238</f>
        <v>2.14758800922719E-005</v>
      </c>
      <c r="S238" s="37" t="n">
        <f aca="false">L_kT4*D238</f>
        <v>1.48603839588732E-012</v>
      </c>
      <c r="T238" s="37" t="n">
        <f aca="false">L_kT4*L_Rsq*O238</f>
        <v>5.14421769701316E-012</v>
      </c>
      <c r="U238" s="37" t="n">
        <f aca="false">L_kT4*L_Rh*O238</f>
        <v>3.91394120387963E-012</v>
      </c>
      <c r="V238" s="37" t="n">
        <f aca="false">L_kT4*p_Rv*P238</f>
        <v>1.85338905203791E-012</v>
      </c>
      <c r="W238" s="37" t="n">
        <f aca="false">L_kT4/p_Rb*Q238/R238</f>
        <v>8.38069167949111E-013</v>
      </c>
      <c r="X238" s="37" t="n">
        <f aca="false">p_en^2*(1+p_fc/B238)/R238</f>
        <v>3.13256254394469E-012</v>
      </c>
      <c r="Y238" s="37" t="n">
        <f aca="false">p_in^2*Q238/R238</f>
        <v>1.27245310117758E-013</v>
      </c>
      <c r="Z238" s="37" t="n">
        <f aca="false">p_eo^2/L_G^2/R238</f>
        <v>2.95195016111389E-012</v>
      </c>
      <c r="AA238" s="37" t="n">
        <f aca="false">SUM(S238:Z238)</f>
        <v>1.94474135319435E-011</v>
      </c>
      <c r="AB238" s="47" t="n">
        <f aca="false">10*LOG10(AA238/L_PREF^2)</f>
        <v>-13.1319814214433</v>
      </c>
      <c r="AC238" s="47" t="n">
        <f aca="false">10*LOG10(S238/L_PREF^2)</f>
        <v>-24.3002996056655</v>
      </c>
      <c r="AD238" s="47" t="n">
        <f aca="false">10*LOG10(T238/L_PREF^2)</f>
        <v>-18.9074065221059</v>
      </c>
      <c r="AE238" s="47" t="n">
        <f aca="false">10*LOG10(U238/L_PREF^2)</f>
        <v>-20.0944569402806</v>
      </c>
      <c r="AF238" s="47" t="n">
        <f aca="false">10*LOG10(V238/L_PREF^2)</f>
        <v>-23.3409339801115</v>
      </c>
      <c r="AG238" s="47" t="n">
        <f aca="false">10*LOG10(W238/L_PREF^2)</f>
        <v>-26.787801278063</v>
      </c>
      <c r="AH238" s="47" t="n">
        <f aca="false">10*LOG10(X238/L_PREF^2)</f>
        <v>-21.0616024056237</v>
      </c>
      <c r="AI238" s="47" t="n">
        <f aca="false">10*LOG10(Y238/L_PREF^2)</f>
        <v>-34.9741820682222</v>
      </c>
      <c r="AJ238" s="47" t="n">
        <f aca="false">10*LOG10(Z238/L_PREF^2)</f>
        <v>-21.3195097047233</v>
      </c>
      <c r="AK238" s="47" t="n">
        <f aca="false">10*LOG10(R238/$R$6)</f>
        <v>0.0318006582973081</v>
      </c>
      <c r="AL238" s="37" t="n">
        <f aca="false">(12194^2*B238^4/((B238^2+20.6^2)*SQRT((B238^2+107.7^2)*(B238^2+737.9^2))*(B238^2+12194^2))*1.2589254)^2</f>
        <v>1.31426565154207</v>
      </c>
      <c r="AM238" s="37" t="n">
        <f aca="false">0.5*(B238-B237)*(S238*AL238+S237*AL237)</f>
        <v>8.65891853935825E-011</v>
      </c>
      <c r="AN238" s="37" t="n">
        <f aca="false">0.5*(B238-B237)*(T238*AL238+T237*AL237)</f>
        <v>3.00255069827835E-010</v>
      </c>
      <c r="AO238" s="37" t="n">
        <f aca="false">0.5*(B238-B237)*(U238*AL238+U237*AL237)</f>
        <v>2.28446920151775E-010</v>
      </c>
      <c r="AP238" s="37" t="n">
        <f aca="false">0.5*(B238-B237)*(V238*AL238+V237*AL237)</f>
        <v>1.10844619649399E-010</v>
      </c>
      <c r="AQ238" s="37" t="n">
        <f aca="false">0.5*(B238-B237)*(W238*AL238+W237*AL237)</f>
        <v>5.00717288313746E-011</v>
      </c>
      <c r="AR238" s="37" t="n">
        <f aca="false">0.5*(B238-B237)*(X238*AL238+X237*AL237)</f>
        <v>1.82961517860965E-010</v>
      </c>
      <c r="AS238" s="37" t="n">
        <f aca="false">0.5*(B238-B237)*(Y238*AL238+Y237*AL237)</f>
        <v>7.60246636786836E-012</v>
      </c>
      <c r="AT238" s="37" t="n">
        <f aca="false">0.5*(B238-B237)*(Z238*AL238+Z237*AL237)</f>
        <v>1.72315089609827E-010</v>
      </c>
      <c r="AU238" s="37" t="n">
        <f aca="false">0.5*(B238-B237)*(AA238*AL238+AA237*AL237)</f>
        <v>1.13908659769263E-009</v>
      </c>
      <c r="AV238" s="37" t="n">
        <f aca="false">0.5*(B238-B237)*(S238+S237)</f>
        <v>6.60077350285383E-011</v>
      </c>
      <c r="AW238" s="37" t="n">
        <f aca="false">0.5*(B238-B237)*(T238+T237)</f>
        <v>2.28887942808698E-010</v>
      </c>
      <c r="AX238" s="37" t="n">
        <f aca="false">0.5*(B238-B237)*(U238+U237)</f>
        <v>1.74147752524229E-010</v>
      </c>
      <c r="AY238" s="37" t="n">
        <f aca="false">0.5*(B238-B237)*(V238+V237)</f>
        <v>8.45019753461034E-011</v>
      </c>
      <c r="AZ238" s="37" t="n">
        <f aca="false">0.5*(B238-B237)*(W238+W237)</f>
        <v>3.81719221988869E-011</v>
      </c>
      <c r="BA238" s="37" t="n">
        <f aca="false">0.5*(B238-B237)*(X238+X237)</f>
        <v>1.39473874397985E-010</v>
      </c>
      <c r="BB238" s="37" t="n">
        <f aca="false">0.5*(B238-B237)*(Y238+Y237)</f>
        <v>5.79570071748925E-012</v>
      </c>
      <c r="BC238" s="37" t="n">
        <f aca="false">0.5*(B238-B237)*(Z238+Z237)</f>
        <v>1.31357827861484E-010</v>
      </c>
      <c r="BD238" s="37" t="n">
        <f aca="false">0.5*(B238-B237)*(AA238+AA237)</f>
        <v>8.68344730883414E-010</v>
      </c>
      <c r="BE238" s="37" t="n">
        <f aca="false">IF(B238&gt;2000,AK238,-999)</f>
        <v>-999</v>
      </c>
      <c r="BF238" s="37" t="n">
        <f aca="false">IF(AND(B238&lt;1000,AK238&gt;=-3),B238,1000000000)</f>
        <v>1000000000</v>
      </c>
    </row>
    <row r="239" customFormat="false" ht="15" hidden="false" customHeight="false" outlineLevel="0" collapsed="false">
      <c r="A239" s="5" t="n">
        <v>200</v>
      </c>
      <c r="B239" s="47" t="n">
        <f aca="false">20*10^(A239/100)</f>
        <v>2000</v>
      </c>
      <c r="C239" s="37" t="n">
        <f aca="false">2*PI()*B239</f>
        <v>12566.3706143592</v>
      </c>
      <c r="D239" s="37" t="n">
        <f aca="false">SQRT(L_Rp0^2+L_Rp1^2*C239)</f>
        <v>90543472.03494</v>
      </c>
      <c r="E239" s="5" t="str">
        <f aca="false">COMPLEX(D239,C239*L_Mp)</f>
        <v>90543472.03494+185639464.031562i</v>
      </c>
      <c r="F239" s="5" t="str">
        <f aca="false">IMDIV(1,E239)</f>
        <v>2.12243774344897e-09-4.35159152039343e-09i</v>
      </c>
      <c r="G239" s="5" t="str">
        <f aca="false">COMPLEX(0,C239*L_Cf)</f>
        <v>1.32879037901651e-11i</v>
      </c>
      <c r="H239" s="5" t="str">
        <f aca="false">COMPLEX(0,C239*L_Cbv)</f>
        <v>1.32879037901651e-10i</v>
      </c>
      <c r="I239" s="5" t="str">
        <f aca="false">COMPLEX(L_Rsq+L_Rh,C239*(L_Md+L_Mh)-1/(C239*L_Cd))</f>
        <v>552400610.124532-91624169154.6948i</v>
      </c>
      <c r="J239" s="5" t="str">
        <f aca="false">IMDIV(1,I239)</f>
        <v>6.57988441770183e-14+1.09137541099012e-11i</v>
      </c>
      <c r="K239" s="5" t="str">
        <f aca="false">IMSUM(F239,G239,H239)</f>
        <v>2.12243774344897e-09-4.20542457870161e-09i</v>
      </c>
      <c r="L239" s="5" t="str">
        <f aca="false">IMSUM(IMPRODUCT(IMSUM(F239,G239),H239),IMPRODUCT(IMSUM(J239,L_Yv),K239))</f>
        <v>6.26751109916433e-19+2.9650368776727e-19i</v>
      </c>
      <c r="M239" s="37" t="n">
        <f aca="false">IMABS(IMDIV(IMPRODUCT(J239,F239,H239),L239))^2</f>
        <v>1.02553951714013E-022</v>
      </c>
      <c r="N239" s="5" t="str">
        <f aca="false">IMDIV(IMPRODUCT(L_Yv,K239,E239),H239)</f>
        <v>0.000199195638476875-0.0146428761473312i</v>
      </c>
      <c r="O239" s="37" t="n">
        <f aca="false">IMABS(IMSUM(1,IMPRODUCT(E239,G239),N239))^2</f>
        <v>0.995650641144005</v>
      </c>
      <c r="P239" s="37" t="n">
        <f aca="false">IMABS(N239)^2</f>
        <v>0.000214453500768469</v>
      </c>
      <c r="Q239" s="37" t="n">
        <f aca="false">p_Rb^2/(1+(C239*p_Rb*L_Ctot)^2)</f>
        <v>1043885214518870</v>
      </c>
      <c r="R239" s="37" t="n">
        <f aca="false">M239*L_Kt^2*Q239</f>
        <v>2.1485356842409E-005</v>
      </c>
      <c r="S239" s="37" t="n">
        <f aca="false">L_kT4*D239</f>
        <v>1.49085440165382E-012</v>
      </c>
      <c r="T239" s="37" t="n">
        <f aca="false">L_kT4*L_Rsq*O239</f>
        <v>5.14302480796715E-012</v>
      </c>
      <c r="U239" s="37" t="n">
        <f aca="false">L_kT4*L_Rh*O239</f>
        <v>3.91303360278965E-012</v>
      </c>
      <c r="V239" s="37" t="n">
        <f aca="false">L_kT4*p_Rv*P239</f>
        <v>1.76555492287377E-012</v>
      </c>
      <c r="W239" s="37" t="n">
        <f aca="false">L_kT4/p_Rb*Q239/R239</f>
        <v>7.99996824107574E-013</v>
      </c>
      <c r="X239" s="37" t="n">
        <f aca="false">p_en^2*(1+p_fc/B239)/R239</f>
        <v>3.12771160809193E-012</v>
      </c>
      <c r="Y239" s="37" t="n">
        <f aca="false">p_in^2*Q239/R239</f>
        <v>1.21464728532969E-013</v>
      </c>
      <c r="Z239" s="37" t="n">
        <f aca="false">p_eo^2/L_G^2/R239</f>
        <v>2.95064811645625E-012</v>
      </c>
      <c r="AA239" s="37" t="n">
        <f aca="false">SUM(S239:Z239)</f>
        <v>1.93122890124731E-011</v>
      </c>
      <c r="AB239" s="47" t="n">
        <f aca="false">10*LOG10(AA239/L_PREF^2)</f>
        <v>-13.1622623921765</v>
      </c>
      <c r="AC239" s="47" t="n">
        <f aca="false">10*LOG10(S239/L_PREF^2)</f>
        <v>-24.2862475944163</v>
      </c>
      <c r="AD239" s="47" t="n">
        <f aca="false">10*LOG10(T239/L_PREF^2)</f>
        <v>-18.9084137213282</v>
      </c>
      <c r="AE239" s="47" t="n">
        <f aca="false">10*LOG10(U239/L_PREF^2)</f>
        <v>-20.0954641395029</v>
      </c>
      <c r="AF239" s="47" t="n">
        <f aca="false">10*LOG10(V239/L_PREF^2)</f>
        <v>-23.5517875918812</v>
      </c>
      <c r="AG239" s="47" t="n">
        <f aca="false">10*LOG10(W239/L_PREF^2)</f>
        <v>-26.9897172843014</v>
      </c>
      <c r="AH239" s="47" t="n">
        <f aca="false">10*LOG10(X239/L_PREF^2)</f>
        <v>-21.0683328939167</v>
      </c>
      <c r="AI239" s="47" t="n">
        <f aca="false">10*LOG10(Y239/L_PREF^2)</f>
        <v>-35.1760980744605</v>
      </c>
      <c r="AJ239" s="47" t="n">
        <f aca="false">10*LOG10(Z239/L_PREF^2)</f>
        <v>-21.3214257111753</v>
      </c>
      <c r="AK239" s="47" t="n">
        <f aca="false">10*LOG10(R239/$R$6)</f>
        <v>0.0337166647493277</v>
      </c>
      <c r="AL239" s="37" t="n">
        <f aca="false">(12194^2*B239^4/((B239^2+20.6^2)*SQRT((B239^2+107.7^2)*(B239^2+737.9^2))*(B239^2+12194^2))*1.2589254)^2</f>
        <v>1.31876499093379</v>
      </c>
      <c r="AM239" s="37" t="n">
        <f aca="false">0.5*(B239-B238)*(S239*AL239+S238*AL238)</f>
        <v>8.92104225342726E-011</v>
      </c>
      <c r="AN239" s="37" t="n">
        <f aca="false">0.5*(B239-B238)*(T239*AL239+T238*AL238)</f>
        <v>3.0828336594337E-010</v>
      </c>
      <c r="AO239" s="37" t="n">
        <f aca="false">0.5*(B239-B238)*(U239*AL239+U238*AL238)</f>
        <v>2.34555191771342E-010</v>
      </c>
      <c r="AP239" s="37" t="n">
        <f aca="false">0.5*(B239-B238)*(V239*AL239+V238*AL238)</f>
        <v>1.08446377107148E-010</v>
      </c>
      <c r="AQ239" s="37" t="n">
        <f aca="false">0.5*(B239-B238)*(W239*AL239+W238*AL238)</f>
        <v>4.9086870568448E-011</v>
      </c>
      <c r="AR239" s="37" t="n">
        <f aca="false">0.5*(B239-B238)*(X239*AL239+X238*AL238)</f>
        <v>1.87604813762695E-010</v>
      </c>
      <c r="AS239" s="37" t="n">
        <f aca="false">0.5*(B239-B238)*(Y239*AL239+Y238*AL238)</f>
        <v>7.45293384730708E-012</v>
      </c>
      <c r="AT239" s="37" t="n">
        <f aca="false">0.5*(B239-B238)*(Z239*AL239+Z238*AL238)</f>
        <v>1.76886326787303E-010</v>
      </c>
      <c r="AU239" s="37" t="n">
        <f aca="false">0.5*(B239-B238)*(AA239*AL239+AA238*AL238)</f>
        <v>1.16152630232189E-009</v>
      </c>
      <c r="AV239" s="37" t="n">
        <f aca="false">0.5*(B239-B238)*(S239+S238)</f>
        <v>6.77623529886675E-011</v>
      </c>
      <c r="AW239" s="37" t="n">
        <f aca="false">0.5*(B239-B238)*(T239+T238)</f>
        <v>2.34166228114859E-010</v>
      </c>
      <c r="AX239" s="37" t="n">
        <f aca="false">0.5*(B239-B238)*(U239+U238)</f>
        <v>1.78163698108649E-010</v>
      </c>
      <c r="AY239" s="37" t="n">
        <f aca="false">0.5*(B239-B238)*(V239+V238)</f>
        <v>8.23772220742146E-011</v>
      </c>
      <c r="AZ239" s="37" t="n">
        <f aca="false">0.5*(B239-B238)*(W239+W238)</f>
        <v>3.72869342369871E-011</v>
      </c>
      <c r="BA239" s="37" t="n">
        <f aca="false">0.5*(B239-B238)*(X239+X238)</f>
        <v>1.42501237278859E-010</v>
      </c>
      <c r="BB239" s="37" t="n">
        <f aca="false">0.5*(B239-B238)*(Y239+Y238)</f>
        <v>5.66133165587827E-012</v>
      </c>
      <c r="BC239" s="37" t="n">
        <f aca="false">0.5*(B239-B238)*(Z239+Z238)</f>
        <v>1.34359540378941E-010</v>
      </c>
      <c r="BD239" s="37" t="n">
        <f aca="false">0.5*(B239-B238)*(AA239+AA238)</f>
        <v>8.82278544837056E-010</v>
      </c>
      <c r="BE239" s="37" t="n">
        <f aca="false">IF(B239&gt;2000,AK239,-999)</f>
        <v>-999</v>
      </c>
      <c r="BF239" s="37" t="n">
        <f aca="false">IF(AND(B239&lt;1000,AK239&gt;=-3),B239,1000000000)</f>
        <v>1000000000</v>
      </c>
    </row>
    <row r="240" customFormat="false" ht="15" hidden="false" customHeight="false" outlineLevel="0" collapsed="false">
      <c r="A240" s="5" t="n">
        <v>201</v>
      </c>
      <c r="B240" s="47" t="n">
        <f aca="false">20*10^(A240/100)</f>
        <v>2046.58598456151</v>
      </c>
      <c r="C240" s="37" t="n">
        <f aca="false">2*PI()*B240</f>
        <v>12859.0789880765</v>
      </c>
      <c r="D240" s="37" t="n">
        <f aca="false">SQRT(L_Rp0^2+L_Rp1^2*C240)</f>
        <v>90841798.6502002</v>
      </c>
      <c r="E240" s="5" t="str">
        <f aca="false">COMPLEX(D240,C240*L_Mp)</f>
        <v>90841798.6502002+189963562.634253i</v>
      </c>
      <c r="F240" s="5" t="str">
        <f aca="false">IMDIV(1,E240)</f>
        <v>2.0488295526822e-09-4.28440395105493e-09i</v>
      </c>
      <c r="G240" s="5" t="str">
        <f aca="false">COMPLEX(0,C240*L_Cf)</f>
        <v>1.35974188305769e-11i</v>
      </c>
      <c r="H240" s="5" t="str">
        <f aca="false">COMPLEX(0,C240*L_Cbv)</f>
        <v>1.35974188305769e-10i</v>
      </c>
      <c r="I240" s="5" t="str">
        <f aca="false">COMPLEX(L_Rsq+L_Rh,C240*(L_Md+L_Mh)-1/(C240*L_Cd))</f>
        <v>552400610.124532-89536367697.9158i</v>
      </c>
      <c r="J240" s="5" t="str">
        <f aca="false">IMDIV(1,I240)</f>
        <v>6.89030862851051e-14+1.11682209542701e-11i</v>
      </c>
      <c r="K240" s="5" t="str">
        <f aca="false">IMSUM(F240,G240,H240)</f>
        <v>2.0488295526822e-09-4.13483234391858e-09i</v>
      </c>
      <c r="L240" s="5" t="str">
        <f aca="false">IMSUM(IMPRODUCT(IMSUM(F240,G240),H240),IMPRODUCT(IMSUM(J240,L_Yv),K240))</f>
        <v>6.31137002640744e-19+2.92915149147223e-19i</v>
      </c>
      <c r="M240" s="37" t="n">
        <f aca="false">IMABS(IMDIV(IMPRODUCT(J240,F240,H240),L240))^2</f>
        <v>1.07436713371967E-022</v>
      </c>
      <c r="N240" s="5" t="str">
        <f aca="false">IMDIV(IMPRODUCT(L_Yv,K240,E240),H240)</f>
        <v>0.000199851957030439-0.0142907541018684i</v>
      </c>
      <c r="O240" s="37" t="n">
        <f aca="false">IMABS(IMSUM(1,IMPRODUCT(E240,G240),N240))^2</f>
        <v>0.995409802256381</v>
      </c>
      <c r="P240" s="37" t="n">
        <f aca="false">IMABS(N240)^2</f>
        <v>0.000204265593604798</v>
      </c>
      <c r="Q240" s="37" t="n">
        <f aca="false">p_Rb^2/(1+(C240*p_Rb*L_Ctot)^2)</f>
        <v>996902640569753</v>
      </c>
      <c r="R240" s="37" t="n">
        <f aca="false">M240*L_Kt^2*Q240</f>
        <v>2.14952690619106E-005</v>
      </c>
      <c r="S240" s="37" t="n">
        <f aca="false">L_kT4*D240</f>
        <v>1.49576653432882E-012</v>
      </c>
      <c r="T240" s="37" t="n">
        <f aca="false">L_kT4*L_Rsq*O240</f>
        <v>5.14178075676828E-012</v>
      </c>
      <c r="U240" s="37" t="n">
        <f aca="false">L_kT4*L_Rh*O240</f>
        <v>3.91208707534199E-012</v>
      </c>
      <c r="V240" s="37" t="n">
        <f aca="false">L_kT4*p_Rv*P240</f>
        <v>1.68167981903006E-012</v>
      </c>
      <c r="W240" s="37" t="n">
        <f aca="false">L_kT4/p_Rb*Q240/R240</f>
        <v>7.63638732942648E-013</v>
      </c>
      <c r="X240" s="37" t="n">
        <f aca="false">p_en^2*(1+p_fc/B240)/R240</f>
        <v>3.12288061683338E-012</v>
      </c>
      <c r="Y240" s="37" t="n">
        <f aca="false">p_in^2*Q240/R240</f>
        <v>1.15944424526448E-013</v>
      </c>
      <c r="Z240" s="37" t="n">
        <f aca="false">p_eo^2/L_G^2/R240</f>
        <v>2.94928746952888E-012</v>
      </c>
      <c r="AA240" s="37" t="n">
        <f aca="false">SUM(S240:Z240)</f>
        <v>1.91830654293005E-011</v>
      </c>
      <c r="AB240" s="47" t="n">
        <f aca="false">10*LOG10(AA240/L_PREF^2)</f>
        <v>-13.1914198324544</v>
      </c>
      <c r="AC240" s="47" t="n">
        <f aca="false">10*LOG10(S240/L_PREF^2)</f>
        <v>-24.2719617905969</v>
      </c>
      <c r="AD240" s="47" t="n">
        <f aca="false">10*LOG10(T240/L_PREF^2)</f>
        <v>-18.9094643674879</v>
      </c>
      <c r="AE240" s="47" t="n">
        <f aca="false">10*LOG10(U240/L_PREF^2)</f>
        <v>-20.0965147856627</v>
      </c>
      <c r="AF240" s="47" t="n">
        <f aca="false">10*LOG10(V240/L_PREF^2)</f>
        <v>-23.7631667885834</v>
      </c>
      <c r="AG240" s="47" t="n">
        <f aca="false">10*LOG10(W240/L_PREF^2)</f>
        <v>-27.1917204295698</v>
      </c>
      <c r="AH240" s="47" t="n">
        <f aca="false">10*LOG10(X240/L_PREF^2)</f>
        <v>-21.0750460922441</v>
      </c>
      <c r="AI240" s="47" t="n">
        <f aca="false">10*LOG10(Y240/L_PREF^2)</f>
        <v>-35.378101219729</v>
      </c>
      <c r="AJ240" s="47" t="n">
        <f aca="false">10*LOG10(Z240/L_PREF^2)</f>
        <v>-21.3234288566478</v>
      </c>
      <c r="AK240" s="47" t="n">
        <f aca="false">10*LOG10(R240/$R$6)</f>
        <v>0.0357198102218187</v>
      </c>
      <c r="AL240" s="37" t="n">
        <f aca="false">(12194^2*B240^4/((B240^2+20.6^2)*SQRT((B240^2+107.7^2)*(B240^2+737.9^2))*(B240^2+12194^2))*1.2589254)^2</f>
        <v>1.32283194505542</v>
      </c>
      <c r="AM240" s="37" t="n">
        <f aca="false">0.5*(B240-B239)*(S240*AL240+S239*AL239)</f>
        <v>9.18846666578547E-011</v>
      </c>
      <c r="AN240" s="37" t="n">
        <f aca="false">0.5*(B240-B239)*(T240*AL240+T239*AL239)</f>
        <v>3.16415568728215E-010</v>
      </c>
      <c r="AO240" s="37" t="n">
        <f aca="false">0.5*(B240-B239)*(U240*AL240+U239*AL239)</f>
        <v>2.40742520036316E-010</v>
      </c>
      <c r="AP240" s="37" t="n">
        <f aca="false">0.5*(B240-B239)*(V240*AL240+V239*AL239)</f>
        <v>1.06051405454458E-010</v>
      </c>
      <c r="AQ240" s="37" t="n">
        <f aca="false">0.5*(B240-B239)*(W240*AL240+W239*AL239)</f>
        <v>4.81040707412027E-011</v>
      </c>
      <c r="AR240" s="37" t="n">
        <f aca="false">0.5*(B240-B239)*(X240*AL240+X239*AL239)</f>
        <v>1.92301419429064E-010</v>
      </c>
      <c r="AS240" s="37" t="n">
        <f aca="false">0.5*(B240-B239)*(Y240*AL240+Y239*AL239)</f>
        <v>7.30371386215056E-012</v>
      </c>
      <c r="AT240" s="37" t="n">
        <f aca="false">0.5*(B240-B239)*(Z240*AL240+Z239*AL239)</f>
        <v>1.81513510096933E-010</v>
      </c>
      <c r="AU240" s="37" t="n">
        <f aca="false">0.5*(B240-B239)*(AA240*AL240+AA239*AL239)</f>
        <v>1.18431687500619E-009</v>
      </c>
      <c r="AV240" s="37" t="n">
        <f aca="false">0.5*(B240-B239)*(S240+S239)</f>
        <v>6.95673384073806E-011</v>
      </c>
      <c r="AW240" s="37" t="n">
        <f aca="false">0.5*(B240-B239)*(T240+T239)</f>
        <v>2.39563896628433E-010</v>
      </c>
      <c r="AX240" s="37" t="n">
        <f aca="false">0.5*(B240-B239)*(U240+U239)</f>
        <v>1.82270475551685E-010</v>
      </c>
      <c r="AY240" s="37" t="n">
        <f aca="false">0.5*(B240-B239)*(V240+V239)</f>
        <v>8.02964122331112E-011</v>
      </c>
      <c r="AZ240" s="37" t="n">
        <f aca="false">0.5*(B240-B239)*(W240+W239)</f>
        <v>3.64217509602826E-011</v>
      </c>
      <c r="BA240" s="37" t="n">
        <f aca="false">0.5*(B240-B239)*(X240+X239)</f>
        <v>1.45594996445323E-010</v>
      </c>
      <c r="BB240" s="37" t="n">
        <f aca="false">0.5*(B240-B239)*(Y240+Y239)</f>
        <v>5.52996956959323E-012</v>
      </c>
      <c r="BC240" s="37" t="n">
        <f aca="false">0.5*(B240-B239)*(Z240+Z239)</f>
        <v>1.37427154061295E-010</v>
      </c>
      <c r="BD240" s="37" t="n">
        <f aca="false">0.5*(B240-B239)*(AA240+AA239)</f>
        <v>8.96671993857104E-010</v>
      </c>
      <c r="BE240" s="37" t="n">
        <f aca="false">IF(B240&gt;2000,AK240,-999)</f>
        <v>0.0357198102218187</v>
      </c>
      <c r="BF240" s="37" t="n">
        <f aca="false">IF(AND(B240&lt;1000,AK240&gt;=-3),B240,1000000000)</f>
        <v>1000000000</v>
      </c>
    </row>
    <row r="241" customFormat="false" ht="15" hidden="false" customHeight="false" outlineLevel="0" collapsed="false">
      <c r="A241" s="5" t="n">
        <v>202</v>
      </c>
      <c r="B241" s="47" t="n">
        <f aca="false">20*10^(A241/100)</f>
        <v>2094.2570961018</v>
      </c>
      <c r="C241" s="37" t="n">
        <f aca="false">2*PI()*B241</f>
        <v>13158.6054156834</v>
      </c>
      <c r="D241" s="37" t="n">
        <f aca="false">SQRT(L_Rp0^2+L_Rp1^2*C241)</f>
        <v>91146063.3681893</v>
      </c>
      <c r="E241" s="5" t="str">
        <f aca="false">COMPLEX(D241,C241*L_Mp)</f>
        <v>91146063.3681893+194388382.432317i</v>
      </c>
      <c r="F241" s="5" t="str">
        <f aca="false">IMDIV(1,E241)</f>
        <v>1.97737617306824e-09-4.21717561393982e-09i</v>
      </c>
      <c r="G241" s="5" t="str">
        <f aca="false">COMPLEX(0,C241*L_Cf)</f>
        <v>1.39141434024357e-11i</v>
      </c>
      <c r="H241" s="5" t="str">
        <f aca="false">COMPLEX(0,C241*L_Cbv)</f>
        <v>1.39141434024357e-10i</v>
      </c>
      <c r="I241" s="5" t="str">
        <f aca="false">COMPLEX(L_Rsq+L_Rh,C241*(L_Md+L_Mh)-1/(C241*L_Cd))</f>
        <v>552400610.124532-87496039608.444i</v>
      </c>
      <c r="J241" s="5" t="str">
        <f aca="false">IMDIV(1,I241)</f>
        <v>7.21539394742458e-14+1.14286331883679e-11i</v>
      </c>
      <c r="K241" s="5" t="str">
        <f aca="false">IMSUM(F241,G241,H241)</f>
        <v>1.97737617306824e-09-4.06412003651303e-09i</v>
      </c>
      <c r="L241" s="5" t="str">
        <f aca="false">IMSUM(IMPRODUCT(IMSUM(F241,G241),H241),IMPRODUCT(IMSUM(J241,L_Yv),K241))</f>
        <v>6.35392593547549e-19+2.89312180939569e-19i</v>
      </c>
      <c r="M241" s="37" t="n">
        <f aca="false">IMABS(IMDIV(IMPRODUCT(J241,F241,H241),L241))^2</f>
        <v>1.12554321327399E-022</v>
      </c>
      <c r="N241" s="5" t="str">
        <f aca="false">IMDIV(IMPRODUCT(L_Yv,K241,E241),H241)</f>
        <v>0.000200521339409996-0.0139462092033911i</v>
      </c>
      <c r="O241" s="37" t="n">
        <f aca="false">IMABS(IMSUM(1,IMPRODUCT(E241,G241),N241))^2</f>
        <v>0.995158549596819</v>
      </c>
      <c r="P241" s="37" t="n">
        <f aca="false">IMABS(N241)^2</f>
        <v>0.000194536959952309</v>
      </c>
      <c r="Q241" s="37" t="n">
        <f aca="false">p_Rb^2/(1+(C241*p_Rb*L_Ctot)^2)</f>
        <v>952034630772022</v>
      </c>
      <c r="R241" s="37" t="n">
        <f aca="false">M241*L_Kt^2*Q241</f>
        <v>2.15056386907538E-005</v>
      </c>
      <c r="S241" s="37" t="n">
        <f aca="false">L_kT4*D241</f>
        <v>1.50077644154673E-012</v>
      </c>
      <c r="T241" s="37" t="n">
        <f aca="false">L_kT4*L_Rsq*O241</f>
        <v>5.14048291332018E-012</v>
      </c>
      <c r="U241" s="37" t="n">
        <f aca="false">L_kT4*L_Rh*O241</f>
        <v>3.91109962044663E-012</v>
      </c>
      <c r="V241" s="37" t="n">
        <f aca="false">L_kT4*p_Rv*P241</f>
        <v>1.60158582673599E-012</v>
      </c>
      <c r="W241" s="37" t="n">
        <f aca="false">L_kT4/p_Rb*Q241/R241</f>
        <v>7.28917687951265E-013</v>
      </c>
      <c r="X241" s="37" t="n">
        <f aca="false">p_en^2*(1+p_fc/B241)/R241</f>
        <v>3.11806485915244E-012</v>
      </c>
      <c r="Y241" s="37" t="n">
        <f aca="false">p_in^2*Q241/R241</f>
        <v>1.1067267571799E-013</v>
      </c>
      <c r="Z241" s="37" t="n">
        <f aca="false">p_eo^2/L_G^2/R241</f>
        <v>2.94786537661405E-012</v>
      </c>
      <c r="AA241" s="37" t="n">
        <f aca="false">SUM(S241:Z241)</f>
        <v>1.90594654014853E-011</v>
      </c>
      <c r="AB241" s="47" t="n">
        <f aca="false">10*LOG10(AA241/L_PREF^2)</f>
        <v>-13.2194927637094</v>
      </c>
      <c r="AC241" s="47" t="n">
        <f aca="false">10*LOG10(S241/L_PREF^2)</f>
        <v>-24.2574398758146</v>
      </c>
      <c r="AD241" s="47" t="n">
        <f aca="false">10*LOG10(T241/L_PREF^2)</f>
        <v>-18.9105607141076</v>
      </c>
      <c r="AE241" s="47" t="n">
        <f aca="false">10*LOG10(U241/L_PREF^2)</f>
        <v>-20.0976111322824</v>
      </c>
      <c r="AF241" s="47" t="n">
        <f aca="false">10*LOG10(V241/L_PREF^2)</f>
        <v>-23.9750977447293</v>
      </c>
      <c r="AG241" s="47" t="n">
        <f aca="false">10*LOG10(W241/L_PREF^2)</f>
        <v>-27.3938150236097</v>
      </c>
      <c r="AH241" s="47" t="n">
        <f aca="false">10*LOG10(X241/L_PREF^2)</f>
        <v>-21.0817484658193</v>
      </c>
      <c r="AI241" s="47" t="n">
        <f aca="false">10*LOG10(Y241/L_PREF^2)</f>
        <v>-35.5801958137688</v>
      </c>
      <c r="AJ241" s="47" t="n">
        <f aca="false">10*LOG10(Z241/L_PREF^2)</f>
        <v>-21.3255234508825</v>
      </c>
      <c r="AK241" s="47" t="n">
        <f aca="false">10*LOG10(R241/$R$6)</f>
        <v>0.0378144044565285</v>
      </c>
      <c r="AL241" s="37" t="n">
        <f aca="false">(12194^2*B241^4/((B241^2+20.6^2)*SQRT((B241^2+107.7^2)*(B241^2+737.9^2))*(B241^2+12194^2))*1.2589254)^2</f>
        <v>1.32646669053949</v>
      </c>
      <c r="AM241" s="37" t="n">
        <f aca="false">0.5*(B241-B240)*(S241*AL241+S240*AL240)</f>
        <v>9.46123238656003E-011</v>
      </c>
      <c r="AN241" s="37" t="n">
        <f aca="false">0.5*(B241-B240)*(T241*AL241+T240*AL240)</f>
        <v>3.24649593995187E-010</v>
      </c>
      <c r="AO241" s="37" t="n">
        <f aca="false">0.5*(B241-B240)*(U241*AL241+U240*AL240)</f>
        <v>2.47007319207802E-010</v>
      </c>
      <c r="AP241" s="37" t="n">
        <f aca="false">0.5*(B241-B240)*(V241*AL241+V240*AL240)</f>
        <v>1.03661547997087E-010</v>
      </c>
      <c r="AQ241" s="37" t="n">
        <f aca="false">0.5*(B241-B240)*(W241*AL241+W240*AL240)</f>
        <v>4.71241032602156E-011</v>
      </c>
      <c r="AR241" s="37" t="n">
        <f aca="false">0.5*(B241-B240)*(X241*AL241+X240*AL240)</f>
        <v>1.97049860402671E-010</v>
      </c>
      <c r="AS241" s="37" t="n">
        <f aca="false">0.5*(B241-B240)*(Y241*AL241+Y240*AL240)</f>
        <v>7.15492391641293E-012</v>
      </c>
      <c r="AT241" s="37" t="n">
        <f aca="false">0.5*(B241-B240)*(Z241*AL241+Z240*AL240)</f>
        <v>1.86195183938356E-010</v>
      </c>
      <c r="AU241" s="37" t="n">
        <f aca="false">0.5*(B241-B240)*(AA241*AL241+AA240*AL240)</f>
        <v>1.20745485658333E-009</v>
      </c>
      <c r="AV241" s="37" t="n">
        <f aca="false">0.5*(B241-B240)*(S241+S240)</f>
        <v>7.1424267219121E-011</v>
      </c>
      <c r="AW241" s="37" t="n">
        <f aca="false">0.5*(B241-B240)*(T241+T240)</f>
        <v>2.4508346915174E-010</v>
      </c>
      <c r="AX241" s="37" t="n">
        <f aca="false">0.5*(B241-B240)*(U241+U240)</f>
        <v>1.86470002787734E-010</v>
      </c>
      <c r="AY241" s="37" t="n">
        <f aca="false">0.5*(B241-B240)*(V241+V240)</f>
        <v>7.82584614078612E-011</v>
      </c>
      <c r="AZ241" s="37" t="n">
        <f aca="false">0.5*(B241-B240)*(W241+W240)</f>
        <v>3.55759118103064E-011</v>
      </c>
      <c r="BA241" s="37" t="n">
        <f aca="false">0.5*(B241-B240)*(X241+X240)</f>
        <v>1.487564039513E-010</v>
      </c>
      <c r="BB241" s="37" t="n">
        <f aca="false">0.5*(B241-B240)*(Y241+Y240)</f>
        <v>5.40154453134508E-012</v>
      </c>
      <c r="BC241" s="37" t="n">
        <f aca="false">0.5*(B241-B240)*(Z241+Z240)</f>
        <v>1.40561915549315E-010</v>
      </c>
      <c r="BD241" s="37" t="n">
        <f aca="false">0.5*(B241-B240)*(AA241+AA240)</f>
        <v>9.11531976408723E-010</v>
      </c>
      <c r="BE241" s="37" t="n">
        <f aca="false">IF(B241&gt;2000,AK241,-999)</f>
        <v>0.0378144044565285</v>
      </c>
      <c r="BF241" s="37" t="n">
        <f aca="false">IF(AND(B241&lt;1000,AK241&gt;=-3),B241,1000000000)</f>
        <v>1000000000</v>
      </c>
    </row>
    <row r="242" customFormat="false" ht="15" hidden="false" customHeight="false" outlineLevel="0" collapsed="false">
      <c r="A242" s="5" t="n">
        <v>203</v>
      </c>
      <c r="B242" s="47" t="n">
        <f aca="false">20*10^(A242/100)</f>
        <v>2143.03861047521</v>
      </c>
      <c r="C242" s="37" t="n">
        <f aca="false">2*PI()*B242</f>
        <v>13465.1087100564</v>
      </c>
      <c r="D242" s="37" t="n">
        <f aca="false">SQRT(L_Rp0^2+L_Rp1^2*C242)</f>
        <v>91456367.4322903</v>
      </c>
      <c r="E242" s="5" t="str">
        <f aca="false">COMPLEX(D242,C242*L_Mp)</f>
        <v>91456367.4322903+198916269.523781i</v>
      </c>
      <c r="F242" s="5" t="str">
        <f aca="false">IMDIV(1,E242)</f>
        <v>1.90804606382793e-09-4.14997244863436e-09i</v>
      </c>
      <c r="G242" s="5" t="str">
        <f aca="false">COMPLEX(0,C242*L_Cf)</f>
        <v>1.42382454373019e-11i</v>
      </c>
      <c r="H242" s="5" t="str">
        <f aca="false">COMPLEX(0,C242*L_Cbv)</f>
        <v>1.42382454373019e-10i</v>
      </c>
      <c r="I242" s="5" t="str">
        <f aca="false">COMPLEX(L_Rsq+L_Rh,C242*(L_Md+L_Mh)-1/(C242*L_Cd))</f>
        <v>552400610.124532-85502103077.3198i</v>
      </c>
      <c r="J242" s="5" t="str">
        <f aca="false">IMDIV(1,I242)</f>
        <v>7.55583435135133e-14+1.16951305936964e-11i</v>
      </c>
      <c r="K242" s="5" t="str">
        <f aca="false">IMSUM(F242,G242,H242)</f>
        <v>1.90804606382793e-09-3.99335174882404e-09i</v>
      </c>
      <c r="L242" s="5" t="str">
        <f aca="false">IMSUM(IMPRODUCT(IMSUM(F242,G242),H242),IMPRODUCT(IMSUM(J242,L_Yv),K242))</f>
        <v>6.39519017622289e-19+2.85698694978999e-19i</v>
      </c>
      <c r="M242" s="37" t="n">
        <f aca="false">IMABS(IMDIV(IMPRODUCT(J242,F242,H242),L242))^2</f>
        <v>1.17918305264287E-022</v>
      </c>
      <c r="N242" s="5" t="str">
        <f aca="false">IMDIV(IMPRODUCT(L_Yv,K242,E242),H242)</f>
        <v>0.000201204008351044-0.0136090587696334i</v>
      </c>
      <c r="O242" s="37" t="n">
        <f aca="false">IMABS(IMSUM(1,IMPRODUCT(E242,G242),N242))^2</f>
        <v>0.994896352230132</v>
      </c>
      <c r="P242" s="37" t="n">
        <f aca="false">IMABS(N242)^2</f>
        <v>0.000185246963648312</v>
      </c>
      <c r="Q242" s="37" t="n">
        <f aca="false">p_Rb^2/(1+(C242*p_Rb*L_Ctot)^2)</f>
        <v>909186014061894</v>
      </c>
      <c r="R242" s="37" t="n">
        <f aca="false">M242*L_Kt^2*Q242</f>
        <v>2.15164887260636E-005</v>
      </c>
      <c r="S242" s="37" t="n">
        <f aca="false">L_kT4*D242</f>
        <v>1.5058857903426E-012</v>
      </c>
      <c r="T242" s="37" t="n">
        <f aca="false">L_kT4*L_Rsq*O242</f>
        <v>5.13912853508174E-012</v>
      </c>
      <c r="U242" s="37" t="n">
        <f aca="false">L_kT4*L_Rh*O242</f>
        <v>3.91006915146082E-012</v>
      </c>
      <c r="V242" s="37" t="n">
        <f aca="false">L_kT4*p_Rv*P242</f>
        <v>1.52510305238525E-012</v>
      </c>
      <c r="W242" s="37" t="n">
        <f aca="false">L_kT4/p_Rb*Q242/R242</f>
        <v>6.95759962687823E-013</v>
      </c>
      <c r="X242" s="37" t="n">
        <f aca="false">p_en^2*(1+p_fc/B242)/R242</f>
        <v>3.11325953855137E-012</v>
      </c>
      <c r="Y242" s="37" t="n">
        <f aca="false">p_in^2*Q242/R242</f>
        <v>1.0563828810978E-013</v>
      </c>
      <c r="Z242" s="37" t="n">
        <f aca="false">p_eo^2/L_G^2/R242</f>
        <v>2.94637886811203E-012</v>
      </c>
      <c r="AA242" s="37" t="n">
        <f aca="false">SUM(S242:Z242)</f>
        <v>1.89412231867314E-011</v>
      </c>
      <c r="AB242" s="47" t="n">
        <f aca="false">10*LOG10(AA242/L_PREF^2)</f>
        <v>-13.246519698764</v>
      </c>
      <c r="AC242" s="47" t="n">
        <f aca="false">10*LOG10(S242/L_PREF^2)</f>
        <v>-24.2426795605349</v>
      </c>
      <c r="AD242" s="47" t="n">
        <f aca="false">10*LOG10(T242/L_PREF^2)</f>
        <v>-18.911705113391</v>
      </c>
      <c r="AE242" s="47" t="n">
        <f aca="false">10*LOG10(U242/L_PREF^2)</f>
        <v>-20.0987555315658</v>
      </c>
      <c r="AF242" s="47" t="n">
        <f aca="false">10*LOG10(V242/L_PREF^2)</f>
        <v>-24.1876080104177</v>
      </c>
      <c r="AG242" s="47" t="n">
        <f aca="false">10*LOG10(W242/L_PREF^2)</f>
        <v>-27.5960055755168</v>
      </c>
      <c r="AH242" s="47" t="n">
        <f aca="false">10*LOG10(X242/L_PREF^2)</f>
        <v>-21.0884466394379</v>
      </c>
      <c r="AI242" s="47" t="n">
        <f aca="false">10*LOG10(Y242/L_PREF^2)</f>
        <v>-35.782386365676</v>
      </c>
      <c r="AJ242" s="47" t="n">
        <f aca="false">10*LOG10(Z242/L_PREF^2)</f>
        <v>-21.3277140029758</v>
      </c>
      <c r="AK242" s="47" t="n">
        <f aca="false">10*LOG10(R242/$R$6)</f>
        <v>0.0400049565497552</v>
      </c>
      <c r="AL242" s="37" t="n">
        <f aca="false">(12194^2*B242^4/((B242^2+20.6^2)*SQRT((B242^2+107.7^2)*(B242^2+737.9^2))*(B242^2+12194^2))*1.2589254)^2</f>
        <v>1.32966935500315</v>
      </c>
      <c r="AM242" s="37" t="n">
        <f aca="false">0.5*(B242-B241)*(S242*AL242+S241*AL241)</f>
        <v>9.7393760482547E-011</v>
      </c>
      <c r="AN242" s="37" t="n">
        <f aca="false">0.5*(B242-B241)*(T242*AL242+T241*AL241)</f>
        <v>3.32983131326836E-010</v>
      </c>
      <c r="AO242" s="37" t="n">
        <f aca="false">0.5*(B242-B241)*(U242*AL242+U241*AL241)</f>
        <v>2.53347831421223E-010</v>
      </c>
      <c r="AP242" s="37" t="n">
        <f aca="false">0.5*(B242-B241)*(V242*AL242+V241*AL241)</f>
        <v>1.01278547014636E-010</v>
      </c>
      <c r="AQ242" s="37" t="n">
        <f aca="false">0.5*(B242-B241)*(W242*AL242+W241*AL241)</f>
        <v>4.61476963623135E-011</v>
      </c>
      <c r="AR242" s="37" t="n">
        <f aca="false">0.5*(B242-B241)*(X242*AL242+X241*AL241)</f>
        <v>2.01848515479323E-010</v>
      </c>
      <c r="AS242" s="37" t="n">
        <f aca="false">0.5*(B242-B241)*(Y242*AL242+Y241*AL241)</f>
        <v>7.00667457939375E-012</v>
      </c>
      <c r="AT242" s="37" t="n">
        <f aca="false">0.5*(B242-B241)*(Z242*AL242+Z241*AL241)</f>
        <v>1.90929747708316E-010</v>
      </c>
      <c r="AU242" s="37" t="n">
        <f aca="false">0.5*(B242-B241)*(AA242*AL242+AA241*AL241)</f>
        <v>1.23093590437459E-009</v>
      </c>
      <c r="AV242" s="37" t="n">
        <f aca="false">0.5*(B242-B241)*(S242+S241)</f>
        <v>7.33347684404535E-011</v>
      </c>
      <c r="AW242" s="37" t="n">
        <f aca="false">0.5*(B242-B241)*(T242+T241)</f>
        <v>2.50727506811659E-010</v>
      </c>
      <c r="AX242" s="37" t="n">
        <f aca="false">0.5*(B242-B241)*(U242+U241)</f>
        <v>1.90764228431845E-010</v>
      </c>
      <c r="AY242" s="37" t="n">
        <f aca="false">0.5*(B242-B241)*(V242+V241)</f>
        <v>7.62623092490215E-011</v>
      </c>
      <c r="AZ242" s="37" t="n">
        <f aca="false">0.5*(B242-B241)*(W242+W241)</f>
        <v>3.47489666460654E-011</v>
      </c>
      <c r="BA242" s="37" t="n">
        <f aca="false">0.5*(B242-B241)*(X242+X241)</f>
        <v>1.51986720335993E-010</v>
      </c>
      <c r="BB242" s="37" t="n">
        <f aca="false">0.5*(B242-B241)*(Y242+Y241)</f>
        <v>5.27598819554557E-012</v>
      </c>
      <c r="BC242" s="37" t="n">
        <f aca="false">0.5*(B242-B241)*(Z242+Z241)</f>
        <v>1.43765080172256E-010</v>
      </c>
      <c r="BD242" s="37" t="n">
        <f aca="false">0.5*(B242-B241)*(AA242+AA241)</f>
        <v>9.26865568282839E-010</v>
      </c>
      <c r="BE242" s="37" t="n">
        <f aca="false">IF(B242&gt;2000,AK242,-999)</f>
        <v>0.0400049565497552</v>
      </c>
      <c r="BF242" s="37" t="n">
        <f aca="false">IF(AND(B242&lt;1000,AK242&gt;=-3),B242,1000000000)</f>
        <v>1000000000</v>
      </c>
    </row>
    <row r="243" customFormat="false" ht="15" hidden="false" customHeight="false" outlineLevel="0" collapsed="false">
      <c r="A243" s="5" t="n">
        <v>204</v>
      </c>
      <c r="B243" s="47" t="n">
        <f aca="false">20*10^(A243/100)</f>
        <v>2192.95639228637</v>
      </c>
      <c r="C243" s="37" t="n">
        <f aca="false">2*PI()*B243</f>
        <v>13778.7513832993</v>
      </c>
      <c r="D243" s="37" t="n">
        <f aca="false">SQRT(L_Rp0^2+L_Rp1^2*C243)</f>
        <v>91772813.2633451</v>
      </c>
      <c r="E243" s="5" t="str">
        <f aca="false">COMPLEX(D243,C243*L_Mp)</f>
        <v>91772813.2633451+203549624.654315i</v>
      </c>
      <c r="F243" s="5" t="str">
        <f aca="false">IMDIV(1,E243)</f>
        <v>1.84080568520153e-09-4.08285736222446e-09i</v>
      </c>
      <c r="G243" s="5" t="str">
        <f aca="false">COMPLEX(0,C243*L_Cf)</f>
        <v>1.45698967783645e-11i</v>
      </c>
      <c r="H243" s="5" t="str">
        <f aca="false">COMPLEX(0,C243*L_Cbv)</f>
        <v>1.45698967783645e-10i</v>
      </c>
      <c r="I243" s="5" t="str">
        <f aca="false">COMPLEX(L_Rsq+L_Rh,C243*(L_Md+L_Mh)-1/(C243*L_Cd))</f>
        <v>552400610.124532-83553500893.0012i</v>
      </c>
      <c r="J243" s="5" t="str">
        <f aca="false">IMDIV(1,I243)</f>
        <v>7.9123568152521e-14+1.19678563005184e-11i</v>
      </c>
      <c r="K243" s="5" t="str">
        <f aca="false">IMSUM(F243,G243,H243)</f>
        <v>1.84080568520153e-09-3.92258849766245e-09i</v>
      </c>
      <c r="L243" s="5" t="str">
        <f aca="false">IMSUM(IMPRODUCT(IMSUM(F243,G243),H243),IMPRODUCT(IMSUM(J243,L_Yv),K243))</f>
        <v>6.4351752231322e-19+2.82078439948143e-19i</v>
      </c>
      <c r="M243" s="37" t="n">
        <f aca="false">IMABS(IMDIV(IMPRODUCT(J243,F243,H243),L243))^2</f>
        <v>1.23540783596065E-022</v>
      </c>
      <c r="N243" s="5" t="str">
        <f aca="false">IMDIV(IMPRODUCT(L_Yv,K243,E243),H243)</f>
        <v>0.000201900189179379-0.0132791240389724i</v>
      </c>
      <c r="O243" s="37" t="n">
        <f aca="false">IMABS(IMSUM(1,IMPRODUCT(E243,G243),N243))^2</f>
        <v>0.994622656360831</v>
      </c>
      <c r="P243" s="37" t="n">
        <f aca="false">IMABS(N243)^2</f>
        <v>0.000176375898928806</v>
      </c>
      <c r="Q243" s="37" t="n">
        <f aca="false">p_Rb^2/(1+(C243*p_Rb*L_Ctot)^2)</f>
        <v>868265902779019</v>
      </c>
      <c r="R243" s="37" t="n">
        <f aca="false">M243*L_Kt^2*Q243</f>
        <v>2.15278432794019E-005</v>
      </c>
      <c r="S243" s="37" t="n">
        <f aca="false">L_kT4*D243</f>
        <v>1.51109626713911E-012</v>
      </c>
      <c r="T243" s="37" t="n">
        <f aca="false">L_kT4*L_Rsq*O243</f>
        <v>5.13771476142712E-012</v>
      </c>
      <c r="U243" s="37" t="n">
        <f aca="false">L_kT4*L_Rh*O243</f>
        <v>3.90899349189785E-012</v>
      </c>
      <c r="V243" s="37" t="n">
        <f aca="false">L_kT4*p_Rv*P243</f>
        <v>1.45206926216717E-012</v>
      </c>
      <c r="W243" s="37" t="n">
        <f aca="false">L_kT4/p_Rb*Q243/R243</f>
        <v>6.64095153703597E-013</v>
      </c>
      <c r="X243" s="37" t="n">
        <f aca="false">p_en^2*(1+p_fc/B243)/R243</f>
        <v>3.108459766147E-012</v>
      </c>
      <c r="Y243" s="37" t="n">
        <f aca="false">p_in^2*Q243/R243</f>
        <v>1.00830572239648E-013</v>
      </c>
      <c r="Z243" s="37" t="n">
        <f aca="false">p_eo^2/L_G^2/R243</f>
        <v>2.94482484267722E-012</v>
      </c>
      <c r="AA243" s="37" t="n">
        <f aca="false">SUM(S243:Z243)</f>
        <v>1.88280841173987E-011</v>
      </c>
      <c r="AB243" s="47" t="n">
        <f aca="false">10*LOG10(AA243/L_PREF^2)</f>
        <v>-13.2725386141082</v>
      </c>
      <c r="AC243" s="47" t="n">
        <f aca="false">10*LOG10(S243/L_PREF^2)</f>
        <v>-24.2276785858686</v>
      </c>
      <c r="AD243" s="47" t="n">
        <f aca="false">10*LOG10(T243/L_PREF^2)</f>
        <v>-18.9129000213662</v>
      </c>
      <c r="AE243" s="47" t="n">
        <f aca="false">10*LOG10(U243/L_PREF^2)</f>
        <v>-20.0999504395409</v>
      </c>
      <c r="AF243" s="47" t="n">
        <f aca="false">10*LOG10(V243/L_PREF^2)</f>
        <v>-24.4007265908262</v>
      </c>
      <c r="AG243" s="47" t="n">
        <f aca="false">10*LOG10(W243/L_PREF^2)</f>
        <v>-27.7982968038209</v>
      </c>
      <c r="AH243" s="47" t="n">
        <f aca="false">10*LOG10(X243/L_PREF^2)</f>
        <v>-21.0951474080874</v>
      </c>
      <c r="AI243" s="47" t="n">
        <f aca="false">10*LOG10(Y243/L_PREF^2)</f>
        <v>-35.9846775939801</v>
      </c>
      <c r="AJ243" s="47" t="n">
        <f aca="false">10*LOG10(Z243/L_PREF^2)</f>
        <v>-21.3300052314576</v>
      </c>
      <c r="AK243" s="47" t="n">
        <f aca="false">10*LOG10(R243/$R$6)</f>
        <v>0.0422961850316197</v>
      </c>
      <c r="AL243" s="37" t="n">
        <f aca="false">(12194^2*B243^4/((B243^2+20.6^2)*SQRT((B243^2+107.7^2)*(B243^2+737.9^2))*(B243^2+12194^2))*1.2589254)^2</f>
        <v>1.3324399906253</v>
      </c>
      <c r="AM243" s="37" t="n">
        <f aca="false">0.5*(B243-B242)*(S243*AL243+S242*AL242)</f>
        <v>1.00229297204044E-010</v>
      </c>
      <c r="AN243" s="37" t="n">
        <f aca="false">0.5*(B243-B242)*(T243*AL243+T242*AL242)</f>
        <v>3.41413625448373E-010</v>
      </c>
      <c r="AO243" s="37" t="n">
        <f aca="false">0.5*(B243-B242)*(U243*AL243+U242*AL242)</f>
        <v>2.59762112514053E-010</v>
      </c>
      <c r="AP243" s="37" t="n">
        <f aca="false">0.5*(B243-B242)*(V243*AL243+V242*AL242)</f>
        <v>9.89040465493495E-011</v>
      </c>
      <c r="AQ243" s="37" t="n">
        <f aca="false">0.5*(B243-B242)*(W243*AL243+W242*AL242)</f>
        <v>4.51755336660477E-011</v>
      </c>
      <c r="AR243" s="37" t="n">
        <f aca="false">0.5*(B243-B242)*(X243*AL243+X242*AL242)</f>
        <v>2.06695605028992E-010</v>
      </c>
      <c r="AS243" s="37" t="n">
        <f aca="false">0.5*(B243-B242)*(Y243*AL243+Y242*AL242)</f>
        <v>6.85906964593225E-012</v>
      </c>
      <c r="AT243" s="37" t="n">
        <f aca="false">0.5*(B243-B242)*(Z243*AL243+Z242*AL242)</f>
        <v>1.95715444412894E-010</v>
      </c>
      <c r="AU243" s="37" t="n">
        <f aca="false">0.5*(B243-B242)*(AA243*AL243+AA242*AL242)</f>
        <v>1.25475473446969E-009</v>
      </c>
      <c r="AV243" s="37" t="n">
        <f aca="false">0.5*(B243-B242)*(S243+S242)</f>
        <v>7.53005260367752E-011</v>
      </c>
      <c r="AW243" s="37" t="n">
        <f aca="false">0.5*(B243-B242)*(T243+T242)</f>
        <v>2.56498610691296E-010</v>
      </c>
      <c r="AX243" s="37" t="n">
        <f aca="false">0.5*(B243-B242)*(U243+U242)</f>
        <v>1.95155131499477E-010</v>
      </c>
      <c r="AY243" s="37" t="n">
        <f aca="false">0.5*(B243-B242)*(V243+V242)</f>
        <v>7.4306919006024E-011</v>
      </c>
      <c r="AZ243" s="37" t="n">
        <f aca="false">0.5*(B243-B242)*(W243+W242)</f>
        <v>3.39404754974069E-011</v>
      </c>
      <c r="BA243" s="37" t="n">
        <f aca="false">0.5*(B243-B242)*(X243+X242)</f>
        <v>1.55287213371101E-010</v>
      </c>
      <c r="BB243" s="37" t="n">
        <f aca="false">0.5*(B243-B242)*(Y243+Y242)</f>
        <v>5.15323376086058E-012</v>
      </c>
      <c r="BC243" s="37" t="n">
        <f aca="false">0.5*(B243-B242)*(Z243+Z242)</f>
        <v>1.47037910720131E-010</v>
      </c>
      <c r="BD243" s="37" t="n">
        <f aca="false">0.5*(B243-B242)*(AA243+AA242)</f>
        <v>9.42680020583071E-010</v>
      </c>
      <c r="BE243" s="37" t="n">
        <f aca="false">IF(B243&gt;2000,AK243,-999)</f>
        <v>0.0422961850316197</v>
      </c>
      <c r="BF243" s="37" t="n">
        <f aca="false">IF(AND(B243&lt;1000,AK243&gt;=-3),B243,1000000000)</f>
        <v>1000000000</v>
      </c>
    </row>
    <row r="244" customFormat="false" ht="15" hidden="false" customHeight="false" outlineLevel="0" collapsed="false">
      <c r="A244" s="5" t="n">
        <v>205</v>
      </c>
      <c r="B244" s="47" t="n">
        <f aca="false">20*10^(A244/100)</f>
        <v>2244.03690860393</v>
      </c>
      <c r="C244" s="37" t="n">
        <f aca="false">2*PI()*B244</f>
        <v>14099.6997329089</v>
      </c>
      <c r="D244" s="37" t="n">
        <f aca="false">SQRT(L_Rp0^2+L_Rp1^2*C244)</f>
        <v>92095504.4585595</v>
      </c>
      <c r="E244" s="5" t="str">
        <f aca="false">COMPLEX(D244,C244*L_Mp)</f>
        <v>92095504.4585595+208290904.490138i</v>
      </c>
      <c r="F244" s="5" t="str">
        <f aca="false">IMDIV(1,E244)</f>
        <v>1.77561971240571e-09-4.01589022289275e-09i</v>
      </c>
      <c r="G244" s="5" t="str">
        <f aca="false">COMPLEX(0,C244*L_Cf)</f>
        <v>1.49092732715543e-11i</v>
      </c>
      <c r="H244" s="5" t="str">
        <f aca="false">COMPLEX(0,C244*L_Cbv)</f>
        <v>1.49092732715543e-10i</v>
      </c>
      <c r="I244" s="5" t="str">
        <f aca="false">COMPLEX(L_Rsq+L_Rh,C244*(L_Md+L_Mh)-1/(C244*L_Cd))</f>
        <v>552400610.124532-81649199880.8174i</v>
      </c>
      <c r="J244" s="5" t="str">
        <f aca="false">IMDIV(1,I244)</f>
        <v>8.28572289553879e-14+1.22469568725204e-11i</v>
      </c>
      <c r="K244" s="5" t="str">
        <f aca="false">IMSUM(F244,G244,H244)</f>
        <v>1.77561971240571e-09-3.85188821690565e-09i</v>
      </c>
      <c r="L244" s="5" t="str">
        <f aca="false">IMSUM(IMPRODUCT(IMSUM(F244,G244),H244),IMPRODUCT(IMSUM(J244,L_Yv),K244))</f>
        <v>6.47389454545926e-19+2.78455000008274e-19i</v>
      </c>
      <c r="M244" s="37" t="n">
        <f aca="false">IMABS(IMDIV(IMPRODUCT(J244,F244,H244),L244))^2</f>
        <v>1.29434495707103E-022</v>
      </c>
      <c r="N244" s="5" t="str">
        <f aca="false">IMDIV(IMPRODUCT(L_Yv,K244,E244),H244)</f>
        <v>0.000202610109808825-0.0129562300756469i</v>
      </c>
      <c r="O244" s="37" t="n">
        <f aca="false">IMABS(IMSUM(1,IMPRODUCT(E244,G244),N244))^2</f>
        <v>0.994336884196155</v>
      </c>
      <c r="P244" s="37" t="n">
        <f aca="false">IMABS(N244)^2</f>
        <v>0.000167904948629694</v>
      </c>
      <c r="Q244" s="37" t="n">
        <f aca="false">p_Rb^2/(1+(C244*p_Rb*L_Ctot)^2)</f>
        <v>829187499881576</v>
      </c>
      <c r="R244" s="37" t="n">
        <f aca="false">M244*L_Kt^2*Q244</f>
        <v>2.15397276372651E-005</v>
      </c>
      <c r="S244" s="37" t="n">
        <f aca="false">L_kT4*D244</f>
        <v>1.51640957772846E-012</v>
      </c>
      <c r="T244" s="37" t="n">
        <f aca="false">L_kT4*L_Rsq*O244</f>
        <v>5.1362386077728E-012</v>
      </c>
      <c r="U244" s="37" t="n">
        <f aca="false">L_kT4*L_Rh*O244</f>
        <v>3.90787037095873E-012</v>
      </c>
      <c r="V244" s="37" t="n">
        <f aca="false">L_kT4*p_Rv*P244</f>
        <v>1.38232953794527E-012</v>
      </c>
      <c r="W244" s="37" t="n">
        <f aca="false">L_kT4/p_Rb*Q244/R244</f>
        <v>6.33856030594393E-013</v>
      </c>
      <c r="X244" s="37" t="n">
        <f aca="false">p_en^2*(1+p_fc/B244)/R244</f>
        <v>3.10366055355174E-012</v>
      </c>
      <c r="Y244" s="37" t="n">
        <f aca="false">p_in^2*Q244/R244</f>
        <v>9.62393204135772E-014</v>
      </c>
      <c r="Z244" s="37" t="n">
        <f aca="false">p_eo^2/L_G^2/R244</f>
        <v>2.94320006111711E-012</v>
      </c>
      <c r="AA244" s="37" t="n">
        <f aca="false">SUM(S244:Z244)</f>
        <v>1.87198040600821E-011</v>
      </c>
      <c r="AB244" s="47" t="n">
        <f aca="false">10*LOG10(AA244/L_PREF^2)</f>
        <v>-13.2975869265614</v>
      </c>
      <c r="AC244" s="47" t="n">
        <f aca="false">10*LOG10(S244/L_PREF^2)</f>
        <v>-24.2124347253645</v>
      </c>
      <c r="AD244" s="47" t="n">
        <f aca="false">10*LOG10(T244/L_PREF^2)</f>
        <v>-18.9141480032635</v>
      </c>
      <c r="AE244" s="47" t="n">
        <f aca="false">10*LOG10(U244/L_PREF^2)</f>
        <v>-20.1011984214382</v>
      </c>
      <c r="AF244" s="47" t="n">
        <f aca="false">10*LOG10(V244/L_PREF^2)</f>
        <v>-24.6144840310103</v>
      </c>
      <c r="AG244" s="47" t="n">
        <f aca="false">10*LOG10(W244/L_PREF^2)</f>
        <v>-28.000693647059</v>
      </c>
      <c r="AH244" s="47" t="n">
        <f aca="false">10*LOG10(X244/L_PREF^2)</f>
        <v>-21.1018577480519</v>
      </c>
      <c r="AI244" s="47" t="n">
        <f aca="false">10*LOG10(Y244/L_PREF^2)</f>
        <v>-36.1870744372181</v>
      </c>
      <c r="AJ244" s="47" t="n">
        <f aca="false">10*LOG10(Z244/L_PREF^2)</f>
        <v>-21.3324020748654</v>
      </c>
      <c r="AK244" s="47" t="n">
        <f aca="false">10*LOG10(R244/$R$6)</f>
        <v>0.0446930284393623</v>
      </c>
      <c r="AL244" s="37" t="n">
        <f aca="false">(12194^2*B244^4/((B244^2+20.6^2)*SQRT((B244^2+107.7^2)*(B244^2+737.9^2))*(B244^2+12194^2))*1.2589254)^2</f>
        <v>1.33477855012688</v>
      </c>
      <c r="AM244" s="37" t="n">
        <f aca="false">0.5*(B244-B243)*(S244*AL244+S243*AL243)</f>
        <v>1.0311920283944E-010</v>
      </c>
      <c r="AN244" s="37" t="n">
        <f aca="false">0.5*(B244-B243)*(T244*AL244+T243*AL243)</f>
        <v>3.49938256784415E-010</v>
      </c>
      <c r="AO244" s="37" t="n">
        <f aca="false">0.5*(B244-B243)*(U244*AL244+U243*AL243)</f>
        <v>2.66248017232546E-010</v>
      </c>
      <c r="AP244" s="37" t="n">
        <f aca="false">0.5*(B244-B243)*(V244*AL244+V243*AL243)</f>
        <v>9.65395955213192E-011</v>
      </c>
      <c r="AQ244" s="37" t="n">
        <f aca="false">0.5*(B244-B243)*(W244*AL244+W243*AL243)</f>
        <v>4.42082553622441E-011</v>
      </c>
      <c r="AR244" s="37" t="n">
        <f aca="false">0.5*(B244-B243)*(X244*AL244+X243*AL243)</f>
        <v>2.11589178854218E-010</v>
      </c>
      <c r="AS244" s="37" t="n">
        <f aca="false">0.5*(B244-B243)*(Y244*AL244+Y243*AL243)</f>
        <v>6.71220631717043E-012</v>
      </c>
      <c r="AT244" s="37" t="n">
        <f aca="false">0.5*(B244-B243)*(Z244*AL244+Z243*AL243)</f>
        <v>2.00550348803946E-010</v>
      </c>
      <c r="AU244" s="37" t="n">
        <f aca="false">0.5*(B244-B243)*(AA244*AL244+AA243*AL243)</f>
        <v>1.2789050617153E-009</v>
      </c>
      <c r="AV244" s="37" t="n">
        <f aca="false">0.5*(B244-B243)*(S244+S243)</f>
        <v>7.7323280855127E-011</v>
      </c>
      <c r="AW244" s="37" t="n">
        <f aca="false">0.5*(B244-B243)*(T244+T243)</f>
        <v>2.62399421360613E-010</v>
      </c>
      <c r="AX244" s="37" t="n">
        <f aca="false">0.5*(B244-B243)*(U244+U243)</f>
        <v>1.9964472104938E-010</v>
      </c>
      <c r="AY244" s="37" t="n">
        <f aca="false">0.5*(B244-B243)*(V244+V243)</f>
        <v>7.23912770798023E-011</v>
      </c>
      <c r="AZ244" s="37" t="n">
        <f aca="false">0.5*(B244-B243)*(W244+W243)</f>
        <v>3.31500083244623E-011</v>
      </c>
      <c r="BA244" s="37" t="n">
        <f aca="false">0.5*(B244-B243)*(X244+X243)</f>
        <v>1.58659156678496E-010</v>
      </c>
      <c r="BB244" s="37" t="n">
        <f aca="false">0.5*(B244-B243)*(Y244+Y243)</f>
        <v>5.03321593368603E-012</v>
      </c>
      <c r="BC244" s="37" t="n">
        <f aca="false">0.5*(B244-B243)*(Z244+Z243)</f>
        <v>1.50381676088221E-010</v>
      </c>
      <c r="BD244" s="37" t="n">
        <f aca="false">0.5*(B244-B243)*(AA244+AA243)</f>
        <v>9.58982757369788E-010</v>
      </c>
      <c r="BE244" s="37" t="n">
        <f aca="false">IF(B244&gt;2000,AK244,-999)</f>
        <v>0.0446930284393623</v>
      </c>
      <c r="BF244" s="37" t="n">
        <f aca="false">IF(AND(B244&lt;1000,AK244&gt;=-3),B244,1000000000)</f>
        <v>1000000000</v>
      </c>
    </row>
    <row r="245" customFormat="false" ht="15" hidden="false" customHeight="false" outlineLevel="0" collapsed="false">
      <c r="A245" s="5" t="n">
        <v>206</v>
      </c>
      <c r="B245" s="47" t="n">
        <f aca="false">20*10^(A245/100)</f>
        <v>2296.30724299377</v>
      </c>
      <c r="C245" s="37" t="n">
        <f aca="false">2*PI()*B245</f>
        <v>14428.1239299485</v>
      </c>
      <c r="D245" s="37" t="n">
        <f aca="false">SQRT(L_Rp0^2+L_Rp1^2*C245)</f>
        <v>92424545.7901169</v>
      </c>
      <c r="E245" s="5" t="str">
        <f aca="false">COMPLEX(D245,C245*L_Mp)</f>
        <v>92424545.7901169+213142622.920578i</v>
      </c>
      <c r="F245" s="5" t="str">
        <f aca="false">IMDIV(1,E245)</f>
        <v>1.71245124203595e-09-3.94912786674655e-09i</v>
      </c>
      <c r="G245" s="5" t="str">
        <f aca="false">COMPLEX(0,C245*L_Cf)</f>
        <v>1.52565548587803e-11i</v>
      </c>
      <c r="H245" s="5" t="str">
        <f aca="false">COMPLEX(0,C245*L_Cbv)</f>
        <v>1.52565548587803e-10i</v>
      </c>
      <c r="I245" s="5" t="str">
        <f aca="false">COMPLEX(L_Rsq+L_Rh,C245*(L_Md+L_Mh)-1/(C245*L_Cd))</f>
        <v>552400610.124532-79788190355.1653i</v>
      </c>
      <c r="J245" s="5" t="str">
        <f aca="false">IMDIV(1,I245)</f>
        <v>8.67673039083115e-14+1.25325823939263e-11i</v>
      </c>
      <c r="K245" s="5" t="str">
        <f aca="false">IMSUM(F245,G245,H245)</f>
        <v>1.71245124203595e-09-3.78130576329997e-09i</v>
      </c>
      <c r="L245" s="5" t="str">
        <f aca="false">IMSUM(IMPRODUCT(IMSUM(F245,G245),H245),IMPRODUCT(IMSUM(J245,L_Yv),K245))</f>
        <v>6.51136248068581e-19+2.74831794224541e-19i</v>
      </c>
      <c r="M245" s="37" t="n">
        <f aca="false">IMABS(IMDIV(IMPRODUCT(J245,F245,H245),L245))^2</f>
        <v>1.35612836165469E-022</v>
      </c>
      <c r="N245" s="5" t="str">
        <f aca="false">IMDIV(IMPRODUCT(L_Yv,K245,E245),H245)</f>
        <v>0.000203334000738262-0.0126402056770035i</v>
      </c>
      <c r="O245" s="37" t="n">
        <f aca="false">IMABS(IMSUM(1,IMPRODUCT(E245,G245),N245))^2</f>
        <v>0.994038432761903</v>
      </c>
      <c r="P245" s="37" t="n">
        <f aca="false">IMABS(N245)^2</f>
        <v>0.000159816144272808</v>
      </c>
      <c r="Q245" s="37" t="n">
        <f aca="false">p_Rb^2/(1+(C245*p_Rb*L_Ctot)^2)</f>
        <v>791867914838106</v>
      </c>
      <c r="R245" s="37" t="n">
        <f aca="false">M245*L_Kt^2*Q245</f>
        <v>2.15521683250104E-005</v>
      </c>
      <c r="S245" s="37" t="n">
        <f aca="false">L_kT4*D245</f>
        <v>1.52182744724963E-012</v>
      </c>
      <c r="T245" s="37" t="n">
        <f aca="false">L_kT4*L_Rsq*O245</f>
        <v>5.13469695946073E-012</v>
      </c>
      <c r="U245" s="37" t="n">
        <f aca="false">L_kT4*L_Rh*O245</f>
        <v>3.90669741887818E-012</v>
      </c>
      <c r="V245" s="37" t="n">
        <f aca="false">L_kT4*p_Rv*P245</f>
        <v>1.315735948653E-012</v>
      </c>
      <c r="W245" s="37" t="n">
        <f aca="false">L_kT4/p_Rb*Q245/R245</f>
        <v>6.0497839283286E-013</v>
      </c>
      <c r="X245" s="37" t="n">
        <f aca="false">p_en^2*(1+p_fc/B245)/R245</f>
        <v>3.09885680552874E-012</v>
      </c>
      <c r="Y245" s="37" t="n">
        <f aca="false">p_in^2*Q245/R245</f>
        <v>9.18547849683385E-014</v>
      </c>
      <c r="Z245" s="37" t="n">
        <f aca="false">p_eo^2/L_G^2/R245</f>
        <v>2.94150114004429E-012</v>
      </c>
      <c r="AA245" s="37" t="n">
        <f aca="false">SUM(S245:Z245)</f>
        <v>1.86161488976158E-011</v>
      </c>
      <c r="AB245" s="47" t="n">
        <f aca="false">10*LOG10(AA245/L_PREF^2)</f>
        <v>-13.3217014741616</v>
      </c>
      <c r="AC245" s="47" t="n">
        <f aca="false">10*LOG10(S245/L_PREF^2)</f>
        <v>-24.1969457868029</v>
      </c>
      <c r="AD245" s="47" t="n">
        <f aca="false">10*LOG10(T245/L_PREF^2)</f>
        <v>-18.9154517391416</v>
      </c>
      <c r="AE245" s="47" t="n">
        <f aca="false">10*LOG10(U245/L_PREF^2)</f>
        <v>-20.1025021573163</v>
      </c>
      <c r="AF245" s="47" t="n">
        <f aca="false">10*LOG10(V245/L_PREF^2)</f>
        <v>-24.8289125064362</v>
      </c>
      <c r="AG245" s="47" t="n">
        <f aca="false">10*LOG10(W245/L_PREF^2)</f>
        <v>-28.2032012748712</v>
      </c>
      <c r="AH245" s="47" t="n">
        <f aca="false">10*LOG10(X245/L_PREF^2)</f>
        <v>-21.1085848285425</v>
      </c>
      <c r="AI245" s="47" t="n">
        <f aca="false">10*LOG10(Y245/L_PREF^2)</f>
        <v>-36.3895820650303</v>
      </c>
      <c r="AJ245" s="47" t="n">
        <f aca="false">10*LOG10(Z245/L_PREF^2)</f>
        <v>-21.3349097028396</v>
      </c>
      <c r="AK245" s="47" t="n">
        <f aca="false">10*LOG10(R245/$R$6)</f>
        <v>0.0472006564136346</v>
      </c>
      <c r="AL245" s="37" t="n">
        <f aca="false">(12194^2*B245^4/((B245^2+20.6^2)*SQRT((B245^2+107.7^2)*(B245^2+737.9^2))*(B245^2+12194^2))*1.2589254)^2</f>
        <v>1.33668486522648</v>
      </c>
      <c r="AM245" s="37" t="n">
        <f aca="false">0.5*(B245-B244)*(S245*AL245+S244*AL244)</f>
        <v>1.0606368764495E-010</v>
      </c>
      <c r="AN245" s="37" t="n">
        <f aca="false">0.5*(B245-B244)*(T245*AL245+T244*AL244)</f>
        <v>3.58553921231276E-010</v>
      </c>
      <c r="AO245" s="37" t="n">
        <f aca="false">0.5*(B245-B244)*(U245*AL245+U244*AL244)</f>
        <v>2.7280318384164E-010</v>
      </c>
      <c r="AP245" s="37" t="n">
        <f aca="false">0.5*(B245-B244)*(V245*AL245+V244*AL244)</f>
        <v>9.41866511284518E-011</v>
      </c>
      <c r="AQ245" s="37" t="n">
        <f aca="false">0.5*(B245-B244)*(W245*AL245+W244*AL244)</f>
        <v>4.32464595219479E-011</v>
      </c>
      <c r="AR245" s="37" t="n">
        <f aca="false">0.5*(B245-B244)*(X245*AL245+X244*AL244)</f>
        <v>2.16527103608643E-010</v>
      </c>
      <c r="AS245" s="37" t="n">
        <f aca="false">0.5*(B245-B244)*(Y245*AL245+Y244*AL244)</f>
        <v>6.56617539914017E-012</v>
      </c>
      <c r="AT245" s="37" t="n">
        <f aca="false">0.5*(B245-B244)*(Z245*AL245+Z244*AL244)</f>
        <v>2.05432355061601E-010</v>
      </c>
      <c r="AU245" s="37" t="n">
        <f aca="false">0.5*(B245-B244)*(AA245*AL245+AA244*AL244)</f>
        <v>1.30337953743765E-009</v>
      </c>
      <c r="AV245" s="37" t="n">
        <f aca="false">0.5*(B245-B244)*(S245+S244)</f>
        <v>7.94048326255983E-011</v>
      </c>
      <c r="AW245" s="37" t="n">
        <f aca="false">0.5*(B245-B244)*(T245+T244)</f>
        <v>2.68432618297897E-010</v>
      </c>
      <c r="AX245" s="37" t="n">
        <f aca="false">0.5*(B245-B244)*(U245+U244)</f>
        <v>2.04235035743423E-010</v>
      </c>
      <c r="AY245" s="37" t="n">
        <f aca="false">0.5*(B245-B244)*(V245+V244)</f>
        <v>7.05143925950887E-011</v>
      </c>
      <c r="AZ245" s="37" t="n">
        <f aca="false">0.5*(B245-B244)*(W245+W244)</f>
        <v>3.23771447830934E-011</v>
      </c>
      <c r="BA245" s="37" t="n">
        <f aca="false">0.5*(B245-B244)*(X245+X244)</f>
        <v>1.62103828208961E-010</v>
      </c>
      <c r="BB245" s="37" t="n">
        <f aca="false">0.5*(B245-B244)*(Y245+Y244)</f>
        <v>4.91587089253524E-012</v>
      </c>
      <c r="BC245" s="37" t="n">
        <f aca="false">0.5*(B245-B244)*(Z245+Z244)</f>
        <v>1.53797649784499E-010</v>
      </c>
      <c r="BD245" s="37" t="n">
        <f aca="false">0.5*(B245-B244)*(AA245+AA244)</f>
        <v>9.75781372931096E-010</v>
      </c>
      <c r="BE245" s="37" t="n">
        <f aca="false">IF(B245&gt;2000,AK245,-999)</f>
        <v>0.0472006564136346</v>
      </c>
      <c r="BF245" s="37" t="n">
        <f aca="false">IF(AND(B245&lt;1000,AK245&gt;=-3),B245,1000000000)</f>
        <v>1000000000</v>
      </c>
    </row>
    <row r="246" customFormat="false" ht="15" hidden="false" customHeight="false" outlineLevel="0" collapsed="false">
      <c r="A246" s="5" t="n">
        <v>207</v>
      </c>
      <c r="B246" s="47" t="n">
        <f aca="false">20*10^(A246/100)</f>
        <v>2349.79510987906</v>
      </c>
      <c r="C246" s="37" t="n">
        <f aca="false">2*PI()*B246</f>
        <v>14764.1981092745</v>
      </c>
      <c r="D246" s="37" t="n">
        <f aca="false">SQRT(L_Rp0^2+L_Rp1^2*C246)</f>
        <v>92760043.2035108</v>
      </c>
      <c r="E246" s="5" t="str">
        <f aca="false">COMPLEX(D246,C246*L_Mp)</f>
        <v>92760043.2035108+218107352.390967i</v>
      </c>
      <c r="F246" s="5" t="str">
        <f aca="false">IMDIV(1,E246)</f>
        <v>1.65126199032724e-09-3.88262411676499e-09i</v>
      </c>
      <c r="G246" s="5" t="str">
        <f aca="false">COMPLEX(0,C246*L_Cf)</f>
        <v>1.56119256733367e-11i</v>
      </c>
      <c r="H246" s="5" t="str">
        <f aca="false">COMPLEX(0,C246*L_Cbv)</f>
        <v>1.56119256733367e-10i</v>
      </c>
      <c r="I246" s="5" t="str">
        <f aca="false">COMPLEX(L_Rsq+L_Rh,C246*(L_Md+L_Mh)-1/(C246*L_Cd))</f>
        <v>552400610.124532-77969485584.1612i</v>
      </c>
      <c r="J246" s="5" t="str">
        <f aca="false">IMDIV(1,I246)</f>
        <v>9.0862150839861e-14+1.28248865591537e-11i</v>
      </c>
      <c r="K246" s="5" t="str">
        <f aca="false">IMSUM(F246,G246,H246)</f>
        <v>1.65126199032724e-09-3.71089293435829e-09i</v>
      </c>
      <c r="L246" s="5" t="str">
        <f aca="false">IMSUM(IMPRODUCT(IMSUM(F246,G246),H246),IMPRODUCT(IMSUM(J246,L_Yv),K246))</f>
        <v>6.54759411165103e-19+2.71212076725069e-19i</v>
      </c>
      <c r="M246" s="37" t="n">
        <f aca="false">IMABS(IMDIV(IMPRODUCT(J246,F246,H246),L246))^2</f>
        <v>1.42089891046139E-022</v>
      </c>
      <c r="N246" s="5" t="str">
        <f aca="false">IMDIV(IMPRODUCT(L_Yv,K246,E246),H246)</f>
        <v>0.000204072095047713-0.012330883282723i</v>
      </c>
      <c r="O246" s="37" t="n">
        <f aca="false">IMABS(IMSUM(1,IMPRODUCT(E246,G246),N246))^2</f>
        <v>0.993726672668909</v>
      </c>
      <c r="P246" s="37" t="n">
        <f aca="false">IMABS(N246)^2</f>
        <v>0.000152092327952115</v>
      </c>
      <c r="Q246" s="37" t="n">
        <f aca="false">p_Rb^2/(1+(C246*p_Rb*L_Ctot)^2)</f>
        <v>756227987805598</v>
      </c>
      <c r="R246" s="37" t="n">
        <f aca="false">M246*L_Kt^2*Q246</f>
        <v>2.1565193174433E-005</v>
      </c>
      <c r="S246" s="37" t="n">
        <f aca="false">L_kT4*D246</f>
        <v>1.52735162016083E-012</v>
      </c>
      <c r="T246" s="37" t="n">
        <f aca="false">L_kT4*L_Rsq*O246</f>
        <v>5.1330865653866E-012</v>
      </c>
      <c r="U246" s="37" t="n">
        <f aca="false">L_kT4*L_Rh*O246</f>
        <v>3.90547216207676E-012</v>
      </c>
      <c r="V246" s="37" t="n">
        <f aca="false">L_kT4*p_Rv*P246</f>
        <v>1.25214723651025E-012</v>
      </c>
      <c r="W246" s="37" t="n">
        <f aca="false">L_kT4/p_Rb*Q246/R246</f>
        <v>5.77400933077293E-013</v>
      </c>
      <c r="X246" s="37" t="n">
        <f aca="false">p_en^2*(1+p_fc/B246)/R246</f>
        <v>3.09404331241294E-012</v>
      </c>
      <c r="Y246" s="37" t="n">
        <f aca="false">p_in^2*Q246/R246</f>
        <v>8.7667657517457E-014</v>
      </c>
      <c r="Z246" s="37" t="n">
        <f aca="false">p_eo^2/L_G^2/R246</f>
        <v>2.93972454527347E-012</v>
      </c>
      <c r="AA246" s="37" t="n">
        <f aca="false">SUM(S246:Z246)</f>
        <v>1.85168940324156E-011</v>
      </c>
      <c r="AB246" s="47" t="n">
        <f aca="false">10*LOG10(AA246/L_PREF^2)</f>
        <v>-13.3449185011094</v>
      </c>
      <c r="AC246" s="47" t="n">
        <f aca="false">10*LOG10(S246/L_PREF^2)</f>
        <v>-24.1812096139892</v>
      </c>
      <c r="AD246" s="47" t="n">
        <f aca="false">10*LOG10(T246/L_PREF^2)</f>
        <v>-18.9168140297744</v>
      </c>
      <c r="AE246" s="47" t="n">
        <f aca="false">10*LOG10(U246/L_PREF^2)</f>
        <v>-20.1038644479492</v>
      </c>
      <c r="AF246" s="47" t="n">
        <f aca="false">10*LOG10(V246/L_PREF^2)</f>
        <v>-25.0440459197089</v>
      </c>
      <c r="AG246" s="47" t="n">
        <f aca="false">10*LOG10(W246/L_PREF^2)</f>
        <v>-28.4058250996478</v>
      </c>
      <c r="AH246" s="47" t="n">
        <f aca="false">10*LOG10(X246/L_PREF^2)</f>
        <v>-21.1153360238792</v>
      </c>
      <c r="AI246" s="47" t="n">
        <f aca="false">10*LOG10(Y246/L_PREF^2)</f>
        <v>-36.5922058898069</v>
      </c>
      <c r="AJ246" s="47" t="n">
        <f aca="false">10*LOG10(Z246/L_PREF^2)</f>
        <v>-21.337533527771</v>
      </c>
      <c r="AK246" s="47" t="n">
        <f aca="false">10*LOG10(R246/$R$6)</f>
        <v>0.049824481345035</v>
      </c>
      <c r="AL246" s="37" t="n">
        <f aca="false">(12194^2*B246^4/((B246^2+20.6^2)*SQRT((B246^2+107.7^2)*(B246^2+737.9^2))*(B246^2+12194^2))*1.2589254)^2</f>
        <v>1.33815862763458</v>
      </c>
      <c r="AM246" s="37" t="n">
        <f aca="false">0.5*(B246-B245)*(S246*AL246+S245*AL245)</f>
        <v>1.09062896238173E-010</v>
      </c>
      <c r="AN246" s="37" t="n">
        <f aca="false">0.5*(B246-B245)*(T246*AL246+T245*AL245)</f>
        <v>3.67257209181015E-010</v>
      </c>
      <c r="AO246" s="37" t="n">
        <f aca="false">0.5*(B246-B245)*(U246*AL246+U245*AL245)</f>
        <v>2.79425018165544E-010</v>
      </c>
      <c r="AP246" s="37" t="n">
        <f aca="false">0.5*(B246-B245)*(V246*AL246+V245*AL245)</f>
        <v>9.18465824911116E-011</v>
      </c>
      <c r="AQ246" s="37" t="n">
        <f aca="false">0.5*(B246-B245)*(W246*AL246+W245*AL245)</f>
        <v>4.22907035047655E-011</v>
      </c>
      <c r="AR246" s="37" t="n">
        <f aca="false">0.5*(B246-B245)*(X246*AL246+X245*AL245)</f>
        <v>2.21507049801485E-010</v>
      </c>
      <c r="AS246" s="37" t="n">
        <f aca="false">0.5*(B246-B245)*(Y246*AL246+Y245*AL245)</f>
        <v>6.42106151659405E-012</v>
      </c>
      <c r="AT246" s="37" t="n">
        <f aca="false">0.5*(B246-B245)*(Z246*AL246+Z245*AL245)</f>
        <v>2.10359164047776E-010</v>
      </c>
      <c r="AU246" s="37" t="n">
        <f aca="false">0.5*(B246-B245)*(AA246*AL246+AA245*AL245)</f>
        <v>1.32816968494646E-009</v>
      </c>
      <c r="AV246" s="37" t="n">
        <f aca="false">0.5*(B246-B245)*(S246+S245)</f>
        <v>8.15470420335355E-011</v>
      </c>
      <c r="AW246" s="37" t="n">
        <f aca="false">0.5*(B246-B245)*(T246+T245)</f>
        <v>2.74600919192017E-010</v>
      </c>
      <c r="AX246" s="37" t="n">
        <f aca="false">0.5*(B246-B245)*(U246+U245)</f>
        <v>2.08928143315725E-010</v>
      </c>
      <c r="AY246" s="37" t="n">
        <f aca="false">0.5*(B246-B245)*(V246+V245)</f>
        <v>6.86752969924966E-011</v>
      </c>
      <c r="AZ246" s="37" t="n">
        <f aca="false">0.5*(B246-B245)*(W246+W245)</f>
        <v>3.16214739961021E-011</v>
      </c>
      <c r="BA246" s="37" t="n">
        <f aca="false">0.5*(B246-B245)*(X246+X245)</f>
        <v>1.65622508571189E-010</v>
      </c>
      <c r="BB246" s="37" t="n">
        <f aca="false">0.5*(B246-B245)*(Y246+Y245)</f>
        <v>4.80113625330141E-012</v>
      </c>
      <c r="BC246" s="37" t="n">
        <f aca="false">0.5*(B246-B245)*(Z246+Z245)</f>
        <v>1.5728710828932E-010</v>
      </c>
      <c r="BD246" s="37" t="n">
        <f aca="false">0.5*(B246-B245)*(AA246+AA245)</f>
        <v>9.93083628643686E-010</v>
      </c>
      <c r="BE246" s="37" t="n">
        <f aca="false">IF(B246&gt;2000,AK246,-999)</f>
        <v>0.049824481345035</v>
      </c>
      <c r="BF246" s="37" t="n">
        <f aca="false">IF(AND(B246&lt;1000,AK246&gt;=-3),B246,1000000000)</f>
        <v>1000000000</v>
      </c>
    </row>
    <row r="247" customFormat="false" ht="15" hidden="false" customHeight="false" outlineLevel="0" collapsed="false">
      <c r="A247" s="5" t="n">
        <v>208</v>
      </c>
      <c r="B247" s="47" t="n">
        <f aca="false">20*10^(A247/100)</f>
        <v>2404.52886923483</v>
      </c>
      <c r="C247" s="37" t="n">
        <f aca="false">2*PI()*B247</f>
        <v>15108.1004618654</v>
      </c>
      <c r="D247" s="37" t="n">
        <f aca="false">SQRT(L_Rp0^2+L_Rp1^2*C247)</f>
        <v>93102103.8156062</v>
      </c>
      <c r="E247" s="5" t="str">
        <f aca="false">COMPLEX(D247,C247*L_Mp)</f>
        <v>93102103.8156062+223187725.266586i</v>
      </c>
      <c r="F247" s="5" t="str">
        <f aca="false">IMDIV(1,E247)</f>
        <v>1.59201248280337e-09-3.81642981276364e-09i</v>
      </c>
      <c r="G247" s="5" t="str">
        <f aca="false">COMPLEX(0,C247*L_Cf)</f>
        <v>1.59755741375335e-11i</v>
      </c>
      <c r="H247" s="5" t="str">
        <f aca="false">COMPLEX(0,C247*L_Cbv)</f>
        <v>1.59755741375335e-10i</v>
      </c>
      <c r="I247" s="5" t="str">
        <f aca="false">COMPLEX(L_Rsq+L_Rh,C247*(L_Md+L_Mh)-1/(C247*L_Cd))</f>
        <v>552400610.124532-76192121266.4618i</v>
      </c>
      <c r="J247" s="5" t="str">
        <f aca="false">IMDIV(1,I247)</f>
        <v>9.51505256952156e-14+1.312402676511e-11i</v>
      </c>
      <c r="K247" s="5" t="str">
        <f aca="false">IMSUM(F247,G247,H247)</f>
        <v>1.59201248280337e-09-3.64069849725077e-09i</v>
      </c>
      <c r="L247" s="5" t="str">
        <f aca="false">IMSUM(IMPRODUCT(IMSUM(F247,G247),H247),IMPRODUCT(IMSUM(J247,L_Yv),K247))</f>
        <v>6.58260514766623e-19+2.67598937533328e-19i</v>
      </c>
      <c r="M247" s="37" t="n">
        <f aca="false">IMABS(IMDIV(IMPRODUCT(J247,F247,H247),L247))^2</f>
        <v>1.48880476515399E-022</v>
      </c>
      <c r="N247" s="5" t="str">
        <f aca="false">IMDIV(IMPRODUCT(L_Yv,K247,E247),H247)</f>
        <v>0.000204824628394323-0.0120280988859774i</v>
      </c>
      <c r="O247" s="37" t="n">
        <f aca="false">IMABS(IMSUM(1,IMPRODUCT(E247,G247),N247))^2</f>
        <v>0.993400946827934</v>
      </c>
      <c r="P247" s="37" t="n">
        <f aca="false">IMABS(N247)^2</f>
        <v>0.000144717115939248</v>
      </c>
      <c r="Q247" s="37" t="n">
        <f aca="false">p_Rb^2/(1+(C247*p_Rb*L_Ctot)^2)</f>
        <v>722192121720835</v>
      </c>
      <c r="R247" s="37" t="n">
        <f aca="false">M247*L_Kt^2*Q247</f>
        <v>2.15788313952516E-005</v>
      </c>
      <c r="S247" s="37" t="n">
        <f aca="false">L_kT4*D247</f>
        <v>1.53298386020767E-012</v>
      </c>
      <c r="T247" s="37" t="n">
        <f aca="false">L_kT4*L_Rsq*O247</f>
        <v>5.13140403136161E-012</v>
      </c>
      <c r="U247" s="37" t="n">
        <f aca="false">L_kT4*L_Rh*O247</f>
        <v>3.90419201811024E-012</v>
      </c>
      <c r="V247" s="37" t="n">
        <f aca="false">L_kT4*p_Rv*P247</f>
        <v>1.19142851739448E-012</v>
      </c>
      <c r="W247" s="37" t="n">
        <f aca="false">L_kT4/p_Rb*Q247/R247</f>
        <v>5.51065106662296E-013</v>
      </c>
      <c r="X247" s="37" t="n">
        <f aca="false">p_en^2*(1+p_fc/B247)/R247</f>
        <v>3.08921474228662E-012</v>
      </c>
      <c r="Y247" s="37" t="n">
        <f aca="false">p_in^2*Q247/R247</f>
        <v>8.36690491357832E-014</v>
      </c>
      <c r="Z247" s="37" t="n">
        <f aca="false">p_eo^2/L_G^2/R247</f>
        <v>2.93786658495301E-012</v>
      </c>
      <c r="AA247" s="37" t="n">
        <f aca="false">SUM(S247:Z247)</f>
        <v>1.84218239101117E-011</v>
      </c>
      <c r="AB247" s="47" t="n">
        <f aca="false">10*LOG10(AA247/L_PREF^2)</f>
        <v>-13.3672736465916</v>
      </c>
      <c r="AC247" s="47" t="n">
        <f aca="false">10*LOG10(S247/L_PREF^2)</f>
        <v>-24.1652240885431</v>
      </c>
      <c r="AD247" s="47" t="n">
        <f aca="false">10*LOG10(T247/L_PREF^2)</f>
        <v>-18.9182378028148</v>
      </c>
      <c r="AE247" s="47" t="n">
        <f aca="false">10*LOG10(U247/L_PREF^2)</f>
        <v>-20.1052882209895</v>
      </c>
      <c r="AF247" s="47" t="n">
        <f aca="false">10*LOG10(V247/L_PREF^2)</f>
        <v>-25.2599200040076</v>
      </c>
      <c r="AG247" s="47" t="n">
        <f aca="false">10*LOG10(W247/L_PREF^2)</f>
        <v>-28.6085707887586</v>
      </c>
      <c r="AH247" s="47" t="n">
        <f aca="false">10*LOG10(X247/L_PREF^2)</f>
        <v>-21.1221189262555</v>
      </c>
      <c r="AI247" s="47" t="n">
        <f aca="false">10*LOG10(Y247/L_PREF^2)</f>
        <v>-36.7949515789178</v>
      </c>
      <c r="AJ247" s="47" t="n">
        <f aca="false">10*LOG10(Z247/L_PREF^2)</f>
        <v>-21.3402792170297</v>
      </c>
      <c r="AK247" s="47" t="n">
        <f aca="false">10*LOG10(R247/$R$6)</f>
        <v>0.0525701706036747</v>
      </c>
      <c r="AL247" s="37" t="n">
        <f aca="false">(12194^2*B247^4/((B247^2+20.6^2)*SQRT((B247^2+107.7^2)*(B247^2+737.9^2))*(B247^2+12194^2))*1.2589254)^2</f>
        <v>1.33919937264323</v>
      </c>
      <c r="AM247" s="37" t="n">
        <f aca="false">0.5*(B247-B246)*(S247*AL247+S246*AL246)</f>
        <v>1.12116900088364E-010</v>
      </c>
      <c r="AN247" s="37" t="n">
        <f aca="false">0.5*(B247-B246)*(T247*AL247+T246*AL246)</f>
        <v>3.76044383842002E-010</v>
      </c>
      <c r="AO247" s="37" t="n">
        <f aca="false">0.5*(B247-B246)*(U247*AL247+U246*AL246)</f>
        <v>2.86110677093099E-010</v>
      </c>
      <c r="AP247" s="37" t="n">
        <f aca="false">0.5*(B247-B246)*(V247*AL247+V246*AL246)</f>
        <v>8.95206745038914E-011</v>
      </c>
      <c r="AQ247" s="37" t="n">
        <f aca="false">0.5*(B247-B246)*(W247*AL247+W246*AL246)</f>
        <v>4.13415054517971E-011</v>
      </c>
      <c r="AR247" s="37" t="n">
        <f aca="false">0.5*(B247-B246)*(X247*AL247+X246*AL246)</f>
        <v>2.26526478419313E-010</v>
      </c>
      <c r="AS247" s="37" t="n">
        <f aca="false">0.5*(B247-B246)*(Y247*AL247+Y246*AL246)</f>
        <v>6.27694333967948E-012</v>
      </c>
      <c r="AT247" s="37" t="n">
        <f aca="false">0.5*(B247-B246)*(Z247*AL247+Z246*AL246)</f>
        <v>2.15328270161222E-010</v>
      </c>
      <c r="AU247" s="37" t="n">
        <f aca="false">0.5*(B247-B246)*(AA247*AL247+AA246*AL246)</f>
        <v>1.35326583289937E-009</v>
      </c>
      <c r="AV247" s="37" t="n">
        <f aca="false">0.5*(B247-B246)*(S247+S246)</f>
        <v>8.37518328652042E-011</v>
      </c>
      <c r="AW247" s="37" t="n">
        <f aca="false">0.5*(B247-B246)*(T247+T246)</f>
        <v>2.80907079115981E-010</v>
      </c>
      <c r="AX247" s="37" t="n">
        <f aca="false">0.5*(B247-B246)*(U247+U246)</f>
        <v>2.13726139943859E-010</v>
      </c>
      <c r="AY247" s="37" t="n">
        <f aca="false">0.5*(B247-B246)*(V247+V246)</f>
        <v>6.68730436409055E-011</v>
      </c>
      <c r="AZ247" s="37" t="n">
        <f aca="false">0.5*(B247-B246)*(W247+W246)</f>
        <v>3.08825943301317E-011</v>
      </c>
      <c r="BA247" s="37" t="n">
        <f aca="false">0.5*(B247-B246)*(X247+X246)</f>
        <v>1.6921647920027E-010</v>
      </c>
      <c r="BB247" s="37" t="n">
        <f aca="false">0.5*(B247-B246)*(Y247+Y246)</f>
        <v>4.68895103538414E-012</v>
      </c>
      <c r="BC247" s="37" t="n">
        <f aca="false">0.5*(B247-B246)*(Z247+Z246)</f>
        <v>1.60851329256707E-010</v>
      </c>
      <c r="BD247" s="37" t="n">
        <f aca="false">0.5*(B247-B246)*(AA247+AA246)</f>
        <v>1.01089744938844E-009</v>
      </c>
      <c r="BE247" s="37" t="n">
        <f aca="false">IF(B247&gt;2000,AK247,-999)</f>
        <v>0.0525701706036747</v>
      </c>
      <c r="BF247" s="37" t="n">
        <f aca="false">IF(AND(B247&lt;1000,AK247&gt;=-3),B247,1000000000)</f>
        <v>1000000000</v>
      </c>
    </row>
    <row r="248" customFormat="false" ht="15" hidden="false" customHeight="false" outlineLevel="0" collapsed="false">
      <c r="A248" s="5" t="n">
        <v>209</v>
      </c>
      <c r="B248" s="47" t="n">
        <f aca="false">20*10^(A248/100)</f>
        <v>2460.53754162476</v>
      </c>
      <c r="C248" s="37" t="n">
        <f aca="false">2*PI()*B248</f>
        <v>15460.0133293005</v>
      </c>
      <c r="D248" s="37" t="n">
        <f aca="false">SQRT(L_Rp0^2+L_Rp1^2*C248)</f>
        <v>93450835.9124399</v>
      </c>
      <c r="E248" s="5" t="str">
        <f aca="false">COMPLEX(D248,C248*L_Mp)</f>
        <v>93450835.9124399+228386435.228379i</v>
      </c>
      <c r="F248" s="5" t="str">
        <f aca="false">IMDIV(1,E248)</f>
        <v>1.5346622349539e-09-3.75059285129499e-09i</v>
      </c>
      <c r="G248" s="5" t="str">
        <f aca="false">COMPLEX(0,C248*L_Cf)</f>
        <v>1.63476930625996e-11i</v>
      </c>
      <c r="H248" s="5" t="str">
        <f aca="false">COMPLEX(0,C248*L_Cbv)</f>
        <v>1.63476930625996e-10i</v>
      </c>
      <c r="I248" s="5" t="str">
        <f aca="false">COMPLEX(L_Rsq+L_Rh,C248*(L_Md+L_Mh)-1/(C248*L_Cd))</f>
        <v>552400610.124532-74455155019.98i</v>
      </c>
      <c r="J248" s="5" t="str">
        <f aca="false">IMDIV(1,I248)</f>
        <v>9.96416017077883e-14+1.34301642062271e-11i</v>
      </c>
      <c r="K248" s="5" t="str">
        <f aca="false">IMSUM(F248,G248,H248)</f>
        <v>1.5346622349539e-09-3.57076822760639e-09i</v>
      </c>
      <c r="L248" s="5" t="str">
        <f aca="false">IMSUM(IMPRODUCT(IMSUM(F248,G248),H248),IMPRODUCT(IMSUM(J248,L_Yv),K248))</f>
        <v>6.61641180985029e-19+2.63995304013683e-19i</v>
      </c>
      <c r="M248" s="37" t="n">
        <f aca="false">IMABS(IMDIV(IMPRODUCT(J248,F248,H248),L248))^2</f>
        <v>1.5600017983956E-022</v>
      </c>
      <c r="N248" s="5" t="str">
        <f aca="false">IMDIV(IMPRODUCT(L_Yv,K248,E248),H248)</f>
        <v>0.000205591839007373-0.0117316919464719i</v>
      </c>
      <c r="O248" s="37" t="n">
        <f aca="false">IMABS(IMSUM(1,IMPRODUCT(E248,G248),N248))^2</f>
        <v>0.993060569110692</v>
      </c>
      <c r="P248" s="37" t="n">
        <f aca="false">IMABS(N248)^2</f>
        <v>0.00013767486393118</v>
      </c>
      <c r="Q248" s="37" t="n">
        <f aca="false">p_Rb^2/(1+(C248*p_Rb*L_Ctot)^2)</f>
        <v>689688121948906</v>
      </c>
      <c r="R248" s="37" t="n">
        <f aca="false">M248*L_Kt^2*Q248</f>
        <v>2.15931136507589E-005</v>
      </c>
      <c r="S248" s="37" t="n">
        <f aca="false">L_kT4*D248</f>
        <v>1.53872595038687E-012</v>
      </c>
      <c r="T248" s="37" t="n">
        <f aca="false">L_kT4*L_Rsq*O248</f>
        <v>5.129645813196E-012</v>
      </c>
      <c r="U248" s="37" t="n">
        <f aca="false">L_kT4*L_Rh*O248</f>
        <v>3.90285429040719E-012</v>
      </c>
      <c r="V248" s="37" t="n">
        <f aca="false">L_kT4*p_Rv*P248</f>
        <v>1.13345099473149E-012</v>
      </c>
      <c r="W248" s="37" t="n">
        <f aca="false">L_kT4/p_Rb*Q248/R248</f>
        <v>5.25915006990822E-013</v>
      </c>
      <c r="X248" s="37" t="n">
        <f aca="false">p_en^2*(1+p_fc/B248)/R248</f>
        <v>3.08436563290096E-012</v>
      </c>
      <c r="Y248" s="37" t="n">
        <f aca="false">p_in^2*Q248/R248</f>
        <v>7.98504714400774E-014</v>
      </c>
      <c r="Z248" s="37" t="n">
        <f aca="false">p_eo^2/L_G^2/R248</f>
        <v>2.9359234024231E-012</v>
      </c>
      <c r="AA248" s="37" t="n">
        <f aca="false">SUM(S248:Z248)</f>
        <v>1.83307315624765E-011</v>
      </c>
      <c r="AB248" s="47" t="n">
        <f aca="false">10*LOG10(AA248/L_PREF^2)</f>
        <v>-13.3888019373035</v>
      </c>
      <c r="AC248" s="47" t="n">
        <f aca="false">10*LOG10(S248/L_PREF^2)</f>
        <v>-24.1489871316821</v>
      </c>
      <c r="AD248" s="47" t="n">
        <f aca="false">10*LOG10(T248/L_PREF^2)</f>
        <v>-18.919726119247</v>
      </c>
      <c r="AE248" s="47" t="n">
        <f aca="false">10*LOG10(U248/L_PREF^2)</f>
        <v>-20.1067765374217</v>
      </c>
      <c r="AF248" s="47" t="n">
        <f aca="false">10*LOG10(V248/L_PREF^2)</f>
        <v>-25.4765724337868</v>
      </c>
      <c r="AG248" s="47" t="n">
        <f aca="false">10*LOG10(W248/L_PREF^2)</f>
        <v>-28.8114442773961</v>
      </c>
      <c r="AH248" s="47" t="n">
        <f aca="false">10*LOG10(X248/L_PREF^2)</f>
        <v>-21.1289413591176</v>
      </c>
      <c r="AI248" s="47" t="n">
        <f aca="false">10*LOG10(Y248/L_PREF^2)</f>
        <v>-36.9978250675553</v>
      </c>
      <c r="AJ248" s="47" t="n">
        <f aca="false">10*LOG10(Z248/L_PREF^2)</f>
        <v>-21.3431527058084</v>
      </c>
      <c r="AK248" s="47" t="n">
        <f aca="false">10*LOG10(R248/$R$6)</f>
        <v>0.0554436593823729</v>
      </c>
      <c r="AL248" s="37" t="n">
        <f aca="false">(12194^2*B248^4/((B248^2+20.6^2)*SQRT((B248^2+107.7^2)*(B248^2+737.9^2))*(B248^2+12194^2))*1.2589254)^2</f>
        <v>1.33980646536249</v>
      </c>
      <c r="AM248" s="37" t="n">
        <f aca="false">0.5*(B248-B247)*(S248*AL248+S247*AL247)</f>
        <v>1.15225689577514E-010</v>
      </c>
      <c r="AN248" s="37" t="n">
        <f aca="false">0.5*(B248-B247)*(T248*AL248+T247*AL247)</f>
        <v>3.84911358906933E-010</v>
      </c>
      <c r="AO248" s="37" t="n">
        <f aca="false">0.5*(B248-B247)*(U248*AL248+U247*AL247)</f>
        <v>2.9285705158665E-010</v>
      </c>
      <c r="AP248" s="37" t="n">
        <f aca="false">0.5*(B248-B247)*(V248*AL248+V247*AL247)</f>
        <v>8.72101318586654E-011</v>
      </c>
      <c r="AQ248" s="37" t="n">
        <f aca="false">0.5*(B248-B247)*(W248*AL248+W247*AL247)</f>
        <v>4.03993458481397E-011</v>
      </c>
      <c r="AR248" s="37" t="n">
        <f aca="false">0.5*(B248-B247)*(X248*AL248+X247*AL247)</f>
        <v>2.3158262720069E-010</v>
      </c>
      <c r="AS248" s="37" t="n">
        <f aca="false">0.5*(B248-B247)*(Y248*AL248+Y247*AL247)</f>
        <v>6.13389382117592E-012</v>
      </c>
      <c r="AT248" s="37" t="n">
        <f aca="false">0.5*(B248-B247)*(Z248*AL248+Z247*AL247)</f>
        <v>2.20336947828859E-010</v>
      </c>
      <c r="AU248" s="37" t="n">
        <f aca="false">0.5*(B248-B247)*(AA248*AL248+AA247*AL247)</f>
        <v>1.37865704662863E-009</v>
      </c>
      <c r="AV248" s="37" t="n">
        <f aca="false">0.5*(B248-B247)*(S248+S247)</f>
        <v>8.60211942292705E-011</v>
      </c>
      <c r="AW248" s="37" t="n">
        <f aca="false">0.5*(B248-B247)*(T248+T247)</f>
        <v>2.87353889560314E-010</v>
      </c>
      <c r="AX248" s="37" t="n">
        <f aca="false">0.5*(B248-B247)*(U248+U247)</f>
        <v>2.18631149513405E-010</v>
      </c>
      <c r="AY248" s="37" t="n">
        <f aca="false">0.5*(B248-B247)*(V248+V247)</f>
        <v>6.51067074703684E-011</v>
      </c>
      <c r="AZ248" s="37" t="n">
        <f aca="false">0.5*(B248-B247)*(W248+W247)</f>
        <v>3.01601131780366E-011</v>
      </c>
      <c r="BA248" s="37" t="n">
        <f aca="false">0.5*(B248-B247)*(X248+X247)</f>
        <v>1.72887020353409E-010</v>
      </c>
      <c r="BB248" s="37" t="n">
        <f aca="false">0.5*(B248-B247)*(Y248+Y247)</f>
        <v>4.57925562864637E-012</v>
      </c>
      <c r="BC248" s="37" t="n">
        <f aca="false">0.5*(B248-B247)*(Z248+Z247)</f>
        <v>1.64491589545117E-010</v>
      </c>
      <c r="BD248" s="37" t="n">
        <f aca="false">0.5*(B248-B247)*(AA248+AA247)</f>
        <v>1.02923091947857E-009</v>
      </c>
      <c r="BE248" s="37" t="n">
        <f aca="false">IF(B248&gt;2000,AK248,-999)</f>
        <v>0.0554436593823729</v>
      </c>
      <c r="BF248" s="37" t="n">
        <f aca="false">IF(AND(B248&lt;1000,AK248&gt;=-3),B248,1000000000)</f>
        <v>1000000000</v>
      </c>
    </row>
    <row r="249" customFormat="false" ht="15" hidden="false" customHeight="false" outlineLevel="0" collapsed="false">
      <c r="A249" s="5" t="n">
        <v>210</v>
      </c>
      <c r="B249" s="47" t="n">
        <f aca="false">20*10^(A249/100)</f>
        <v>2517.85082358834</v>
      </c>
      <c r="C249" s="37" t="n">
        <f aca="false">2*PI()*B249</f>
        <v>15820.1233004402</v>
      </c>
      <c r="D249" s="37" t="n">
        <f aca="false">SQRT(L_Rp0^2+L_Rp1^2*C249)</f>
        <v>93806348.9467753</v>
      </c>
      <c r="E249" s="5" t="str">
        <f aca="false">COMPLEX(D249,C249*L_Mp)</f>
        <v>93806348.9467753+233706238.701183i</v>
      </c>
      <c r="F249" s="5" t="str">
        <f aca="false">IMDIV(1,E249)</f>
        <v>1.47916992368001e-09-3.68515823443158e-09i</v>
      </c>
      <c r="G249" s="5" t="str">
        <f aca="false">COMPLEX(0,C249*L_Cf)</f>
        <v>1.67284797509149e-11i</v>
      </c>
      <c r="H249" s="5" t="str">
        <f aca="false">COMPLEX(0,C249*L_Cbv)</f>
        <v>1.67284797509149e-10i</v>
      </c>
      <c r="I249" s="5" t="str">
        <f aca="false">COMPLEX(L_Rsq+L_Rh,C249*(L_Md+L_Mh)-1/(C249*L_Cd))</f>
        <v>552400610.124532-72757665882.2202i</v>
      </c>
      <c r="J249" s="5" t="str">
        <f aca="false">IMDIV(1,I249)</f>
        <v>1.04344989514054e-13+1.37434639723439e-11i</v>
      </c>
      <c r="K249" s="5" t="str">
        <f aca="false">IMSUM(F249,G249,H249)</f>
        <v>1.47916992368001e-09-3.50114495717152e-09i</v>
      </c>
      <c r="L249" s="5" t="str">
        <f aca="false">IMSUM(IMPRODUCT(IMSUM(F249,G249),H249),IMPRODUCT(IMSUM(J249,L_Yv),K249))</f>
        <v>6.64903072086669e-19+2.60403942871319e-19i</v>
      </c>
      <c r="M249" s="37" t="n">
        <f aca="false">IMABS(IMDIV(IMPRODUCT(J249,F249,H249),L249))^2</f>
        <v>1.6346540299495E-022</v>
      </c>
      <c r="N249" s="5" t="str">
        <f aca="false">IMDIV(IMPRODUCT(L_Yv,K249,E249),H249)</f>
        <v>0.000206373967682901-0.0114415053053238i</v>
      </c>
      <c r="O249" s="37" t="n">
        <f aca="false">IMABS(IMSUM(1,IMPRODUCT(E249,G249),N249))^2</f>
        <v>0.992704822954618</v>
      </c>
      <c r="P249" s="37" t="n">
        <f aca="false">IMABS(N249)^2</f>
        <v>0.00013095063386629</v>
      </c>
      <c r="Q249" s="37" t="n">
        <f aca="false">p_Rb^2/(1+(C249*p_Rb*L_Ctot)^2)</f>
        <v>658647043148697</v>
      </c>
      <c r="R249" s="37" t="n">
        <f aca="false">M249*L_Kt^2*Q249</f>
        <v>2.16080721379316E-005</v>
      </c>
      <c r="S249" s="37" t="n">
        <f aca="false">L_kT4*D249</f>
        <v>1.54457969290604E-012</v>
      </c>
      <c r="T249" s="37" t="n">
        <f aca="false">L_kT4*L_Rsq*O249</f>
        <v>5.12780820949204E-012</v>
      </c>
      <c r="U249" s="37" t="n">
        <f aca="false">L_kT4*L_Rh*O249</f>
        <v>3.90145616278566E-012</v>
      </c>
      <c r="V249" s="37" t="n">
        <f aca="false">L_kT4*p_Rv*P249</f>
        <v>1.07809168629837E-012</v>
      </c>
      <c r="W249" s="37" t="n">
        <f aca="false">L_kT4/p_Rb*Q249/R249</f>
        <v>5.01897246559421E-013</v>
      </c>
      <c r="X249" s="37" t="n">
        <f aca="false">p_en^2*(1+p_fc/B249)/R249</f>
        <v>3.07949038333261E-012</v>
      </c>
      <c r="Y249" s="37" t="n">
        <f aca="false">p_in^2*Q249/R249</f>
        <v>7.62038185248932E-014</v>
      </c>
      <c r="Z249" s="37" t="n">
        <f aca="false">p_eo^2/L_G^2/R249</f>
        <v>2.93389096879019E-012</v>
      </c>
      <c r="AA249" s="37" t="n">
        <f aca="false">SUM(S249:Z249)</f>
        <v>1.82434181686892E-011</v>
      </c>
      <c r="AB249" s="47" t="n">
        <f aca="false">10*LOG10(AA249/L_PREF^2)</f>
        <v>-13.4095377834868</v>
      </c>
      <c r="AC249" s="47" t="n">
        <f aca="false">10*LOG10(S249/L_PREF^2)</f>
        <v>-24.1324967059955</v>
      </c>
      <c r="AD249" s="47" t="n">
        <f aca="false">10*LOG10(T249/L_PREF^2)</f>
        <v>-18.9212821801473</v>
      </c>
      <c r="AE249" s="47" t="n">
        <f aca="false">10*LOG10(U249/L_PREF^2)</f>
        <v>-20.1083325983221</v>
      </c>
      <c r="AF249" s="47" t="n">
        <f aca="false">10*LOG10(V249/L_PREF^2)</f>
        <v>-25.6940429433605</v>
      </c>
      <c r="AG249" s="47" t="n">
        <f aca="false">10*LOG10(W249/L_PREF^2)</f>
        <v>-29.0144517820683</v>
      </c>
      <c r="AH249" s="47" t="n">
        <f aca="false">10*LOG10(X249/L_PREF^2)</f>
        <v>-21.1358113911929</v>
      </c>
      <c r="AI249" s="47" t="n">
        <f aca="false">10*LOG10(Y249/L_PREF^2)</f>
        <v>-37.2008325722275</v>
      </c>
      <c r="AJ249" s="47" t="n">
        <f aca="false">10*LOG10(Z249/L_PREF^2)</f>
        <v>-21.3461602106154</v>
      </c>
      <c r="AK249" s="47" t="n">
        <f aca="false">10*LOG10(R249/$R$6)</f>
        <v>0.0584511641893722</v>
      </c>
      <c r="AL249" s="37" t="n">
        <f aca="false">(12194^2*B249^4/((B249^2+20.6^2)*SQRT((B249^2+107.7^2)*(B249^2+737.9^2))*(B249^2+12194^2))*1.2589254)^2</f>
        <v>1.33997908965097</v>
      </c>
      <c r="AM249" s="37" t="n">
        <f aca="false">0.5*(B249-B248)*(S249*AL249+S248*AL248)</f>
        <v>1.18389165629625E-010</v>
      </c>
      <c r="AN249" s="37" t="n">
        <f aca="false">0.5*(B249-B248)*(T249*AL249+T248*AL248)</f>
        <v>3.93853675629841E-010</v>
      </c>
      <c r="AO249" s="37" t="n">
        <f aca="false">0.5*(B249-B248)*(U249*AL249+U248*AL248)</f>
        <v>2.99660749241253E-010</v>
      </c>
      <c r="AP249" s="37" t="n">
        <f aca="false">0.5*(B249-B248)*(V249*AL249+V248*AL248)</f>
        <v>8.49160832057103E-011</v>
      </c>
      <c r="AQ249" s="37" t="n">
        <f aca="false">0.5*(B249-B248)*(W249*AL249+W248*AL248)</f>
        <v>3.94646691411821E-011</v>
      </c>
      <c r="AR249" s="37" t="n">
        <f aca="false">0.5*(B249-B248)*(X249*AL249+X248*AL248)</f>
        <v>2.3667249660618E-010</v>
      </c>
      <c r="AS249" s="37" t="n">
        <f aca="false">0.5*(B249-B248)*(Y249*AL249+Y248*AL248)</f>
        <v>5.99198044220301E-012</v>
      </c>
      <c r="AT249" s="37" t="n">
        <f aca="false">0.5*(B249-B248)*(Z249*AL249+Z248*AL248)</f>
        <v>2.25382237674982E-010</v>
      </c>
      <c r="AU249" s="37" t="n">
        <f aca="false">0.5*(B249-B248)*(AA249*AL249+AA248*AL248)</f>
        <v>1.40433105757098E-009</v>
      </c>
      <c r="AV249" s="37" t="n">
        <f aca="false">0.5*(B249-B248)*(S249+S248)</f>
        <v>8.8357182856961E-011</v>
      </c>
      <c r="AW249" s="37" t="n">
        <f aca="false">0.5*(B249-B248)*(T249+T248)</f>
        <v>2.93944177315353E-010</v>
      </c>
      <c r="AX249" s="37" t="n">
        <f aca="false">0.5*(B249-B248)*(U249+U248)</f>
        <v>2.23645322767551E-010</v>
      </c>
      <c r="AY249" s="37" t="n">
        <f aca="false">0.5*(B249-B248)*(V249+V248)</f>
        <v>6.33753846261702E-011</v>
      </c>
      <c r="AZ249" s="37" t="n">
        <f aca="false">0.5*(B249-B248)*(W249+W248)</f>
        <v>2.94536467466702E-011</v>
      </c>
      <c r="BA249" s="37" t="n">
        <f aca="false">0.5*(B249-B248)*(X249+X248)</f>
        <v>1.7663540892063E-010</v>
      </c>
      <c r="BB249" s="37" t="n">
        <f aca="false">0.5*(B249-B248)*(Y249+Y248)</f>
        <v>4.47199176119377E-012</v>
      </c>
      <c r="BC249" s="37" t="n">
        <f aca="false">0.5*(B249-B248)*(Z249+Z248)</f>
        <v>1.6820916306559E-010</v>
      </c>
      <c r="BD249" s="37" t="n">
        <f aca="false">0.5*(B249-B248)*(AA249+AA248)</f>
        <v>1.04809227806012E-009</v>
      </c>
      <c r="BE249" s="37" t="n">
        <f aca="false">IF(B249&gt;2000,AK249,-999)</f>
        <v>0.0584511641893722</v>
      </c>
      <c r="BF249" s="37" t="n">
        <f aca="false">IF(AND(B249&lt;1000,AK249&gt;=-3),B249,1000000000)</f>
        <v>1000000000</v>
      </c>
    </row>
    <row r="250" customFormat="false" ht="15" hidden="false" customHeight="false" outlineLevel="0" collapsed="false">
      <c r="A250" s="5" t="n">
        <v>211</v>
      </c>
      <c r="B250" s="47" t="n">
        <f aca="false">20*10^(A250/100)</f>
        <v>2576.49910338627</v>
      </c>
      <c r="C250" s="37" t="n">
        <f aca="false">2*PI()*B250</f>
        <v>16188.621310358</v>
      </c>
      <c r="D250" s="37" t="n">
        <f aca="false">SQRT(L_Rp0^2+L_Rp1^2*C250)</f>
        <v>94168753.535421</v>
      </c>
      <c r="E250" s="5" t="str">
        <f aca="false">COMPLEX(D250,C250*L_Mp)</f>
        <v>94168753.535421+239149956.315214i</v>
      </c>
      <c r="F250" s="5" t="str">
        <f aca="false">IMDIV(1,E250)</f>
        <v>1.42549354934318e-09-3.62016812641371e-09i</v>
      </c>
      <c r="G250" s="5" t="str">
        <f aca="false">COMPLEX(0,C250*L_Cf)</f>
        <v>1.71181361006217e-11i</v>
      </c>
      <c r="H250" s="5" t="str">
        <f aca="false">COMPLEX(0,C250*L_Cbv)</f>
        <v>1.71181361006217e-10i</v>
      </c>
      <c r="I250" s="5" t="str">
        <f aca="false">COMPLEX(L_Rsq+L_Rh,C250*(L_Md+L_Mh)-1/(C250*L_Cd))</f>
        <v>552400610.124532-71098753821.9727i</v>
      </c>
      <c r="J250" s="5" t="str">
        <f aca="false">IMDIV(1,I250)</f>
        <v>1.09270758259879e-13+1.40640951495474e-11i</v>
      </c>
      <c r="K250" s="5" t="str">
        <f aca="false">IMSUM(F250,G250,H250)</f>
        <v>1.42549354934318e-09-3.43186862930687e-09i</v>
      </c>
      <c r="L250" s="5" t="str">
        <f aca="false">IMSUM(IMPRODUCT(IMSUM(F250,G250),H250),IMPRODUCT(IMSUM(J250,L_Yv),K250))</f>
        <v>6.68047879918268e-19+2.56827462649191e-19i</v>
      </c>
      <c r="M250" s="37" t="n">
        <f aca="false">IMABS(IMDIV(IMPRODUCT(J250,F250,H250),L250))^2</f>
        <v>1.71293409071088E-022</v>
      </c>
      <c r="N250" s="5" t="str">
        <f aca="false">IMDIV(IMPRODUCT(L_Yv,K250,E250),H250)</f>
        <v>0.000207171257777944-0.0111573851017347i</v>
      </c>
      <c r="O250" s="37" t="n">
        <f aca="false">IMABS(IMSUM(1,IMPRODUCT(E250,G250),N250))^2</f>
        <v>0.992332959908954</v>
      </c>
      <c r="P250" s="37" t="n">
        <f aca="false">IMABS(N250)^2</f>
        <v>0.000124530162238461</v>
      </c>
      <c r="Q250" s="37" t="n">
        <f aca="false">p_Rb^2/(1+(C250*p_Rb*L_Ctot)^2)</f>
        <v>629003043030594</v>
      </c>
      <c r="R250" s="37" t="n">
        <f aca="false">M250*L_Kt^2*Q250</f>
        <v>2.16237406723086E-005</v>
      </c>
      <c r="S250" s="37" t="n">
        <f aca="false">L_kT4*D250</f>
        <v>1.55054690913951E-012</v>
      </c>
      <c r="T250" s="37" t="n">
        <f aca="false">L_kT4*L_Rsq*O250</f>
        <v>5.12588735413375E-012</v>
      </c>
      <c r="U250" s="37" t="n">
        <f aca="false">L_kT4*L_Rh*O250</f>
        <v>3.899994693739E-012</v>
      </c>
      <c r="V250" s="37" t="n">
        <f aca="false">L_kT4*p_Rv*P250</f>
        <v>1.02523316335953E-012</v>
      </c>
      <c r="W250" s="37" t="n">
        <f aca="false">L_kT4/p_Rb*Q250/R250</f>
        <v>4.78960843361131E-013</v>
      </c>
      <c r="X250" s="37" t="n">
        <f aca="false">p_en^2*(1+p_fc/B250)/R250</f>
        <v>3.07458324536565E-012</v>
      </c>
      <c r="Y250" s="37" t="n">
        <f aca="false">p_in^2*Q250/R250</f>
        <v>7.27213497149565E-014</v>
      </c>
      <c r="Z250" s="37" t="n">
        <f aca="false">p_eo^2/L_G^2/R250</f>
        <v>2.93176507520871E-012</v>
      </c>
      <c r="AA250" s="37" t="n">
        <f aca="false">SUM(S250:Z250)</f>
        <v>1.81596926340222E-011</v>
      </c>
      <c r="AB250" s="47" t="n">
        <f aca="false">10*LOG10(AA250/L_PREF^2)</f>
        <v>-13.4295149783</v>
      </c>
      <c r="AC250" s="47" t="n">
        <f aca="false">10*LOG10(S250/L_PREF^2)</f>
        <v>-24.1157508172058</v>
      </c>
      <c r="AD250" s="47" t="n">
        <f aca="false">10*LOG10(T250/L_PREF^2)</f>
        <v>-18.9229093337667</v>
      </c>
      <c r="AE250" s="47" t="n">
        <f aca="false">10*LOG10(U250/L_PREF^2)</f>
        <v>-20.1099597519414</v>
      </c>
      <c r="AF250" s="47" t="n">
        <f aca="false">10*LOG10(V250/L_PREF^2)</f>
        <v>-25.9123734540462</v>
      </c>
      <c r="AG250" s="47" t="n">
        <f aca="false">10*LOG10(W250/L_PREF^2)</f>
        <v>-29.217599814777</v>
      </c>
      <c r="AH250" s="47" t="n">
        <f aca="false">10*LOG10(X250/L_PREF^2)</f>
        <v>-21.1427373512033</v>
      </c>
      <c r="AI250" s="47" t="n">
        <f aca="false">10*LOG10(Y250/L_PREF^2)</f>
        <v>-37.4039806049362</v>
      </c>
      <c r="AJ250" s="47" t="n">
        <f aca="false">10*LOG10(Z250/L_PREF^2)</f>
        <v>-21.3493082434528</v>
      </c>
      <c r="AK250" s="47" t="n">
        <f aca="false">10*LOG10(R250/$R$6)</f>
        <v>0.0615991970267913</v>
      </c>
      <c r="AL250" s="37" t="n">
        <f aca="false">(12194^2*B250^4/((B250^2+20.6^2)*SQRT((B250^2+107.7^2)*(B250^2+737.9^2))*(B250^2+12194^2))*1.2589254)^2</f>
        <v>1.33971623978518</v>
      </c>
      <c r="AM250" s="37" t="n">
        <f aca="false">0.5*(B250-B249)*(S250*AL250+S249*AL249)</f>
        <v>1.21607130907051E-010</v>
      </c>
      <c r="AN250" s="37" t="n">
        <f aca="false">0.5*(B250-B249)*(T250*AL250+T249*AL249)</f>
        <v>4.02866479381396E-010</v>
      </c>
      <c r="AO250" s="37" t="n">
        <f aca="false">0.5*(B250-B249)*(U250*AL250+U249*AL249)</f>
        <v>3.06518076446937E-010</v>
      </c>
      <c r="AP250" s="37" t="n">
        <f aca="false">0.5*(B250-B249)*(V250*AL250+V249*AL249)</f>
        <v>8.26395854213108E-011</v>
      </c>
      <c r="AQ250" s="37" t="n">
        <f aca="false">0.5*(B250-B249)*(W250*AL250+W249*AL249)</f>
        <v>3.85378854016802E-011</v>
      </c>
      <c r="AR250" s="37" t="n">
        <f aca="false">0.5*(B250-B249)*(X250*AL250+X249*AL249)</f>
        <v>2.41792835531433E-010</v>
      </c>
      <c r="AS250" s="37" t="n">
        <f aca="false">0.5*(B250-B249)*(Y250*AL250+Y249*AL249)</f>
        <v>5.85126546442427E-012</v>
      </c>
      <c r="AT250" s="37" t="n">
        <f aca="false">0.5*(B250-B249)*(Z250*AL250+Z249*AL249)</f>
        <v>2.30460932415164E-010</v>
      </c>
      <c r="AU250" s="37" t="n">
        <f aca="false">0.5*(B250-B249)*(AA250*AL250+AA249*AL249)</f>
        <v>1.4302741909694E-009</v>
      </c>
      <c r="AV250" s="37" t="n">
        <f aca="false">0.5*(B250-B249)*(S250+S249)</f>
        <v>9.07619254833957E-011</v>
      </c>
      <c r="AW250" s="37" t="n">
        <f aca="false">0.5*(B250-B249)*(T250+T249)</f>
        <v>3.00680803189172E-010</v>
      </c>
      <c r="AX250" s="37" t="n">
        <f aca="false">0.5*(B250-B249)*(U250+U249)</f>
        <v>2.28770836331639E-010</v>
      </c>
      <c r="AY250" s="37" t="n">
        <f aca="false">0.5*(B250-B249)*(V250+V249)</f>
        <v>6.16781921443404E-011</v>
      </c>
      <c r="AZ250" s="37" t="n">
        <f aca="false">0.5*(B250-B249)*(W250+W249)</f>
        <v>2.87628198498631E-011</v>
      </c>
      <c r="BA250" s="37" t="n">
        <f aca="false">0.5*(B250-B249)*(X250+X249)</f>
        <v>1.80462916036486E-010</v>
      </c>
      <c r="BB250" s="37" t="n">
        <f aca="false">0.5*(B250-B249)*(Y250+Y249)</f>
        <v>4.36710246794244E-012</v>
      </c>
      <c r="BC250" s="37" t="n">
        <f aca="false">0.5*(B250-B249)*(Z250+Z249)</f>
        <v>1.72005318433441E-010</v>
      </c>
      <c r="BD250" s="37" t="n">
        <f aca="false">0.5*(B250-B249)*(AA250+AA249)</f>
        <v>1.06748991393628E-009</v>
      </c>
      <c r="BE250" s="37" t="n">
        <f aca="false">IF(B250&gt;2000,AK250,-999)</f>
        <v>0.0615991970267913</v>
      </c>
      <c r="BF250" s="37" t="n">
        <f aca="false">IF(AND(B250&lt;1000,AK250&gt;=-3),B250,1000000000)</f>
        <v>1000000000</v>
      </c>
    </row>
    <row r="251" customFormat="false" ht="15" hidden="false" customHeight="false" outlineLevel="0" collapsed="false">
      <c r="A251" s="5" t="n">
        <v>212</v>
      </c>
      <c r="B251" s="47" t="n">
        <f aca="false">20*10^(A251/100)</f>
        <v>2636.51347711281</v>
      </c>
      <c r="C251" s="37" t="n">
        <f aca="false">2*PI()*B251</f>
        <v>16565.7027415762</v>
      </c>
      <c r="D251" s="37" t="n">
        <f aca="false">SQRT(L_Rp0^2+L_Rp1^2*C251)</f>
        <v>94538161.4563306</v>
      </c>
      <c r="E251" s="5" t="str">
        <f aca="false">COMPLEX(D251,C251*L_Mp)</f>
        <v>94538161.4563306+244720474.401607i</v>
      </c>
      <c r="F251" s="5" t="str">
        <f aca="false">IMDIV(1,E251)</f>
        <v>1.37359058833493e-09-3.55566191718441e-09i</v>
      </c>
      <c r="G251" s="5" t="str">
        <f aca="false">COMPLEX(0,C251*L_Cf)</f>
        <v>1.75168687126744e-11i</v>
      </c>
      <c r="H251" s="5" t="str">
        <f aca="false">COMPLEX(0,C251*L_Cbv)</f>
        <v>1.75168687126744e-10i</v>
      </c>
      <c r="I251" s="5" t="str">
        <f aca="false">COMPLEX(L_Rsq+L_Rh,C251*(L_Md+L_Mh)-1/(C251*L_Cd))</f>
        <v>552400610.124532-69477539262.1049i</v>
      </c>
      <c r="J251" s="5" t="str">
        <f aca="false">IMDIV(1,I251)</f>
        <v>1.14429457749328e-13+1.43922309240897e-11i</v>
      </c>
      <c r="K251" s="5" t="str">
        <f aca="false">IMSUM(F251,G251,H251)</f>
        <v>1.37359058833493e-09-3.36297636134499e-09i</v>
      </c>
      <c r="L251" s="5" t="str">
        <f aca="false">IMSUM(IMPRODUCT(IMSUM(F251,G251),H251),IMPRODUCT(IMSUM(J251,L_Yv),K251))</f>
        <v>6.7107731579238e-19+2.53268316666612e-19i</v>
      </c>
      <c r="M251" s="37" t="n">
        <f aca="false">IMABS(IMDIV(IMPRODUCT(J251,F251,H251),L251))^2</f>
        <v>1.79502371675459E-022</v>
      </c>
      <c r="N251" s="5" t="str">
        <f aca="false">IMDIV(IMPRODUCT(L_Yv,K251,E251),H251)</f>
        <v>0.000207983955203938-0.0108791806914121i</v>
      </c>
      <c r="O251" s="37" t="n">
        <f aca="false">IMABS(IMSUM(1,IMPRODUCT(E251,G251),N251))^2</f>
        <v>0.99194419811963</v>
      </c>
      <c r="P251" s="37" t="n">
        <f aca="false">IMABS(N251)^2</f>
        <v>0.000118399829842016</v>
      </c>
      <c r="Q251" s="37" t="n">
        <f aca="false">p_Rb^2/(1+(C251*p_Rb*L_Ctot)^2)</f>
        <v>600693242696144</v>
      </c>
      <c r="R251" s="37" t="n">
        <f aca="false">M251*L_Kt^2*Q251</f>
        <v>2.16401547779693E-005</v>
      </c>
      <c r="S251" s="37" t="n">
        <f aca="false">L_kT4*D251</f>
        <v>1.55662943958059E-012</v>
      </c>
      <c r="T251" s="37" t="n">
        <f aca="false">L_kT4*L_Rsq*O251</f>
        <v>5.1238792084607E-012</v>
      </c>
      <c r="U251" s="37" t="n">
        <f aca="false">L_kT4*L_Rh*O251</f>
        <v>3.89846681048132E-012</v>
      </c>
      <c r="V251" s="37" t="n">
        <f aca="false">L_kT4*p_Rv*P251</f>
        <v>9.74763301582452E-013</v>
      </c>
      <c r="W251" s="37" t="n">
        <f aca="false">L_kT4/p_Rb*Q251/R251</f>
        <v>4.57057112422032E-013</v>
      </c>
      <c r="X251" s="37" t="n">
        <f aca="false">p_en^2*(1+p_fc/B251)/R251</f>
        <v>3.06963831458913E-012</v>
      </c>
      <c r="Y251" s="37" t="n">
        <f aca="false">p_in^2*Q251/R251</f>
        <v>6.93956730969965E-014</v>
      </c>
      <c r="Z251" s="37" t="n">
        <f aca="false">p_eo^2/L_G^2/R251</f>
        <v>2.92954132486079E-012</v>
      </c>
      <c r="AA251" s="37" t="n">
        <f aca="false">SUM(S251:Z251)</f>
        <v>1.8079371185074E-011</v>
      </c>
      <c r="AB251" s="47" t="n">
        <f aca="false">10*LOG10(AA251/L_PREF^2)</f>
        <v>-13.4487667003384</v>
      </c>
      <c r="AC251" s="47" t="n">
        <f aca="false">10*LOG10(S251/L_PREF^2)</f>
        <v>-24.0987475159161</v>
      </c>
      <c r="AD251" s="47" t="n">
        <f aca="false">10*LOG10(T251/L_PREF^2)</f>
        <v>-18.9246110829538</v>
      </c>
      <c r="AE251" s="47" t="n">
        <f aca="false">10*LOG10(U251/L_PREF^2)</f>
        <v>-20.1116615011286</v>
      </c>
      <c r="AF251" s="47" t="n">
        <f aca="false">10*LOG10(V251/L_PREF^2)</f>
        <v>-26.1316082106174</v>
      </c>
      <c r="AG251" s="47" t="n">
        <f aca="false">10*LOG10(W251/L_PREF^2)</f>
        <v>-29.4208951979207</v>
      </c>
      <c r="AH251" s="47" t="n">
        <f aca="false">10*LOG10(X251/L_PREF^2)</f>
        <v>-21.1497278433018</v>
      </c>
      <c r="AI251" s="47" t="n">
        <f aca="false">10*LOG10(Y251/L_PREF^2)</f>
        <v>-37.6072759880799</v>
      </c>
      <c r="AJ251" s="47" t="n">
        <f aca="false">10*LOG10(Z251/L_PREF^2)</f>
        <v>-21.3526036267194</v>
      </c>
      <c r="AK251" s="47" t="n">
        <f aca="false">10*LOG10(R251/$R$6)</f>
        <v>0.0648945802934296</v>
      </c>
      <c r="AL251" s="37" t="n">
        <f aca="false">(12194^2*B251^4/((B251^2+20.6^2)*SQRT((B251^2+107.7^2)*(B251^2+737.9^2))*(B251^2+12194^2))*1.2589254)^2</f>
        <v>1.33901671491029</v>
      </c>
      <c r="AM251" s="37" t="n">
        <f aca="false">0.5*(B251-B250)*(S251*AL251+S250*AL250)</f>
        <v>1.24879280576017E-010</v>
      </c>
      <c r="AN251" s="37" t="n">
        <f aca="false">0.5*(B251-B250)*(T251*AL251+T250*AL250)</f>
        <v>4.1194449576499E-010</v>
      </c>
      <c r="AO251" s="37" t="n">
        <f aca="false">0.5*(B251-B250)*(U251*AL251+U250*AL250)</f>
        <v>3.13425020216808E-010</v>
      </c>
      <c r="AP251" s="37" t="n">
        <f aca="false">0.5*(B251-B250)*(V251*AL251+V250*AL250)</f>
        <v>8.03816279529036E-011</v>
      </c>
      <c r="AQ251" s="37" t="n">
        <f aca="false">0.5*(B251-B250)*(W251*AL251+W250*AL250)</f>
        <v>3.76193720158602E-011</v>
      </c>
      <c r="AR251" s="37" t="n">
        <f aca="false">0.5*(B251-B250)*(X251*AL251+X250*AL250)</f>
        <v>2.46940126819656E-010</v>
      </c>
      <c r="AS251" s="37" t="n">
        <f aca="false">0.5*(B251-B250)*(Y251*AL251+Y250*AL250)</f>
        <v>5.71180618696154E-012</v>
      </c>
      <c r="AT251" s="37" t="n">
        <f aca="false">0.5*(B251-B250)*(Z251*AL251+Z250*AL250)</f>
        <v>2.35569562530178E-010</v>
      </c>
      <c r="AU251" s="37" t="n">
        <f aca="false">0.5*(B251-B250)*(AA251*AL251+AA250*AL250)</f>
        <v>1.45647129206337E-009</v>
      </c>
      <c r="AV251" s="37" t="n">
        <f aca="false">0.5*(B251-B250)*(S251+S250)</f>
        <v>9.32376213131882E-011</v>
      </c>
      <c r="AW251" s="37" t="n">
        <f aca="false">0.5*(B251-B250)*(T251+T250)</f>
        <v>3.07566660548705E-010</v>
      </c>
      <c r="AX251" s="37" t="n">
        <f aca="false">0.5*(B251-B250)*(U251+U250)</f>
        <v>2.34009891603184E-010</v>
      </c>
      <c r="AY251" s="37" t="n">
        <f aca="false">0.5*(B251-B250)*(V251+V250)</f>
        <v>6.00142676494006E-011</v>
      </c>
      <c r="AZ251" s="37" t="n">
        <f aca="false">0.5*(B251-B250)*(W251+W250)</f>
        <v>2.80872657065647E-011</v>
      </c>
      <c r="BA251" s="37" t="n">
        <f aca="false">0.5*(B251-B250)*(X251+X250)</f>
        <v>1.84370804478917E-010</v>
      </c>
      <c r="BB251" s="37" t="n">
        <f aca="false">0.5*(B251-B250)*(Y251+Y250)</f>
        <v>4.26453205997038E-012</v>
      </c>
      <c r="BC251" s="37" t="n">
        <f aca="false">0.5*(B251-B250)*(Z251+Z250)</f>
        <v>1.75881316409786E-010</v>
      </c>
      <c r="BD251" s="37" t="n">
        <f aca="false">0.5*(B251-B250)*(AA251+AA250)</f>
        <v>1.08743235976972E-009</v>
      </c>
      <c r="BE251" s="37" t="n">
        <f aca="false">IF(B251&gt;2000,AK251,-999)</f>
        <v>0.0648945802934296</v>
      </c>
      <c r="BF251" s="37" t="n">
        <f aca="false">IF(AND(B251&lt;1000,AK251&gt;=-3),B251,1000000000)</f>
        <v>1000000000</v>
      </c>
    </row>
    <row r="252" customFormat="false" ht="15" hidden="false" customHeight="false" outlineLevel="0" collapsed="false">
      <c r="A252" s="5" t="n">
        <v>213</v>
      </c>
      <c r="B252" s="47" t="n">
        <f aca="false">20*10^(A252/100)</f>
        <v>2697.92576518331</v>
      </c>
      <c r="C252" s="37" t="n">
        <f aca="false">2*PI()*B252</f>
        <v>16951.567527661</v>
      </c>
      <c r="D252" s="37" t="n">
        <f aca="false">SQRT(L_Rp0^2+L_Rp1^2*C252)</f>
        <v>94914685.6454962</v>
      </c>
      <c r="E252" s="5" t="str">
        <f aca="false">COMPLEX(D252,C252*L_Mp)</f>
        <v>94914685.6454962+250420746.522786i</v>
      </c>
      <c r="F252" s="5" t="str">
        <f aca="false">IMDIV(1,E252)</f>
        <v>1.32341813616266e-09-3.49167629188028e-09i</v>
      </c>
      <c r="G252" s="5" t="str">
        <f aca="false">COMPLEX(0,C252*L_Cf)</f>
        <v>1.79248890003817e-11i</v>
      </c>
      <c r="H252" s="5" t="str">
        <f aca="false">COMPLEX(0,C252*L_Cbv)</f>
        <v>1.79248890003817e-10i</v>
      </c>
      <c r="I252" s="5" t="str">
        <f aca="false">COMPLEX(L_Rsq+L_Rh,C252*(L_Md+L_Mh)-1/(C252*L_Cd))</f>
        <v>552400610.124532-67893162613.1978i</v>
      </c>
      <c r="J252" s="5" t="str">
        <f aca="false">IMDIV(1,I252)</f>
        <v>1.19832141689716e-13+1.47280486895074e-11i</v>
      </c>
      <c r="K252" s="5" t="str">
        <f aca="false">IMSUM(F252,G252,H252)</f>
        <v>1.32341813616266e-09-3.29450251287608e-09i</v>
      </c>
      <c r="L252" s="5" t="str">
        <f aca="false">IMSUM(IMPRODUCT(IMSUM(F252,G252),H252),IMPRODUCT(IMSUM(J252,L_Yv),K252))</f>
        <v>6.739931008347e-19+2.49728806346385e-19i</v>
      </c>
      <c r="M252" s="37" t="n">
        <f aca="false">IMABS(IMDIV(IMPRODUCT(J252,F252,H252),L252))^2</f>
        <v>1.88111427566435E-022</v>
      </c>
      <c r="N252" s="5" t="str">
        <f aca="false">IMDIV(IMPRODUCT(L_Yv,K252,E252),H252)</f>
        <v>0.000208812308420079-0.010606744566695i</v>
      </c>
      <c r="O252" s="37" t="n">
        <f aca="false">IMABS(IMSUM(1,IMPRODUCT(E252,G252),N252))^2</f>
        <v>0.991537720750325</v>
      </c>
      <c r="P252" s="37" t="n">
        <f aca="false">IMABS(N252)^2</f>
        <v>0.000112546632883262</v>
      </c>
      <c r="Q252" s="37" t="n">
        <f aca="false">p_Rb^2/(1+(C252*p_Rb*L_Ctot)^2)</f>
        <v>573657593263503</v>
      </c>
      <c r="R252" s="37" t="n">
        <f aca="false">M252*L_Kt^2*Q252</f>
        <v>2.16573517829831E-005</v>
      </c>
      <c r="S252" s="37" t="n">
        <f aca="false">L_kT4*D252</f>
        <v>1.56282914379041E-012</v>
      </c>
      <c r="T252" s="37" t="n">
        <f aca="false">L_kT4*L_Rsq*O252</f>
        <v>5.1217795531119E-012</v>
      </c>
      <c r="U252" s="37" t="n">
        <f aca="false">L_kT4*L_Rh*O252</f>
        <v>3.89686930274202E-012</v>
      </c>
      <c r="V252" s="37" t="n">
        <f aca="false">L_kT4*p_Rv*P252</f>
        <v>9.26575043204539E-013</v>
      </c>
      <c r="W252" s="37" t="n">
        <f aca="false">L_kT4/p_Rb*Q252/R252</f>
        <v>4.36139562238539E-013</v>
      </c>
      <c r="X252" s="37" t="n">
        <f aca="false">p_en^2*(1+p_fc/B252)/R252</f>
        <v>3.06464952119925E-012</v>
      </c>
      <c r="Y252" s="37" t="n">
        <f aca="false">p_in^2*Q252/R252</f>
        <v>6.62197297956628E-014</v>
      </c>
      <c r="Z252" s="37" t="n">
        <f aca="false">p_eo^2/L_G^2/R252</f>
        <v>2.92721512462372E-012</v>
      </c>
      <c r="AA252" s="37" t="n">
        <f aca="false">SUM(S252:Z252)</f>
        <v>1.80022769807061E-011</v>
      </c>
      <c r="AB252" s="47" t="n">
        <f aca="false">10*LOG10(AA252/L_PREF^2)</f>
        <v>-13.467325519127</v>
      </c>
      <c r="AC252" s="47" t="n">
        <f aca="false">10*LOG10(S252/L_PREF^2)</f>
        <v>-24.0814848993381</v>
      </c>
      <c r="AD252" s="47" t="n">
        <f aca="false">10*LOG10(T252/L_PREF^2)</f>
        <v>-18.9263910929383</v>
      </c>
      <c r="AE252" s="47" t="n">
        <f aca="false">10*LOG10(U252/L_PREF^2)</f>
        <v>-20.113441511113</v>
      </c>
      <c r="AF252" s="47" t="n">
        <f aca="false">10*LOG10(V252/L_PREF^2)</f>
        <v>-26.3517939278925</v>
      </c>
      <c r="AG252" s="47" t="n">
        <f aca="false">10*LOG10(W252/L_PREF^2)</f>
        <v>-29.6243450799645</v>
      </c>
      <c r="AH252" s="47" t="n">
        <f aca="false">10*LOG10(X252/L_PREF^2)</f>
        <v>-21.156791763275</v>
      </c>
      <c r="AI252" s="47" t="n">
        <f aca="false">10*LOG10(Y252/L_PREF^2)</f>
        <v>-37.8107258701237</v>
      </c>
      <c r="AJ252" s="47" t="n">
        <f aca="false">10*LOG10(Z252/L_PREF^2)</f>
        <v>-21.3560535088807</v>
      </c>
      <c r="AK252" s="47" t="n">
        <f aca="false">10*LOG10(R252/$R$6)</f>
        <v>0.0683444624546521</v>
      </c>
      <c r="AL252" s="37" t="n">
        <f aca="false">(12194^2*B252^4/((B252^2+20.6^2)*SQRT((B252^2+107.7^2)*(B252^2+737.9^2))*(B252^2+12194^2))*1.2589254)^2</f>
        <v>1.33787911631432</v>
      </c>
      <c r="AM252" s="37" t="n">
        <f aca="false">0.5*(B252-B251)*(S252*AL252+S251*AL251)</f>
        <v>1.28205192645643E-010</v>
      </c>
      <c r="AN252" s="37" t="n">
        <f aca="false">0.5*(B252-B251)*(T252*AL252+T251*AL251)</f>
        <v>4.21082006385741E-010</v>
      </c>
      <c r="AO252" s="37" t="n">
        <f aca="false">0.5*(B252-B251)*(U252*AL252+U251*AL251)</f>
        <v>3.2037722975106E-010</v>
      </c>
      <c r="AP252" s="37" t="n">
        <f aca="false">0.5*(B252-B251)*(V252*AL252+V251*AL251)</f>
        <v>7.81431372142381E-011</v>
      </c>
      <c r="AQ252" s="37" t="n">
        <f aca="false">0.5*(B252-B251)*(W252*AL252+W251*AL251)</f>
        <v>3.67094753975004E-011</v>
      </c>
      <c r="AR252" s="37" t="n">
        <f aca="false">0.5*(B252-B251)*(X252*AL252+X251*AL251)</f>
        <v>2.52110572636201E-010</v>
      </c>
      <c r="AS252" s="37" t="n">
        <f aca="false">0.5*(B252-B251)*(Y252*AL252+Y251*AL251)</f>
        <v>5.57365520634304E-012</v>
      </c>
      <c r="AT252" s="37" t="n">
        <f aca="false">0.5*(B252-B251)*(Z252*AL252+Z251*AL251)</f>
        <v>2.40704381781649E-010</v>
      </c>
      <c r="AU252" s="37" t="n">
        <f aca="false">0.5*(B252-B251)*(AA252*AL252+AA251*AL251)</f>
        <v>1.48290565101838E-009</v>
      </c>
      <c r="AV252" s="37" t="n">
        <f aca="false">0.5*(B252-B251)*(S252+S251)</f>
        <v>9.57865445729742E-011</v>
      </c>
      <c r="AW252" s="37" t="n">
        <f aca="false">0.5*(B252-B251)*(T252+T251)</f>
        <v>3.14604673668827E-010</v>
      </c>
      <c r="AX252" s="37" t="n">
        <f aca="false">0.5*(B252-B251)*(U252+U251)</f>
        <v>2.3936471349579E-010</v>
      </c>
      <c r="AY252" s="37" t="n">
        <f aca="false">0.5*(B252-B251)*(V252+V251)</f>
        <v>5.83827690747653E-011</v>
      </c>
      <c r="AZ252" s="37" t="n">
        <f aca="false">0.5*(B252-B251)*(W252+W251)</f>
        <v>2.74266257439301E-011</v>
      </c>
      <c r="BA252" s="37" t="n">
        <f aca="false">0.5*(B252-B251)*(X252+X251)</f>
        <v>1.88360325839375E-010</v>
      </c>
      <c r="BB252" s="37" t="n">
        <f aca="false">0.5*(B252-B251)*(Y252+Y251)</f>
        <v>4.16422609461989E-012</v>
      </c>
      <c r="BC252" s="37" t="n">
        <f aca="false">0.5*(B252-B251)*(Z252+Z251)</f>
        <v>1.79838407117226E-010</v>
      </c>
      <c r="BD252" s="37" t="n">
        <f aca="false">0.5*(B252-B251)*(AA252+AA251)</f>
        <v>1.10792828560751E-009</v>
      </c>
      <c r="BE252" s="37" t="n">
        <f aca="false">IF(B252&gt;2000,AK252,-999)</f>
        <v>0.0683444624546521</v>
      </c>
      <c r="BF252" s="37" t="n">
        <f aca="false">IF(AND(B252&lt;1000,AK252&gt;=-3),B252,1000000000)</f>
        <v>1000000000</v>
      </c>
    </row>
    <row r="253" customFormat="false" ht="15" hidden="false" customHeight="false" outlineLevel="0" collapsed="false">
      <c r="A253" s="5" t="n">
        <v>214</v>
      </c>
      <c r="B253" s="47" t="n">
        <f aca="false">20*10^(A253/100)</f>
        <v>2760.76852920577</v>
      </c>
      <c r="C253" s="37" t="n">
        <f aca="false">2*PI()*B253</f>
        <v>17346.4202592295</v>
      </c>
      <c r="D253" s="37" t="n">
        <f aca="false">SQRT(L_Rp0^2+L_Rp1^2*C253)</f>
        <v>95298440.1936538</v>
      </c>
      <c r="E253" s="5" t="str">
        <f aca="false">COMPLEX(D253,C253*L_Mp)</f>
        <v>95298440.1936538+256253795.038482i</v>
      </c>
      <c r="F253" s="5" t="str">
        <f aca="false">IMDIV(1,E253)</f>
        <v>1.27493304111401e-09-3.42824530539561e-09i</v>
      </c>
      <c r="G253" s="5" t="str">
        <f aca="false">COMPLEX(0,C253*L_Cf)</f>
        <v>1.8342413301501e-11i</v>
      </c>
      <c r="H253" s="5" t="str">
        <f aca="false">COMPLEX(0,C253*L_Cbv)</f>
        <v>1.8342413301501e-10i</v>
      </c>
      <c r="I253" s="5" t="str">
        <f aca="false">COMPLEX(L_Rsq+L_Rh,C253*(L_Md+L_Mh)-1/(C253*L_Cd))</f>
        <v>552400610.124532-66344783817.7804i</v>
      </c>
      <c r="J253" s="5" t="str">
        <f aca="false">IMDIV(1,I253)</f>
        <v>1.25490392089686e-13+1.50717301570717e-11i</v>
      </c>
      <c r="K253" s="5" t="str">
        <f aca="false">IMSUM(F253,G253,H253)</f>
        <v>1.27493304111401e-09-3.2264787590791e-09i</v>
      </c>
      <c r="L253" s="5" t="str">
        <f aca="false">IMSUM(IMPRODUCT(IMSUM(F253,G253),H253),IMPRODUCT(IMSUM(J253,L_Yv),K253))</f>
        <v>6.76796956791546e-19+2.46211084879828e-19i</v>
      </c>
      <c r="M253" s="37" t="n">
        <f aca="false">IMABS(IMDIV(IMPRODUCT(J253,F253,H253),L253))^2</f>
        <v>1.97140732760647E-022</v>
      </c>
      <c r="N253" s="5" t="str">
        <f aca="false">IMDIV(IMPRODUCT(L_Yv,K253,E253),H253)</f>
        <v>0.000209656568426038-0.0103399322783441i</v>
      </c>
      <c r="O253" s="37" t="n">
        <f aca="false">IMABS(IMSUM(1,IMPRODUCT(E253,G253),N253))^2</f>
        <v>0.991112674337104</v>
      </c>
      <c r="P253" s="37" t="n">
        <f aca="false">IMABS(N253)^2</f>
        <v>0.000106958155397426</v>
      </c>
      <c r="Q253" s="37" t="n">
        <f aca="false">p_Rb^2/(1+(C253*p_Rb*L_Ctot)^2)</f>
        <v>547838748495689</v>
      </c>
      <c r="R253" s="37" t="n">
        <f aca="false">M253*L_Kt^2*Q253</f>
        <v>2.16753709207103E-005</v>
      </c>
      <c r="S253" s="37" t="n">
        <f aca="false">L_kT4*D253</f>
        <v>1.56914790034367E-012</v>
      </c>
      <c r="T253" s="37" t="n">
        <f aca="false">L_kT4*L_Rsq*O253</f>
        <v>5.11958397952675E-012</v>
      </c>
      <c r="U253" s="37" t="n">
        <f aca="false">L_kT4*L_Rh*O253</f>
        <v>3.89519881629934E-012</v>
      </c>
      <c r="V253" s="37" t="n">
        <f aca="false">L_kT4*p_Rv*P253</f>
        <v>8.80566169947031E-013</v>
      </c>
      <c r="W253" s="37" t="n">
        <f aca="false">L_kT4/p_Rb*Q253/R253</f>
        <v>4.16163795893473E-013</v>
      </c>
      <c r="X253" s="37" t="n">
        <f aca="false">p_en^2*(1+p_fc/B253)/R253</f>
        <v>3.05961062049806E-012</v>
      </c>
      <c r="Y253" s="37" t="n">
        <f aca="false">p_in^2*Q253/R253</f>
        <v>6.3186778959829E-014</v>
      </c>
      <c r="Z253" s="37" t="n">
        <f aca="false">p_eo^2/L_G^2/R253</f>
        <v>2.92478167641743E-012</v>
      </c>
      <c r="AA253" s="37" t="n">
        <f aca="false">SUM(S253:Z253)</f>
        <v>1.79282397378856E-011</v>
      </c>
      <c r="AB253" s="47" t="n">
        <f aca="false">10*LOG10(AA253/L_PREF^2)</f>
        <v>-13.4852234034086</v>
      </c>
      <c r="AC253" s="47" t="n">
        <f aca="false">10*LOG10(S253/L_PREF^2)</f>
        <v>-24.0639611130003</v>
      </c>
      <c r="AD253" s="47" t="n">
        <f aca="false">10*LOG10(T253/L_PREF^2)</f>
        <v>-18.9282531994912</v>
      </c>
      <c r="AE253" s="47" t="n">
        <f aca="false">10*LOG10(U253/L_PREF^2)</f>
        <v>-20.1153036176659</v>
      </c>
      <c r="AF253" s="47" t="n">
        <f aca="false">10*LOG10(V253/L_PREF^2)</f>
        <v>-26.5729799483715</v>
      </c>
      <c r="AG253" s="47" t="n">
        <f aca="false">10*LOG10(W253/L_PREF^2)</f>
        <v>-29.8279569519187</v>
      </c>
      <c r="AH253" s="47" t="n">
        <f aca="false">10*LOG10(X253/L_PREF^2)</f>
        <v>-21.1639383155525</v>
      </c>
      <c r="AI253" s="47" t="n">
        <f aca="false">10*LOG10(Y253/L_PREF^2)</f>
        <v>-38.0143377420779</v>
      </c>
      <c r="AJ253" s="47" t="n">
        <f aca="false">10*LOG10(Z253/L_PREF^2)</f>
        <v>-21.359665380947</v>
      </c>
      <c r="AK253" s="47" t="n">
        <f aca="false">10*LOG10(R253/$R$6)</f>
        <v>0.0719563345210016</v>
      </c>
      <c r="AL253" s="37" t="n">
        <f aca="false">(12194^2*B253^4/((B253^2+20.6^2)*SQRT((B253^2+107.7^2)*(B253^2+737.9^2))*(B253^2+12194^2))*1.2589254)^2</f>
        <v>1.33630184756692</v>
      </c>
      <c r="AM253" s="37" t="n">
        <f aca="false">0.5*(B253-B252)*(S253*AL253+S252*AL252)</f>
        <v>1.31584317888946E-010</v>
      </c>
      <c r="AN253" s="37" t="n">
        <f aca="false">0.5*(B253-B252)*(T253*AL253+T252*AL252)</f>
        <v>4.30272824380126E-010</v>
      </c>
      <c r="AO253" s="37" t="n">
        <f aca="false">0.5*(B253-B252)*(U253*AL253+U252*AL252)</f>
        <v>3.27369997818879E-010</v>
      </c>
      <c r="AP253" s="37" t="n">
        <f aca="false">0.5*(B253-B252)*(V253*AL253+V252*AL252)</f>
        <v>7.59249810054447E-011</v>
      </c>
      <c r="AQ253" s="37" t="n">
        <f aca="false">0.5*(B253-B252)*(W253*AL253+W252*AL252)</f>
        <v>3.58085127101253E-011</v>
      </c>
      <c r="AR253" s="37" t="n">
        <f aca="false">0.5*(B253-B252)*(X253*AL253+X252*AL252)</f>
        <v>2.57300079778137E-010</v>
      </c>
      <c r="AS253" s="37" t="n">
        <f aca="false">0.5*(B253-B252)*(Y253*AL253+Y252*AL252)</f>
        <v>5.43686067798672E-012</v>
      </c>
      <c r="AT253" s="37" t="n">
        <f aca="false">0.5*(B253-B252)*(Z253*AL253+Z252*AL252)</f>
        <v>2.45861352641175E-010</v>
      </c>
      <c r="AU253" s="37" t="n">
        <f aca="false">0.5*(B253-B252)*(AA253*AL253+AA252*AL252)</f>
        <v>1.50955892690082E-009</v>
      </c>
      <c r="AV253" s="37" t="n">
        <f aca="false">0.5*(B253-B252)*(S253+S252)</f>
        <v>9.84110471541464E-011</v>
      </c>
      <c r="AW253" s="37" t="n">
        <f aca="false">0.5*(B253-B252)*(T253+T252)</f>
        <v>3.2179779587494E-010</v>
      </c>
      <c r="AX253" s="37" t="n">
        <f aca="false">0.5*(B253-B252)*(U253+U252)</f>
        <v>2.44837549025941E-010</v>
      </c>
      <c r="AY253" s="37" t="n">
        <f aca="false">0.5*(B253-B252)*(V253+V252)</f>
        <v>5.67828744066767E-011</v>
      </c>
      <c r="AZ253" s="37" t="n">
        <f aca="false">0.5*(B253-B252)*(W253+W252)</f>
        <v>2.67805494053219E-011</v>
      </c>
      <c r="BA253" s="37" t="n">
        <f aca="false">0.5*(B253-B252)*(X253+X252)</f>
        <v>1.92432717448433E-010</v>
      </c>
      <c r="BB253" s="37" t="n">
        <f aca="false">0.5*(B253-B252)*(Y253+Y252)</f>
        <v>4.06613134634615E-012</v>
      </c>
      <c r="BC253" s="37" t="n">
        <f aca="false">0.5*(B253-B252)*(Z253+Z252)</f>
        <v>1.83877827014022E-010</v>
      </c>
      <c r="BD253" s="37" t="n">
        <f aca="false">0.5*(B253-B252)*(AA253+AA252)</f>
        <v>1.12898649167583E-009</v>
      </c>
      <c r="BE253" s="37" t="n">
        <f aca="false">IF(B253&gt;2000,AK253,-999)</f>
        <v>0.0719563345210016</v>
      </c>
      <c r="BF253" s="37" t="n">
        <f aca="false">IF(AND(B253&lt;1000,AK253&gt;=-3),B253,1000000000)</f>
        <v>1000000000</v>
      </c>
    </row>
    <row r="254" customFormat="false" ht="15" hidden="false" customHeight="false" outlineLevel="0" collapsed="false">
      <c r="A254" s="5" t="n">
        <v>215</v>
      </c>
      <c r="B254" s="47" t="n">
        <f aca="false">20*10^(A254/100)</f>
        <v>2825.07508924551</v>
      </c>
      <c r="C254" s="37" t="n">
        <f aca="false">2*PI()*B254</f>
        <v>17750.4702924264</v>
      </c>
      <c r="D254" s="37" t="n">
        <f aca="false">SQRT(L_Rp0^2+L_Rp1^2*C254)</f>
        <v>95689540.3428152</v>
      </c>
      <c r="E254" s="5" t="str">
        <f aca="false">COMPLEX(D254,C254*L_Mp)</f>
        <v>95689540.3428152+262222712.708227i</v>
      </c>
      <c r="F254" s="5" t="str">
        <f aca="false">IMDIV(1,E254)</f>
        <v>1.2280920286222e-09-3.36540046118888e-09i</v>
      </c>
      <c r="G254" s="5" t="str">
        <f aca="false">COMPLEX(0,C254*L_Cf)</f>
        <v>1.87696629929433e-11i</v>
      </c>
      <c r="H254" s="5" t="str">
        <f aca="false">COMPLEX(0,C254*L_Cbv)</f>
        <v>1.87696629929433e-10i</v>
      </c>
      <c r="I254" s="5" t="str">
        <f aca="false">COMPLEX(L_Rsq+L_Rh,C254*(L_Md+L_Mh)-1/(C254*L_Cd))</f>
        <v>552400610.124532-64831581904.9203i</v>
      </c>
      <c r="J254" s="5" t="str">
        <f aca="false">IMDIV(1,I254)</f>
        <v>1.3141634487024e-13+1.54234614697104e-11i</v>
      </c>
      <c r="K254" s="5" t="str">
        <f aca="false">IMSUM(F254,G254,H254)</f>
        <v>1.2280920286222e-09-3.1589341682665e-09i</v>
      </c>
      <c r="L254" s="5" t="str">
        <f aca="false">IMSUM(IMPRODUCT(IMSUM(F254,G254),H254),IMPRODUCT(IMSUM(J254,L_Yv),K254))</f>
        <v>6.79490597291847e-19+2.42717161181689e-19i</v>
      </c>
      <c r="M254" s="37" t="n">
        <f aca="false">IMABS(IMDIV(IMPRODUCT(J254,F254,H254),L254))^2</f>
        <v>2.06611522383144E-022</v>
      </c>
      <c r="N254" s="5" t="str">
        <f aca="false">IMDIV(IMPRODUCT(L_Yv,K254,E254),H254)</f>
        <v>0.000210516988754204-0.0100786023589522i</v>
      </c>
      <c r="O254" s="37" t="n">
        <f aca="false">IMABS(IMSUM(1,IMPRODUCT(E254,G254),N254))^2</f>
        <v>0.990668167073783</v>
      </c>
      <c r="P254" s="37" t="n">
        <f aca="false">IMABS(N254)^2</f>
        <v>0.000101622542912431</v>
      </c>
      <c r="Q254" s="37" t="n">
        <f aca="false">p_Rb^2/(1+(C254*p_Rb*L_Ctot)^2)</f>
        <v>523181943161546</v>
      </c>
      <c r="R254" s="37" t="n">
        <f aca="false">M254*L_Kt^2*Q254</f>
        <v>2.16942534373914E-005</v>
      </c>
      <c r="S254" s="37" t="n">
        <f aca="false">L_kT4*D254</f>
        <v>1.57558760677154E-012</v>
      </c>
      <c r="T254" s="37" t="n">
        <f aca="false">L_kT4*L_Rsq*O254</f>
        <v>5.1172878810881E-012</v>
      </c>
      <c r="U254" s="37" t="n">
        <f aca="false">L_kT4*L_Rh*O254</f>
        <v>3.89345184624159E-012</v>
      </c>
      <c r="V254" s="37" t="n">
        <f aca="false">L_kT4*p_Rv*P254</f>
        <v>8.36639086193799E-013</v>
      </c>
      <c r="W254" s="37" t="n">
        <f aca="false">L_kT4/p_Rb*Q254/R254</f>
        <v>3.97087416638603E-013</v>
      </c>
      <c r="X254" s="37" t="n">
        <f aca="false">p_en^2*(1+p_fc/B254)/R254</f>
        <v>3.05451518307686E-012</v>
      </c>
      <c r="Y254" s="37" t="n">
        <f aca="false">p_in^2*Q254/R254</f>
        <v>6.02903834270473E-014</v>
      </c>
      <c r="Z254" s="37" t="n">
        <f aca="false">p_eo^2/L_G^2/R254</f>
        <v>2.92223596822088E-012</v>
      </c>
      <c r="AA254" s="37" t="n">
        <f aca="false">SUM(S254:Z254)</f>
        <v>1.78570953716584E-011</v>
      </c>
      <c r="AB254" s="47" t="n">
        <f aca="false">10*LOG10(AA254/L_PREF^2)</f>
        <v>-13.50249173206</v>
      </c>
      <c r="AC254" s="47" t="n">
        <f aca="false">10*LOG10(S254/L_PREF^2)</f>
        <v>-24.0461743524309</v>
      </c>
      <c r="AD254" s="47" t="n">
        <f aca="false">10*LOG10(T254/L_PREF^2)</f>
        <v>-18.9302014174862</v>
      </c>
      <c r="AE254" s="47" t="n">
        <f aca="false">10*LOG10(U254/L_PREF^2)</f>
        <v>-20.1172518356609</v>
      </c>
      <c r="AF254" s="47" t="n">
        <f aca="false">10*LOG10(V254/L_PREF^2)</f>
        <v>-26.7952184119361</v>
      </c>
      <c r="AG254" s="47" t="n">
        <f aca="false">10*LOG10(W254/L_PREF^2)</f>
        <v>-30.0317386646757</v>
      </c>
      <c r="AH254" s="47" t="n">
        <f aca="false">10*LOG10(X254/L_PREF^2)</f>
        <v>-21.1711770310724</v>
      </c>
      <c r="AI254" s="47" t="n">
        <f aca="false">10*LOG10(Y254/L_PREF^2)</f>
        <v>-38.2181194548349</v>
      </c>
      <c r="AJ254" s="47" t="n">
        <f aca="false">10*LOG10(Z254/L_PREF^2)</f>
        <v>-21.3634470938111</v>
      </c>
      <c r="AK254" s="47" t="n">
        <f aca="false">10*LOG10(R254/$R$6)</f>
        <v>0.0757380473850631</v>
      </c>
      <c r="AL254" s="37" t="n">
        <f aca="false">(12194^2*B254^4/((B254^2+20.6^2)*SQRT((B254^2+107.7^2)*(B254^2+737.9^2))*(B254^2+12194^2))*1.2589254)^2</f>
        <v>1.33428311756425</v>
      </c>
      <c r="AM254" s="37" t="n">
        <f aca="false">0.5*(B254-B253)*(S254*AL254+S253*AL253)</f>
        <v>1.35015969357573E-010</v>
      </c>
      <c r="AN254" s="37" t="n">
        <f aca="false">0.5*(B254-B253)*(T254*AL254+T253*AL253)</f>
        <v>4.39510269826238E-010</v>
      </c>
      <c r="AO254" s="37" t="n">
        <f aca="false">0.5*(B254-B253)*(U254*AL254+U253*AL253)</f>
        <v>3.34398242049507E-010</v>
      </c>
      <c r="AP254" s="37" t="n">
        <f aca="false">0.5*(B254-B253)*(V254*AL254+V253*AL253)</f>
        <v>7.3727972934208E-011</v>
      </c>
      <c r="AQ254" s="37" t="n">
        <f aca="false">0.5*(B254-B253)*(W254*AL254+W253*AL253)</f>
        <v>3.49167735901152E-011</v>
      </c>
      <c r="AR254" s="37" t="n">
        <f aca="false">0.5*(B254-B253)*(X254*AL254+X253*AL253)</f>
        <v>2.62504244999774E-010</v>
      </c>
      <c r="AS254" s="37" t="n">
        <f aca="false">0.5*(B254-B253)*(Y254*AL254+Y253*AL253)</f>
        <v>5.30146657782253E-012</v>
      </c>
      <c r="AT254" s="37" t="n">
        <f aca="false">0.5*(B254-B253)*(Z254*AL254+Z253*AL253)</f>
        <v>2.51036131712693E-010</v>
      </c>
      <c r="AU254" s="37" t="n">
        <f aca="false">0.5*(B254-B253)*(AA254*AL254+AA253*AL253)</f>
        <v>1.53641107104793E-009</v>
      </c>
      <c r="AV254" s="37" t="n">
        <f aca="false">0.5*(B254-B253)*(S254+S253)</f>
        <v>1.01113561348699E-010</v>
      </c>
      <c r="AW254" s="37" t="n">
        <f aca="false">0.5*(B254-B253)*(T254+T253)</f>
        <v>3.29149007461865E-010</v>
      </c>
      <c r="AX254" s="37" t="n">
        <f aca="false">0.5*(B254-B253)*(U254+U253)</f>
        <v>2.50430665729615E-010</v>
      </c>
      <c r="AY254" s="37" t="n">
        <f aca="false">0.5*(B254-B253)*(V254+V253)</f>
        <v>5.52137814522866E-011</v>
      </c>
      <c r="AZ254" s="37" t="n">
        <f aca="false">0.5*(B254-B253)*(W254+W253)</f>
        <v>2.61486939630417E-011</v>
      </c>
      <c r="BA254" s="37" t="n">
        <f aca="false">0.5*(B254-B253)*(X254+X253)</f>
        <v>1.9658919903905E-010</v>
      </c>
      <c r="BB254" s="37" t="n">
        <f aca="false">0.5*(B254-B253)*(Y254+Y253)</f>
        <v>3.97019577828405E-012</v>
      </c>
      <c r="BC254" s="37" t="n">
        <f aca="false">0.5*(B254-B253)*(Z254+Z253)</f>
        <v>1.88000795609169E-010</v>
      </c>
      <c r="BD254" s="37" t="n">
        <f aca="false">0.5*(B254-B253)*(AA254+AA253)</f>
        <v>1.15061590038201E-009</v>
      </c>
      <c r="BE254" s="37" t="n">
        <f aca="false">IF(B254&gt;2000,AK254,-999)</f>
        <v>0.0757380473850631</v>
      </c>
      <c r="BF254" s="37" t="n">
        <f aca="false">IF(AND(B254&lt;1000,AK254&gt;=-3),B254,1000000000)</f>
        <v>1000000000</v>
      </c>
    </row>
    <row r="255" customFormat="false" ht="15" hidden="false" customHeight="false" outlineLevel="0" collapsed="false">
      <c r="A255" s="5" t="n">
        <v>216</v>
      </c>
      <c r="B255" s="47" t="n">
        <f aca="false">20*10^(A255/100)</f>
        <v>2890.87954149186</v>
      </c>
      <c r="C255" s="37" t="n">
        <f aca="false">2*PI()*B255</f>
        <v>18163.9318599277</v>
      </c>
      <c r="D255" s="37" t="n">
        <f aca="false">SQRT(L_Rp0^2+L_Rp1^2*C255)</f>
        <v>96088102.4826455</v>
      </c>
      <c r="E255" s="5" t="str">
        <f aca="false">COMPLEX(D255,C255*L_Mp)</f>
        <v>96088102.4826455+268330664.331178i</v>
      </c>
      <c r="F255" s="5" t="str">
        <f aca="false">IMDIV(1,E255)</f>
        <v>1.18285181650712e-09-3.30317079355397e-09i</v>
      </c>
      <c r="G255" s="5" t="str">
        <f aca="false">COMPLEX(0,C255*L_Cf)</f>
        <v>1.92068646081502e-11i</v>
      </c>
      <c r="H255" s="5" t="str">
        <f aca="false">COMPLEX(0,C255*L_Cbv)</f>
        <v>1.92068646081503e-10i</v>
      </c>
      <c r="I255" s="5" t="str">
        <f aca="false">COMPLEX(L_Rsq+L_Rh,C255*(L_Md+L_Mh)-1/(C255*L_Cd))</f>
        <v>552400610.124532-63352754554.9336i</v>
      </c>
      <c r="J255" s="5" t="str">
        <f aca="false">IMDIV(1,I255)</f>
        <v>1.37622716752062e-13+1.57834333195451e-11i</v>
      </c>
      <c r="K255" s="5" t="str">
        <f aca="false">IMSUM(F255,G255,H255)</f>
        <v>1.18285181650712e-09-3.09189528286432e-09i</v>
      </c>
      <c r="L255" s="5" t="str">
        <f aca="false">IMSUM(IMPRODUCT(IMSUM(F255,G255),H255),IMPRODUCT(IMSUM(J255,L_Yv),K255))</f>
        <v>6.82075719554739e-19+2.39248904089843e-19i</v>
      </c>
      <c r="M255" s="37" t="n">
        <f aca="false">IMABS(IMDIV(IMPRODUCT(J255,F255,H255),L255))^2</f>
        <v>2.16546174552566E-022</v>
      </c>
      <c r="N255" s="5" t="str">
        <f aca="false">IMDIV(IMPRODUCT(L_Yv,K255,E255),H255)</f>
        <v>0.000211393825461825-0.00982261624793725i</v>
      </c>
      <c r="O255" s="37" t="n">
        <f aca="false">IMABS(IMSUM(1,IMPRODUCT(E255,G255),N255))^2</f>
        <v>0.990203267025318</v>
      </c>
      <c r="P255" s="37" t="n">
        <f aca="false">IMABS(N255)^2</f>
        <v>9.65284773036843E-005</v>
      </c>
      <c r="Q255" s="37" t="n">
        <f aca="false">p_Rb^2/(1+(C255*p_Rb*L_Ctot)^2)</f>
        <v>499634876871329</v>
      </c>
      <c r="R255" s="37" t="n">
        <f aca="false">M255*L_Kt^2*Q255</f>
        <v>2.17140427064777E-005</v>
      </c>
      <c r="S255" s="37" t="n">
        <f aca="false">L_kT4*D255</f>
        <v>1.58215017950201E-012</v>
      </c>
      <c r="T255" s="37" t="n">
        <f aca="false">L_kT4*L_Rsq*O255</f>
        <v>5.11488644389348E-012</v>
      </c>
      <c r="U255" s="37" t="n">
        <f aca="false">L_kT4*L_Rh*O255</f>
        <v>3.89162472994556E-012</v>
      </c>
      <c r="V255" s="37" t="n">
        <f aca="false">L_kT4*p_Rv*P255</f>
        <v>7.94700611975675E-013</v>
      </c>
      <c r="W255" s="37" t="n">
        <f aca="false">L_kT4/p_Rb*Q255/R255</f>
        <v>3.78869937741504E-013</v>
      </c>
      <c r="X255" s="37" t="n">
        <f aca="false">p_en^2*(1+p_fc/B255)/R255</f>
        <v>3.04935658467632E-012</v>
      </c>
      <c r="Y255" s="37" t="n">
        <f aca="false">p_in^2*Q255/R255</f>
        <v>5.75243960354603E-014</v>
      </c>
      <c r="Z255" s="37" t="n">
        <f aca="false">p_eo^2/L_G^2/R255</f>
        <v>2.91957276474971E-012</v>
      </c>
      <c r="AA255" s="37" t="n">
        <f aca="false">SUM(S255:Z255)</f>
        <v>1.77886856485197E-011</v>
      </c>
      <c r="AB255" s="47" t="n">
        <f aca="false">10*LOG10(AA255/L_PREF^2)</f>
        <v>-13.5191613074727</v>
      </c>
      <c r="AC255" s="47" t="n">
        <f aca="false">10*LOG10(S255/L_PREF^2)</f>
        <v>-24.0281228648145</v>
      </c>
      <c r="AD255" s="47" t="n">
        <f aca="false">10*LOG10(T255/L_PREF^2)</f>
        <v>-18.9322399498807</v>
      </c>
      <c r="AE255" s="47" t="n">
        <f aca="false">10*LOG10(U255/L_PREF^2)</f>
        <v>-20.1192903680554</v>
      </c>
      <c r="AF255" s="47" t="n">
        <f aca="false">10*LOG10(V255/L_PREF^2)</f>
        <v>-27.0185644387347</v>
      </c>
      <c r="AG255" s="47" t="n">
        <f aca="false">10*LOG10(W255/L_PREF^2)</f>
        <v>-30.2356984472528</v>
      </c>
      <c r="AH255" s="47" t="n">
        <f aca="false">10*LOG10(X255/L_PREF^2)</f>
        <v>-21.17851778605</v>
      </c>
      <c r="AI255" s="47" t="n">
        <f aca="false">10*LOG10(Y255/L_PREF^2)</f>
        <v>-38.4220792374119</v>
      </c>
      <c r="AJ255" s="47" t="n">
        <f aca="false">10*LOG10(Z255/L_PREF^2)</f>
        <v>-21.3674068764904</v>
      </c>
      <c r="AK255" s="47" t="n">
        <f aca="false">10*LOG10(R255/$R$6)</f>
        <v>0.0796978300643987</v>
      </c>
      <c r="AL255" s="37" t="n">
        <f aca="false">(12194^2*B255^4/((B255^2+20.6^2)*SQRT((B255^2+107.7^2)*(B255^2+737.9^2))*(B255^2+12194^2))*1.2589254)^2</f>
        <v>1.33182094652129</v>
      </c>
      <c r="AM255" s="37" t="n">
        <f aca="false">0.5*(B255-B254)*(S255*AL255+S254*AL254)</f>
        <v>1.38499311507142E-010</v>
      </c>
      <c r="AN255" s="37" t="n">
        <f aca="false">0.5*(B255-B254)*(T255*AL255+T254*AL254)</f>
        <v>4.48787145172407E-010</v>
      </c>
      <c r="AO255" s="37" t="n">
        <f aca="false">0.5*(B255-B254)*(U255*AL255+U254*AL254)</f>
        <v>3.41456486237289E-010</v>
      </c>
      <c r="AP255" s="37" t="n">
        <f aca="false">0.5*(B255-B254)*(V255*AL255+V254*AL254)</f>
        <v>7.15528768162621E-011</v>
      </c>
      <c r="AQ255" s="37" t="n">
        <f aca="false">0.5*(B255-B254)*(W255*AL255+W254*AL254)</f>
        <v>3.4034521862558E-011</v>
      </c>
      <c r="AR255" s="37" t="n">
        <f aca="false">0.5*(B255-B254)*(X255*AL255+X254*AL254)</f>
        <v>2.67718340446533E-010</v>
      </c>
      <c r="AS255" s="37" t="n">
        <f aca="false">0.5*(B255-B254)*(Y255*AL255+Y254*AL254)</f>
        <v>5.16751296281283E-012</v>
      </c>
      <c r="AT255" s="37" t="n">
        <f aca="false">0.5*(B255-B254)*(Z255*AL255+Z254*AL254)</f>
        <v>2.56224055239185E-010</v>
      </c>
      <c r="AU255" s="37" t="n">
        <f aca="false">0.5*(B255-B254)*(AA255*AL255+AA254*AL254)</f>
        <v>1.56344025024419E-009</v>
      </c>
      <c r="AV255" s="37" t="n">
        <f aca="false">0.5*(B255-B254)*(S255+S254)</f>
        <v>1.03896602681663E-010</v>
      </c>
      <c r="AW255" s="37" t="n">
        <f aca="false">0.5*(B255-B254)*(T255+T254)</f>
        <v>3.36661313372278E-010</v>
      </c>
      <c r="AX255" s="37" t="n">
        <f aca="false">0.5*(B255-B254)*(U255+U254)</f>
        <v>2.56146349895934E-010</v>
      </c>
      <c r="AY255" s="37" t="n">
        <f aca="false">0.5*(B255-B254)*(V255+V254)</f>
        <v>5.36747076328823E-011</v>
      </c>
      <c r="AZ255" s="37" t="n">
        <f aca="false">0.5*(B255-B254)*(W255+W254)</f>
        <v>2.55307243357541E-011</v>
      </c>
      <c r="BA255" s="37" t="n">
        <f aca="false">0.5*(B255-B254)*(X255+X254)</f>
        <v>2.00830969129472E-010</v>
      </c>
      <c r="BB255" s="37" t="n">
        <f aca="false">0.5*(B255-B254)*(Y255+Y254)</f>
        <v>3.87636851452729E-012</v>
      </c>
      <c r="BC255" s="37" t="n">
        <f aca="false">0.5*(B255-B254)*(Z255+Z254)</f>
        <v>1.92208511900531E-010</v>
      </c>
      <c r="BD255" s="37" t="n">
        <f aca="false">0.5*(B255-B254)*(AA255+AA254)</f>
        <v>1.17282554746304E-009</v>
      </c>
      <c r="BE255" s="37" t="n">
        <f aca="false">IF(B255&gt;2000,AK255,-999)</f>
        <v>0.0796978300643987</v>
      </c>
      <c r="BF255" s="37" t="n">
        <f aca="false">IF(AND(B255&lt;1000,AK255&gt;=-3),B255,1000000000)</f>
        <v>1000000000</v>
      </c>
    </row>
    <row r="256" customFormat="false" ht="15" hidden="false" customHeight="false" outlineLevel="0" collapsed="false">
      <c r="A256" s="5" t="n">
        <v>217</v>
      </c>
      <c r="B256" s="47" t="n">
        <f aca="false">20*10^(A256/100)</f>
        <v>2958.21677633641</v>
      </c>
      <c r="C256" s="37" t="n">
        <f aca="false">2*PI()*B256</f>
        <v>18587.0241845291</v>
      </c>
      <c r="D256" s="37" t="n">
        <f aca="false">SQRT(L_Rp0^2+L_Rp1^2*C256)</f>
        <v>96494244.1467035</v>
      </c>
      <c r="E256" s="5" t="str">
        <f aca="false">COMPLEX(D256,C256*L_Mp)</f>
        <v>96494244.1467035+274580888.424134i</v>
      </c>
      <c r="F256" s="5" t="str">
        <f aca="false">IMDIV(1,E256)</f>
        <v>1.13916922131141e-09-3.24158295263253e-09i</v>
      </c>
      <c r="G256" s="5" t="str">
        <f aca="false">COMPLEX(0,C256*L_Cf)</f>
        <v>1.96542499572054e-11i</v>
      </c>
      <c r="H256" s="5" t="str">
        <f aca="false">COMPLEX(0,C256*L_Cbv)</f>
        <v>1.96542499572054e-10i</v>
      </c>
      <c r="I256" s="5" t="str">
        <f aca="false">COMPLEX(L_Rsq+L_Rh,C256*(L_Md+L_Mh)-1/(C256*L_Cd))</f>
        <v>552400610.124532-61907517673.9848i</v>
      </c>
      <c r="J256" s="5" t="str">
        <f aca="false">IMDIV(1,I256)</f>
        <v>1.44122833486014e-13+1.61518410691993e-11i</v>
      </c>
      <c r="K256" s="5" t="str">
        <f aca="false">IMSUM(F256,G256,H256)</f>
        <v>1.13916922131141e-09-3.02538620310327e-09i</v>
      </c>
      <c r="L256" s="5" t="str">
        <f aca="false">IMSUM(IMPRODUCT(IMSUM(F256,G256),H256),IMPRODUCT(IMSUM(J256,L_Yv),K256))</f>
        <v>6.84553996530844e-19+2.35808046767453e-19i</v>
      </c>
      <c r="M256" s="37" t="n">
        <f aca="false">IMABS(IMDIV(IMPRODUCT(J256,F256,H256),L256))^2</f>
        <v>2.26968278620137E-022</v>
      </c>
      <c r="N256" s="5" t="str">
        <f aca="false">IMDIV(IMPRODUCT(L_Yv,K256,E256),H256)</f>
        <v>0.000212287337122754-0.00957183821807456i</v>
      </c>
      <c r="O256" s="37" t="n">
        <f aca="false">IMABS(IMSUM(1,IMPRODUCT(E256,G256),N256))^2</f>
        <v>0.989717000266217</v>
      </c>
      <c r="P256" s="37" t="n">
        <f aca="false">IMABS(N256)^2</f>
        <v>9.16651527864955E-005</v>
      </c>
      <c r="Q256" s="37" t="n">
        <f aca="false">p_Rb^2/(1+(C256*p_Rb*L_Ctot)^2)</f>
        <v>477147603140582</v>
      </c>
      <c r="R256" s="37" t="n">
        <f aca="false">M256*L_Kt^2*Q256</f>
        <v>2.17347843502041E-005</v>
      </c>
      <c r="S256" s="37" t="n">
        <f aca="false">L_kT4*D256</f>
        <v>1.58883755379799E-012</v>
      </c>
      <c r="T256" s="37" t="n">
        <f aca="false">L_kT4*L_Rsq*O256</f>
        <v>5.11237463713919E-012</v>
      </c>
      <c r="U256" s="37" t="n">
        <f aca="false">L_kT4*L_Rh*O256</f>
        <v>3.88971363976026E-012</v>
      </c>
      <c r="V256" s="37" t="n">
        <f aca="false">L_kT4*p_Rv*P256</f>
        <v>7.54661785320541E-013</v>
      </c>
      <c r="W256" s="37" t="n">
        <f aca="false">L_kT4/p_Rb*Q256/R256</f>
        <v>3.61472696403544E-013</v>
      </c>
      <c r="X256" s="37" t="n">
        <f aca="false">p_en^2*(1+p_fc/B256)/R256</f>
        <v>3.04412799571362E-012</v>
      </c>
      <c r="Y256" s="37" t="n">
        <f aca="false">p_in^2*Q256/R256</f>
        <v>5.48829465538386E-014</v>
      </c>
      <c r="Z256" s="37" t="n">
        <f aca="false">p_eo^2/L_G^2/R256</f>
        <v>2.91678659778602E-012</v>
      </c>
      <c r="AA256" s="37" t="n">
        <f aca="false">SUM(S256:Z256)</f>
        <v>1.7722857852475E-011</v>
      </c>
      <c r="AB256" s="47" t="n">
        <f aca="false">10*LOG10(AA256/L_PREF^2)</f>
        <v>-13.5352623712425</v>
      </c>
      <c r="AC256" s="47" t="n">
        <f aca="false">10*LOG10(S256/L_PREF^2)</f>
        <v>-24.0098049506179</v>
      </c>
      <c r="AD256" s="47" t="n">
        <f aca="false">10*LOG10(T256/L_PREF^2)</f>
        <v>-18.9343731971427</v>
      </c>
      <c r="AE256" s="47" t="n">
        <f aca="false">10*LOG10(U256/L_PREF^2)</f>
        <v>-20.1214236153174</v>
      </c>
      <c r="AF256" s="47" t="n">
        <f aca="false">10*LOG10(V256/L_PREF^2)</f>
        <v>-27.2430763265049</v>
      </c>
      <c r="AG256" s="47" t="n">
        <f aca="false">10*LOG10(W256/L_PREF^2)</f>
        <v>-30.4398449259949</v>
      </c>
      <c r="AH256" s="47" t="n">
        <f aca="false">10*LOG10(X256/L_PREF^2)</f>
        <v>-21.1859708217047</v>
      </c>
      <c r="AI256" s="47" t="n">
        <f aca="false">10*LOG10(Y256/L_PREF^2)</f>
        <v>-38.6262257161541</v>
      </c>
      <c r="AJ256" s="47" t="n">
        <f aca="false">10*LOG10(Z256/L_PREF^2)</f>
        <v>-21.3715533553302</v>
      </c>
      <c r="AK256" s="47" t="n">
        <f aca="false">10*LOG10(R256/$R$6)</f>
        <v>0.0838443089041968</v>
      </c>
      <c r="AL256" s="37" t="n">
        <f aca="false">(12194^2*B256^4/((B256^2+20.6^2)*SQRT((B256^2+107.7^2)*(B256^2+737.9^2))*(B256^2+12194^2))*1.2589254)^2</f>
        <v>1.32891317495321</v>
      </c>
      <c r="AM256" s="37" t="n">
        <f aca="false">0.5*(B256-B255)*(S256*AL256+S255*AL255)</f>
        <v>1.42033348954451E-010</v>
      </c>
      <c r="AN256" s="37" t="n">
        <f aca="false">0.5*(B256-B255)*(T256*AL256+T255*AL255)</f>
        <v>4.58095710836713E-010</v>
      </c>
      <c r="AO256" s="37" t="n">
        <f aca="false">0.5*(B256-B255)*(U256*AL256+U255*AL255)</f>
        <v>3.48538841776732E-010</v>
      </c>
      <c r="AP256" s="37" t="n">
        <f aca="false">0.5*(B256-B255)*(V256*AL256+V255*AL255)</f>
        <v>6.94004110344889E-011</v>
      </c>
      <c r="AQ256" s="37" t="n">
        <f aca="false">0.5*(B256-B255)*(W256*AL256+W255*AL255)</f>
        <v>3.31619972422729E-011</v>
      </c>
      <c r="AR256" s="37" t="n">
        <f aca="false">0.5*(B256-B255)*(X256*AL256+X255*AL255)</f>
        <v>2.72937299299327E-010</v>
      </c>
      <c r="AS256" s="37" t="n">
        <f aca="false">0.5*(B256-B255)*(Y256*AL256+Y255*AL255)</f>
        <v>5.03503622922145E-012</v>
      </c>
      <c r="AT256" s="37" t="n">
        <f aca="false">0.5*(B256-B255)*(Z256*AL256+Z255*AL255)</f>
        <v>2.614201247945E-010</v>
      </c>
      <c r="AU256" s="37" t="n">
        <f aca="false">0.5*(B256-B255)*(AA256*AL256+AA255*AL255)</f>
        <v>1.59062277016771E-009</v>
      </c>
      <c r="AV256" s="37" t="n">
        <f aca="false">0.5*(B256-B255)*(S256+S255)</f>
        <v>1.06762772843218E-010</v>
      </c>
      <c r="AW256" s="37" t="n">
        <f aca="false">0.5*(B256-B255)*(T256+T255)</f>
        <v>3.44337740615056E-010</v>
      </c>
      <c r="AX256" s="37" t="n">
        <f aca="false">0.5*(B256-B255)*(U256+U255)</f>
        <v>2.61986904602928E-010</v>
      </c>
      <c r="AY256" s="37" t="n">
        <f aca="false">0.5*(B256-B255)*(V256+V255)</f>
        <v>5.21648898030318E-011</v>
      </c>
      <c r="AZ256" s="37" t="n">
        <f aca="false">0.5*(B256-B255)*(W256+W255)</f>
        <v>2.49263129104321E-011</v>
      </c>
      <c r="BA256" s="37" t="n">
        <f aca="false">0.5*(B256-B255)*(X256+X255)</f>
        <v>2.05159201105707E-010</v>
      </c>
      <c r="BB256" s="37" t="n">
        <f aca="false">0.5*(B256-B255)*(Y256+Y255)</f>
        <v>3.78459981309419E-012</v>
      </c>
      <c r="BC256" s="37" t="n">
        <f aca="false">0.5*(B256-B255)*(Z256+Z255)</f>
        <v>1.96502150516154E-010</v>
      </c>
      <c r="BD256" s="37" t="n">
        <f aca="false">0.5*(B256-B255)*(AA256+AA255)</f>
        <v>1.19562457220962E-009</v>
      </c>
      <c r="BE256" s="37" t="n">
        <f aca="false">IF(B256&gt;2000,AK256,-999)</f>
        <v>0.0838443089041968</v>
      </c>
      <c r="BF256" s="37" t="n">
        <f aca="false">IF(AND(B256&lt;1000,AK256&gt;=-3),B256,1000000000)</f>
        <v>1000000000</v>
      </c>
    </row>
    <row r="257" customFormat="false" ht="15" hidden="false" customHeight="false" outlineLevel="0" collapsed="false">
      <c r="A257" s="5" t="n">
        <v>218</v>
      </c>
      <c r="B257" s="47" t="n">
        <f aca="false">20*10^(A257/100)</f>
        <v>3027.12249687242</v>
      </c>
      <c r="C257" s="37" t="n">
        <f aca="false">2*PI()*B257</f>
        <v>19019.9715953816</v>
      </c>
      <c r="D257" s="37" t="n">
        <f aca="false">SQRT(L_Rp0^2+L_Rp1^2*C257)</f>
        <v>96908084.008566</v>
      </c>
      <c r="E257" s="5" t="str">
        <f aca="false">COMPLEX(D257,C257*L_Mp)</f>
        <v>96908084.008566+280976698.93864i</v>
      </c>
      <c r="F257" s="5" t="str">
        <f aca="false">IMDIV(1,E257)</f>
        <v>1.09700125598895e-09-3.18066129149836e-09i</v>
      </c>
      <c r="G257" s="5" t="str">
        <f aca="false">COMPLEX(0,C257*L_Cf)</f>
        <v>2.01120562497426e-11i</v>
      </c>
      <c r="H257" s="5" t="str">
        <f aca="false">COMPLEX(0,C257*L_Cbv)</f>
        <v>2.01120562497426e-10i</v>
      </c>
      <c r="I257" s="5" t="str">
        <f aca="false">COMPLEX(L_Rsq+L_Rh,C257*(L_Md+L_Mh)-1/(C257*L_Cd))</f>
        <v>552400610.124532-60495104978.3496i</v>
      </c>
      <c r="J257" s="5" t="str">
        <f aca="false">IMDIV(1,I257)</f>
        <v>1.5093065949754e-13+1.65288848770403e-11i</v>
      </c>
      <c r="K257" s="5" t="str">
        <f aca="false">IMSUM(F257,G257,H257)</f>
        <v>1.09700125598895e-09-2.95942867275119e-09i</v>
      </c>
      <c r="L257" s="5" t="str">
        <f aca="false">IMSUM(IMPRODUCT(IMSUM(F257,G257),H257),IMPRODUCT(IMSUM(J257,L_Yv),K257))</f>
        <v>6.86927069462742e-19+2.32396191268273e-19i</v>
      </c>
      <c r="M257" s="37" t="n">
        <f aca="false">IMABS(IMDIV(IMPRODUCT(J257,F257,H257),L257))^2</f>
        <v>2.37902708110566E-022</v>
      </c>
      <c r="N257" s="5" t="str">
        <f aca="false">IMDIV(IMPRODUCT(L_Yv,K257,E257),H257)</f>
        <v>0.000213197784818847-0.0093261353035334i</v>
      </c>
      <c r="O257" s="37" t="n">
        <f aca="false">IMABS(IMSUM(1,IMPRODUCT(E257,G257),N257))^2</f>
        <v>0.989208348941113</v>
      </c>
      <c r="P257" s="37" t="n">
        <f aca="false">IMABS(N257)^2</f>
        <v>8.70222529952637E-005</v>
      </c>
      <c r="Q257" s="37" t="n">
        <f aca="false">p_Rb^2/(1+(C257*p_Rb*L_Ctot)^2)</f>
        <v>455672423446940</v>
      </c>
      <c r="R257" s="37" t="n">
        <f aca="false">M257*L_Kt^2*Q257</f>
        <v>2.17565263689526E-005</v>
      </c>
      <c r="S257" s="37" t="n">
        <f aca="false">L_kT4*D257</f>
        <v>1.59565168369351E-012</v>
      </c>
      <c r="T257" s="37" t="n">
        <f aca="false">L_kT4*L_Rsq*O257</f>
        <v>5.10974720310208E-012</v>
      </c>
      <c r="U257" s="37" t="n">
        <f aca="false">L_kT4*L_Rh*O257</f>
        <v>3.88771457538468E-012</v>
      </c>
      <c r="V257" s="37" t="n">
        <f aca="false">L_kT4*p_Rv*P257</f>
        <v>7.16437673550648E-013</v>
      </c>
      <c r="W257" s="37" t="n">
        <f aca="false">L_kT4/p_Rb*Q257/R257</f>
        <v>3.44858771564558E-013</v>
      </c>
      <c r="X257" s="37" t="n">
        <f aca="false">p_en^2*(1+p_fc/B257)/R257</f>
        <v>3.03882237046681E-012</v>
      </c>
      <c r="Y257" s="37" t="n">
        <f aca="false">p_in^2*Q257/R257</f>
        <v>5.23604292017408E-014</v>
      </c>
      <c r="Z257" s="37" t="n">
        <f aca="false">p_eo^2/L_G^2/R257</f>
        <v>2.91387175615095E-012</v>
      </c>
      <c r="AA257" s="37" t="n">
        <f aca="false">SUM(S257:Z257)</f>
        <v>1.7659464463115E-011</v>
      </c>
      <c r="AB257" s="47" t="n">
        <f aca="false">10*LOG10(AA257/L_PREF^2)</f>
        <v>-13.5508246220196</v>
      </c>
      <c r="AC257" s="47" t="n">
        <f aca="false">10*LOG10(S257/L_PREF^2)</f>
        <v>-23.9912189651833</v>
      </c>
      <c r="AD257" s="47" t="n">
        <f aca="false">10*LOG10(T257/L_PREF^2)</f>
        <v>-18.936605767145</v>
      </c>
      <c r="AE257" s="47" t="n">
        <f aca="false">10*LOG10(U257/L_PREF^2)</f>
        <v>-20.1236561853197</v>
      </c>
      <c r="AF257" s="47" t="n">
        <f aca="false">10*LOG10(V257/L_PREF^2)</f>
        <v>-27.4688157637183</v>
      </c>
      <c r="AG257" s="47" t="n">
        <f aca="false">10*LOG10(W257/L_PREF^2)</f>
        <v>-30.6441871447948</v>
      </c>
      <c r="AH257" s="47" t="n">
        <f aca="false">10*LOG10(X257/L_PREF^2)</f>
        <v>-21.1935467649998</v>
      </c>
      <c r="AI257" s="47" t="n">
        <f aca="false">10*LOG10(Y257/L_PREF^2)</f>
        <v>-38.8305679349539</v>
      </c>
      <c r="AJ257" s="47" t="n">
        <f aca="false">10*LOG10(Z257/L_PREF^2)</f>
        <v>-21.3758955742233</v>
      </c>
      <c r="AK257" s="47" t="n">
        <f aca="false">10*LOG10(R257/$R$6)</f>
        <v>0.0881865277973105</v>
      </c>
      <c r="AL257" s="37" t="n">
        <f aca="false">(12194^2*B257^4/((B257^2+20.6^2)*SQRT((B257^2+107.7^2)*(B257^2+737.9^2))*(B257^2+12194^2))*1.2589254)^2</f>
        <v>1.32555747568661</v>
      </c>
      <c r="AM257" s="37" t="n">
        <f aca="false">0.5*(B257-B256)*(S257*AL257+S256*AL256)</f>
        <v>1.45616914894224E-010</v>
      </c>
      <c r="AN257" s="37" t="n">
        <f aca="false">0.5*(B257-B256)*(T257*AL257+T256*AL256)</f>
        <v>4.6742766115029E-010</v>
      </c>
      <c r="AO257" s="37" t="n">
        <f aca="false">0.5*(B257-B256)*(U257*AL257+U256*AL256)</f>
        <v>3.55638989359148E-010</v>
      </c>
      <c r="AP257" s="37" t="n">
        <f aca="false">0.5*(B257-B256)*(V257*AL257+V256*AL256)</f>
        <v>6.72712528376107E-011</v>
      </c>
      <c r="AQ257" s="37" t="n">
        <f aca="false">0.5*(B257-B256)*(W257*AL257+W256*AL256)</f>
        <v>3.22994170133351E-011</v>
      </c>
      <c r="AR257" s="37" t="n">
        <f aca="false">0.5*(B257-B256)*(X257*AL257+X256*AL256)</f>
        <v>2.7815570174459E-010</v>
      </c>
      <c r="AS257" s="37" t="n">
        <f aca="false">0.5*(B257-B256)*(Y257*AL257+Y256*AL256)</f>
        <v>4.90406936761832E-012</v>
      </c>
      <c r="AT257" s="37" t="n">
        <f aca="false">0.5*(B257-B256)*(Z257*AL257+Z256*AL256)</f>
        <v>2.66618993273928E-010</v>
      </c>
      <c r="AU257" s="37" t="n">
        <f aca="false">0.5*(B257-B256)*(AA257*AL257+AA256*AL256)</f>
        <v>1.61793299964074E-009</v>
      </c>
      <c r="AV257" s="37" t="n">
        <f aca="false">0.5*(B257-B256)*(S257+S256)</f>
        <v>1.09714762724249E-010</v>
      </c>
      <c r="AW257" s="37" t="n">
        <f aca="false">0.5*(B257-B256)*(T257+T256)</f>
        <v>3.52181335404317E-010</v>
      </c>
      <c r="AX257" s="37" t="n">
        <f aca="false">0.5*(B257-B256)*(U257+U256)</f>
        <v>2.679546475408E-010</v>
      </c>
      <c r="AY257" s="37" t="n">
        <f aca="false">0.5*(B257-B256)*(V257+V256)</f>
        <v>5.06835840968215E-011</v>
      </c>
      <c r="AZ257" s="37" t="n">
        <f aca="false">0.5*(B257-B256)*(W257+W256)</f>
        <v>2.43351393687973E-011</v>
      </c>
      <c r="BA257" s="37" t="n">
        <f aca="false">0.5*(B257-B256)*(X257+X256)</f>
        <v>2.09575038983202E-010</v>
      </c>
      <c r="BB257" s="37" t="n">
        <f aca="false">0.5*(B257-B256)*(Y257+Y256)</f>
        <v>3.69484103957574E-012</v>
      </c>
      <c r="BC257" s="37" t="n">
        <f aca="false">0.5*(B257-B256)*(Z257+Z256)</f>
        <v>2.00882857538645E-010</v>
      </c>
      <c r="BD257" s="37" t="n">
        <f aca="false">0.5*(B257-B256)*(AA257+AA256)</f>
        <v>1.21902220669641E-009</v>
      </c>
      <c r="BE257" s="37" t="n">
        <f aca="false">IF(B257&gt;2000,AK257,-999)</f>
        <v>0.0881865277973105</v>
      </c>
      <c r="BF257" s="37" t="n">
        <f aca="false">IF(AND(B257&lt;1000,AK257&gt;=-3),B257,1000000000)</f>
        <v>1000000000</v>
      </c>
    </row>
    <row r="258" customFormat="false" ht="15" hidden="false" customHeight="false" outlineLevel="0" collapsed="false">
      <c r="A258" s="5" t="n">
        <v>219</v>
      </c>
      <c r="B258" s="47" t="n">
        <f aca="false">20*10^(A258/100)</f>
        <v>3097.63323782496</v>
      </c>
      <c r="C258" s="37" t="n">
        <f aca="false">2*PI()*B258</f>
        <v>19463.0036469329</v>
      </c>
      <c r="D258" s="37" t="n">
        <f aca="false">SQRT(L_Rp0^2+L_Rp1^2*C258)</f>
        <v>97329741.8778527</v>
      </c>
      <c r="E258" s="5" t="str">
        <f aca="false">COMPLEX(D258,C258*L_Mp)</f>
        <v>97329741.8778527+287521487.018089i</v>
      </c>
      <c r="F258" s="5" t="str">
        <f aca="false">IMDIV(1,E258)</f>
        <v>1.05630521923435e-09-3.12042795469838e-09i</v>
      </c>
      <c r="G258" s="5" t="str">
        <f aca="false">COMPLEX(0,C258*L_Cf)</f>
        <v>2.05805262207179e-11i</v>
      </c>
      <c r="H258" s="5" t="str">
        <f aca="false">COMPLEX(0,C258*L_Cbv)</f>
        <v>2.05805262207179e-10i</v>
      </c>
      <c r="I258" s="5" t="str">
        <f aca="false">COMPLEX(L_Rsq+L_Rh,C258*(L_Md+L_Mh)-1/(C258*L_Cd))</f>
        <v>552400610.124532-59114767588.1213i</v>
      </c>
      <c r="J258" s="5" t="str">
        <f aca="false">IMDIV(1,I258)</f>
        <v>1.58060829019756e-13+1.69147698265253e-11i</v>
      </c>
      <c r="K258" s="5" t="str">
        <f aca="false">IMSUM(F258,G258,H258)</f>
        <v>1.05630521923435e-09-2.89404216627048e-09i</v>
      </c>
      <c r="L258" s="5" t="str">
        <f aca="false">IMSUM(IMPRODUCT(IMSUM(F258,G258),H258),IMPRODUCT(IMSUM(J258,L_Yv),K258))</f>
        <v>6.89196540847937e-19+2.29014813228684e-19i</v>
      </c>
      <c r="M258" s="37" t="n">
        <f aca="false">IMABS(IMDIV(IMPRODUCT(J258,F258,H258),L258))^2</f>
        <v>2.49375698745006E-022</v>
      </c>
      <c r="N258" s="5" t="str">
        <f aca="false">IMDIV(IMPRODUCT(L_Yv,K258,E258),H258)</f>
        <v>0.000214125432131276-0.00908537722937619i</v>
      </c>
      <c r="O258" s="37" t="n">
        <f aca="false">IMABS(IMSUM(1,IMPRODUCT(E258,G258),N258))^2</f>
        <v>0.988676249244362</v>
      </c>
      <c r="P258" s="37" t="n">
        <f aca="false">IMABS(N258)^2</f>
        <v>8.25899291007528E-005</v>
      </c>
      <c r="Q258" s="37" t="n">
        <f aca="false">p_Rb^2/(1+(C258*p_Rb*L_Ctot)^2)</f>
        <v>435163786055173</v>
      </c>
      <c r="R258" s="37" t="n">
        <f aca="false">M258*L_Kt^2*Q258</f>
        <v>2.17793192789874E-005</v>
      </c>
      <c r="S258" s="37" t="n">
        <f aca="false">L_kT4*D258</f>
        <v>1.60259454192824E-012</v>
      </c>
      <c r="T258" s="37" t="n">
        <f aca="false">L_kT4*L_Rsq*O258</f>
        <v>5.10699864670326E-012</v>
      </c>
      <c r="U258" s="37" t="n">
        <f aca="false">L_kT4*L_Rh*O258</f>
        <v>3.88562335592739E-012</v>
      </c>
      <c r="V258" s="37" t="n">
        <f aca="false">L_kT4*p_Rv*P258</f>
        <v>6.799471931263E-013</v>
      </c>
      <c r="W258" s="37" t="n">
        <f aca="false">L_kT4/p_Rb*Q258/R258</f>
        <v>3.28992905418514E-013</v>
      </c>
      <c r="X258" s="37" t="n">
        <f aca="false">p_en^2*(1+p_fc/B258)/R258</f>
        <v>3.03343243590957E-012</v>
      </c>
      <c r="Y258" s="37" t="n">
        <f aca="false">p_in^2*Q258/R258</f>
        <v>4.9951490733117E-014</v>
      </c>
      <c r="Z258" s="37" t="n">
        <f aca="false">p_eo^2/L_G^2/R258</f>
        <v>2.91082227531365E-012</v>
      </c>
      <c r="AA258" s="37" t="n">
        <f aca="false">SUM(S258:Z258)</f>
        <v>1.759836284506E-011</v>
      </c>
      <c r="AB258" s="47" t="n">
        <f aca="false">10*LOG10(AA258/L_PREF^2)</f>
        <v>-13.565877235381</v>
      </c>
      <c r="AC258" s="47" t="n">
        <f aca="false">10*LOG10(S258/L_PREF^2)</f>
        <v>-23.9723633202845</v>
      </c>
      <c r="AD258" s="47" t="n">
        <f aca="false">10*LOG10(T258/L_PREF^2)</f>
        <v>-18.9389424855552</v>
      </c>
      <c r="AE258" s="47" t="n">
        <f aca="false">10*LOG10(U258/L_PREF^2)</f>
        <v>-20.1259929037299</v>
      </c>
      <c r="AF258" s="47" t="n">
        <f aca="false">10*LOG10(V258/L_PREF^2)</f>
        <v>-27.6958480601053</v>
      </c>
      <c r="AG258" s="47" t="n">
        <f aca="false">10*LOG10(W258/L_PREF^2)</f>
        <v>-30.8487345863881</v>
      </c>
      <c r="AH258" s="47" t="n">
        <f aca="false">10*LOG10(X258/L_PREF^2)</f>
        <v>-21.2012566504556</v>
      </c>
      <c r="AI258" s="47" t="n">
        <f aca="false">10*LOG10(Y258/L_PREF^2)</f>
        <v>-39.0351153765473</v>
      </c>
      <c r="AJ258" s="47" t="n">
        <f aca="false">10*LOG10(Z258/L_PREF^2)</f>
        <v>-21.3804430159058</v>
      </c>
      <c r="AK258" s="47" t="n">
        <f aca="false">10*LOG10(R258/$R$6)</f>
        <v>0.0927339694797658</v>
      </c>
      <c r="AL258" s="37" t="n">
        <f aca="false">(12194^2*B258^4/((B258^2+20.6^2)*SQRT((B258^2+107.7^2)*(B258^2+737.9^2))*(B258^2+12194^2))*1.2589254)^2</f>
        <v>1.32175136894113</v>
      </c>
      <c r="AM258" s="37" t="n">
        <f aca="false">0.5*(B258-B257)*(S258*AL258+S257*AL257)</f>
        <v>1.49248659208602E-010</v>
      </c>
      <c r="AN258" s="37" t="n">
        <f aca="false">0.5*(B258-B257)*(T258*AL258+T257*AL257)</f>
        <v>4.76774100834311E-010</v>
      </c>
      <c r="AO258" s="37" t="n">
        <f aca="false">0.5*(B258-B257)*(U258*AL258+U257*AL257)</f>
        <v>3.62750161075326E-010</v>
      </c>
      <c r="AP258" s="37" t="n">
        <f aca="false">0.5*(B258-B257)*(V258*AL258+V257*AL257)</f>
        <v>6.5166042560218E-011</v>
      </c>
      <c r="AQ258" s="37" t="n">
        <f aca="false">0.5*(B258-B257)*(W258*AL258+W257*AL257)</f>
        <v>3.14469776809081E-011</v>
      </c>
      <c r="AR258" s="37" t="n">
        <f aca="false">0.5*(B258-B257)*(X258*AL258+X257*AL257)</f>
        <v>2.83367761396209E-010</v>
      </c>
      <c r="AS258" s="37" t="n">
        <f aca="false">0.5*(B258-B257)*(Y258*AL258+Y257*AL257)</f>
        <v>4.77464221367984E-012</v>
      </c>
      <c r="AT258" s="37" t="n">
        <f aca="false">0.5*(B258-B257)*(Z258*AL258+Z257*AL257)</f>
        <v>2.71814951308192E-010</v>
      </c>
      <c r="AU258" s="37" t="n">
        <f aca="false">0.5*(B258-B257)*(AA258*AL258+AA257*AL257)</f>
        <v>1.64534329627745E-009</v>
      </c>
      <c r="AV258" s="37" t="n">
        <f aca="false">0.5*(B258-B257)*(S258+S257)</f>
        <v>1.12755355558635E-010</v>
      </c>
      <c r="AW258" s="37" t="n">
        <f aca="false">0.5*(B258-B257)*(T258+T257)</f>
        <v>3.60195159996806E-010</v>
      </c>
      <c r="AX258" s="37" t="n">
        <f aca="false">0.5*(B258-B257)*(U258+U257)</f>
        <v>2.74051908605668E-010</v>
      </c>
      <c r="AY258" s="37" t="n">
        <f aca="false">0.5*(B258-B257)*(V258+V257)</f>
        <v>4.92300658021561E-011</v>
      </c>
      <c r="AZ258" s="37" t="n">
        <f aca="false">0.5*(B258-B257)*(W258+W257)</f>
        <v>2.37568905180957E-011</v>
      </c>
      <c r="BA258" s="37" t="n">
        <f aca="false">0.5*(B258-B257)*(X258+X257)</f>
        <v>2.14079592825125E-010</v>
      </c>
      <c r="BB258" s="37" t="n">
        <f aca="false">0.5*(B258-B257)*(Y258+Y257)</f>
        <v>3.60704464144213E-012</v>
      </c>
      <c r="BC258" s="37" t="n">
        <f aca="false">0.5*(B258-B257)*(Z258+Z257)</f>
        <v>2.05351745990218E-010</v>
      </c>
      <c r="BD258" s="37" t="n">
        <f aca="false">0.5*(B258-B257)*(AA258+AA257)</f>
        <v>1.24302776393815E-009</v>
      </c>
      <c r="BE258" s="37" t="n">
        <f aca="false">IF(B258&gt;2000,AK258,-999)</f>
        <v>0.0927339694797658</v>
      </c>
      <c r="BF258" s="37" t="n">
        <f aca="false">IF(AND(B258&lt;1000,AK258&gt;=-3),B258,1000000000)</f>
        <v>1000000000</v>
      </c>
    </row>
    <row r="259" customFormat="false" ht="15" hidden="false" customHeight="false" outlineLevel="0" collapsed="false">
      <c r="A259" s="5" t="n">
        <v>220</v>
      </c>
      <c r="B259" s="47" t="n">
        <f aca="false">20*10^(A259/100)</f>
        <v>3169.78638492223</v>
      </c>
      <c r="C259" s="37" t="n">
        <f aca="false">2*PI()*B259</f>
        <v>19916.3552406412</v>
      </c>
      <c r="D259" s="37" t="n">
        <f aca="false">SQRT(L_Rp0^2+L_Rp1^2*C259)</f>
        <v>97759338.6961763</v>
      </c>
      <c r="E259" s="5" t="str">
        <f aca="false">COMPLEX(D259,C259*L_Mp)</f>
        <v>97759338.6961763+294218722.795753i</v>
      </c>
      <c r="F259" s="5" t="str">
        <f aca="false">IMDIV(1,E259)</f>
        <v>1.01703877676761e-09-3.06090296768779e-09i</v>
      </c>
      <c r="G259" s="5" t="str">
        <f aca="false">COMPLEX(0,C259*L_Cf)</f>
        <v>2.1059908259111e-11i</v>
      </c>
      <c r="H259" s="5" t="str">
        <f aca="false">COMPLEX(0,C259*L_Cbv)</f>
        <v>2.1059908259111e-10i</v>
      </c>
      <c r="I259" s="5" t="str">
        <f aca="false">COMPLEX(L_Rsq+L_Rh,C259*(L_Md+L_Mh)-1/(C259*L_Cd))</f>
        <v>552400610.124532-57765773630.1447i</v>
      </c>
      <c r="J259" s="5" t="str">
        <f aca="false">IMDIV(1,I259)</f>
        <v>1.65528678794323e-13+1.73097060598362e-11i</v>
      </c>
      <c r="K259" s="5" t="str">
        <f aca="false">IMSUM(F259,G259,H259)</f>
        <v>1.01703877676761e-09-2.82924397683757e-09i</v>
      </c>
      <c r="L259" s="5" t="str">
        <f aca="false">IMSUM(IMPRODUCT(IMSUM(F259,G259),H259),IMPRODUCT(IMSUM(J259,L_Yv),K259))</f>
        <v>6.91363967785789e-19+2.25665266652998e-19i</v>
      </c>
      <c r="M259" s="37" t="n">
        <f aca="false">IMABS(IMDIV(IMPRODUCT(J259,F259,H259),L259))^2</f>
        <v>2.61414931962124E-022</v>
      </c>
      <c r="N259" s="5" t="str">
        <f aca="false">IMDIV(IMPRODUCT(L_Yv,K259,E259),H259)</f>
        <v>0.00021507054513158-0.0088494363424851i</v>
      </c>
      <c r="O259" s="37" t="n">
        <f aca="false">IMABS(IMSUM(1,IMPRODUCT(E259,G259),N259))^2</f>
        <v>0.988119589315636</v>
      </c>
      <c r="P259" s="37" t="n">
        <f aca="false">IMABS(N259)^2</f>
        <v>7.83587789190793E-005</v>
      </c>
      <c r="Q259" s="37" t="n">
        <f aca="false">p_Rb^2/(1+(C259*p_Rb*L_Ctot)^2)</f>
        <v>415578189395847</v>
      </c>
      <c r="R259" s="37" t="n">
        <f aca="false">M259*L_Kt^2*Q259</f>
        <v>2.18032162592152E-005</v>
      </c>
      <c r="S259" s="37" t="n">
        <f aca="false">L_kT4*D259</f>
        <v>1.60966811988079E-012</v>
      </c>
      <c r="T259" s="37" t="n">
        <f aca="false">L_kT4*L_Rsq*O259</f>
        <v>5.10412322463779E-012</v>
      </c>
      <c r="U259" s="37" t="n">
        <f aca="false">L_kT4*L_Rh*O259</f>
        <v>3.88343561163595E-012</v>
      </c>
      <c r="V259" s="37" t="n">
        <f aca="false">L_kT4*p_Rv*P259</f>
        <v>6.45112937654121E-013</v>
      </c>
      <c r="W259" s="37" t="n">
        <f aca="false">L_kT4/p_Rb*Q259/R259</f>
        <v>3.13841428471954E-013</v>
      </c>
      <c r="X259" s="37" t="n">
        <f aca="false">p_en^2*(1+p_fc/B259)/R259</f>
        <v>3.02795068018616E-012</v>
      </c>
      <c r="Y259" s="37" t="n">
        <f aca="false">p_in^2*Q259/R259</f>
        <v>4.76510190578193E-014</v>
      </c>
      <c r="Z259" s="37" t="n">
        <f aca="false">p_eo^2/L_G^2/R259</f>
        <v>2.90763192662689E-012</v>
      </c>
      <c r="AA259" s="37" t="n">
        <f aca="false">SUM(S259:Z259)</f>
        <v>1.75394149481515E-011</v>
      </c>
      <c r="AB259" s="47" t="n">
        <f aca="false">10*LOG10(AA259/L_PREF^2)</f>
        <v>-13.5804488855946</v>
      </c>
      <c r="AC259" s="47" t="n">
        <f aca="false">10*LOG10(S259/L_PREF^2)</f>
        <v>-23.9532364856449</v>
      </c>
      <c r="AD259" s="47" t="n">
        <f aca="false">10*LOG10(T259/L_PREF^2)</f>
        <v>-18.9413884067476</v>
      </c>
      <c r="AE259" s="47" t="n">
        <f aca="false">10*LOG10(U259/L_PREF^2)</f>
        <v>-20.1284388249224</v>
      </c>
      <c r="AF259" s="47" t="n">
        <f aca="false">10*LOG10(V259/L_PREF^2)</f>
        <v>-27.9242423962853</v>
      </c>
      <c r="AG259" s="47" t="n">
        <f aca="false">10*LOG10(W259/L_PREF^2)</f>
        <v>-31.0534971947925</v>
      </c>
      <c r="AH259" s="47" t="n">
        <f aca="false">10*LOG10(X259/L_PREF^2)</f>
        <v>-21.2091119431018</v>
      </c>
      <c r="AI259" s="47" t="n">
        <f aca="false">10*LOG10(Y259/L_PREF^2)</f>
        <v>-39.2398779849517</v>
      </c>
      <c r="AJ259" s="47" t="n">
        <f aca="false">10*LOG10(Z259/L_PREF^2)</f>
        <v>-21.3852056243952</v>
      </c>
      <c r="AK259" s="47" t="n">
        <f aca="false">10*LOG10(R259/$R$6)</f>
        <v>0.0974965779691596</v>
      </c>
      <c r="AL259" s="37" t="n">
        <f aca="false">(12194^2*B259^4/((B259^2+20.6^2)*SQRT((B259^2+107.7^2)*(B259^2+737.9^2))*(B259^2+12194^2))*1.2589254)^2</f>
        <v>1.31749224051943</v>
      </c>
      <c r="AM259" s="37" t="n">
        <f aca="false">0.5*(B259-B258)*(S259*AL259+S258*AL258)</f>
        <v>1.52927036310318E-010</v>
      </c>
      <c r="AN259" s="37" t="n">
        <f aca="false">0.5*(B259-B258)*(T259*AL259+T258*AL258)</f>
        <v>4.86125522223165E-010</v>
      </c>
      <c r="AO259" s="37" t="n">
        <f aca="false">0.5*(B259-B258)*(U259*AL259+U258*AL258)</f>
        <v>3.6986512308596E-010</v>
      </c>
      <c r="AP259" s="37" t="n">
        <f aca="false">0.5*(B259-B258)*(V259*AL259+V258*AL258)</f>
        <v>6.30853877472035E-011</v>
      </c>
      <c r="AQ259" s="37" t="n">
        <f aca="false">0.5*(B259-B258)*(W259*AL259+W258*AL258)</f>
        <v>3.06048565899621E-011</v>
      </c>
      <c r="AR259" s="37" t="n">
        <f aca="false">0.5*(B259-B258)*(X259*AL259+X258*AL258)</f>
        <v>2.88567312309994E-010</v>
      </c>
      <c r="AS259" s="37" t="n">
        <f aca="false">0.5*(B259-B258)*(Y259*AL259+Y258*AL258)</f>
        <v>4.64678169396121E-012</v>
      </c>
      <c r="AT259" s="37" t="n">
        <f aca="false">0.5*(B259-B258)*(Z259*AL259+Z258*AL258)</f>
        <v>2.77001914239776E-010</v>
      </c>
      <c r="AU259" s="37" t="n">
        <f aca="false">0.5*(B259-B258)*(AA259*AL259+AA258*AL258)</f>
        <v>1.67282393420034E-009</v>
      </c>
      <c r="AV259" s="37" t="n">
        <f aca="false">0.5*(B259-B258)*(S259+S258)</f>
        <v>1.15887430176282E-010</v>
      </c>
      <c r="AW259" s="37" t="n">
        <f aca="false">0.5*(B259-B258)*(T259+T258)</f>
        <v>3.68382289205492E-010</v>
      </c>
      <c r="AX259" s="37" t="n">
        <f aca="false">0.5*(B259-B258)*(U259+U258)</f>
        <v>2.80281027246967E-010</v>
      </c>
      <c r="AY259" s="37" t="n">
        <f aca="false">0.5*(B259-B258)*(V259+V258)</f>
        <v>4.78036292644614E-011</v>
      </c>
      <c r="AZ259" s="37" t="n">
        <f aca="false">0.5*(B259-B258)*(W259+W258)</f>
        <v>2.31912601261861E-011</v>
      </c>
      <c r="BA259" s="37" t="n">
        <f aca="false">0.5*(B259-B258)*(X259+X258)</f>
        <v>2.18673933794271E-010</v>
      </c>
      <c r="BB259" s="37" t="n">
        <f aca="false">0.5*(B259-B258)*(Y259+Y258)</f>
        <v>3.5211641230039E-012</v>
      </c>
      <c r="BC259" s="37" t="n">
        <f aca="false">0.5*(B259-B258)*(Z259+Z258)</f>
        <v>2.09909890955662E-010</v>
      </c>
      <c r="BD259" s="37" t="n">
        <f aca="false">0.5*(B259-B258)*(AA259+AA258)</f>
        <v>1.26765062489233E-009</v>
      </c>
      <c r="BE259" s="37" t="n">
        <f aca="false">IF(B259&gt;2000,AK259,-999)</f>
        <v>0.0974965779691596</v>
      </c>
      <c r="BF259" s="37" t="n">
        <f aca="false">IF(AND(B259&lt;1000,AK259&gt;=-3),B259,1000000000)</f>
        <v>1000000000</v>
      </c>
    </row>
    <row r="260" customFormat="false" ht="15" hidden="false" customHeight="false" outlineLevel="0" collapsed="false">
      <c r="A260" s="5" t="n">
        <v>221</v>
      </c>
      <c r="B260" s="47" t="n">
        <f aca="false">20*10^(A260/100)</f>
        <v>3243.62019471786</v>
      </c>
      <c r="C260" s="37" t="n">
        <f aca="false">2*PI()*B260</f>
        <v>20380.2667495222</v>
      </c>
      <c r="D260" s="37" t="n">
        <f aca="false">SQRT(L_Rp0^2+L_Rp1^2*C260)</f>
        <v>98196996.5330356</v>
      </c>
      <c r="E260" s="5" t="str">
        <f aca="false">COMPLEX(D260,C260*L_Mp)</f>
        <v>98196996.5330356+301071957.234687i</v>
      </c>
      <c r="F260" s="5" t="str">
        <f aca="false">IMDIV(1,E260)</f>
        <v>9.79160034907999e-10-3.00210432664872e-09i</v>
      </c>
      <c r="G260" s="5" t="str">
        <f aca="false">COMPLEX(0,C260*L_Cf)</f>
        <v>2.15504565396238e-11i</v>
      </c>
      <c r="H260" s="5" t="str">
        <f aca="false">COMPLEX(0,C260*L_Cbv)</f>
        <v>2.15504565396238e-10i</v>
      </c>
      <c r="I260" s="5" t="str">
        <f aca="false">COMPLEX(L_Rsq+L_Rh,C260*(L_Md+L_Mh)-1/(C260*L_Cd))</f>
        <v>552400610.124532-56447407849.9672i</v>
      </c>
      <c r="J260" s="5" t="str">
        <f aca="false">IMDIV(1,I260)</f>
        <v>1.73350282423829e-13+1.77139089159929e-11i</v>
      </c>
      <c r="K260" s="5" t="str">
        <f aca="false">IMSUM(F260,G260,H260)</f>
        <v>9.79160034907999e-10-2.76504930471286e-09i</v>
      </c>
      <c r="L260" s="5" t="str">
        <f aca="false">IMSUM(IMPRODUCT(IMSUM(F260,G260),H260),IMPRODUCT(IMSUM(J260,L_Yv),K260))</f>
        <v>6.93430855688256e-19+2.22348788761441e-19i</v>
      </c>
      <c r="M260" s="37" t="n">
        <f aca="false">IMABS(IMDIV(IMPRODUCT(J260,F260,H260),L260))^2</f>
        <v>2.74049624392452E-022</v>
      </c>
      <c r="N260" s="5" t="str">
        <f aca="false">IMDIV(IMPRODUCT(L_Yv,K260,E260),H260)</f>
        <v>0.000216033392372678-0.00861818754387902i</v>
      </c>
      <c r="O260" s="37" t="n">
        <f aca="false">IMABS(IMSUM(1,IMPRODUCT(E260,G260),N260))^2</f>
        <v>0.987537207048322</v>
      </c>
      <c r="P260" s="37" t="n">
        <f aca="false">IMABS(N260)^2</f>
        <v>7.43198269680915E-005</v>
      </c>
      <c r="Q260" s="37" t="n">
        <f aca="false">p_Rb^2/(1+(C260*p_Rb*L_Ctot)^2)</f>
        <v>396874089792670</v>
      </c>
      <c r="R260" s="37" t="n">
        <f aca="false">M260*L_Kt^2*Q260</f>
        <v>2.18282733076602E-005</v>
      </c>
      <c r="S260" s="37" t="n">
        <f aca="false">L_kT4*D260</f>
        <v>1.61687442750116E-012</v>
      </c>
      <c r="T260" s="37" t="n">
        <f aca="false">L_kT4*L_Rsq*O260</f>
        <v>5.10111493405398E-012</v>
      </c>
      <c r="U260" s="37" t="n">
        <f aca="false">L_kT4*L_Rh*O260</f>
        <v>3.88114677528362E-012</v>
      </c>
      <c r="V260" s="37" t="n">
        <f aca="false">L_kT4*p_Rv*P260</f>
        <v>6.11861013695016E-013</v>
      </c>
      <c r="W260" s="37" t="n">
        <f aca="false">L_kT4/p_Rb*Q260/R260</f>
        <v>2.99372187985204E-013</v>
      </c>
      <c r="X260" s="37" t="n">
        <f aca="false">p_en^2*(1+p_fc/B260)/R260</f>
        <v>3.02236934072127E-012</v>
      </c>
      <c r="Y260" s="37" t="n">
        <f aca="false">p_in^2*Q260/R260</f>
        <v>4.5454132376723E-014</v>
      </c>
      <c r="Z260" s="37" t="n">
        <f aca="false">p_eo^2/L_G^2/R260</f>
        <v>2.90429420618428E-012</v>
      </c>
      <c r="AA260" s="37" t="n">
        <f aca="false">SUM(S260:Z260)</f>
        <v>1.74824870178013E-011</v>
      </c>
      <c r="AB260" s="47" t="n">
        <f aca="false">10*LOG10(AA260/L_PREF^2)</f>
        <v>-13.5945677691529</v>
      </c>
      <c r="AC260" s="47" t="n">
        <f aca="false">10*LOG10(S260/L_PREF^2)</f>
        <v>-23.9338369904122</v>
      </c>
      <c r="AD260" s="47" t="n">
        <f aca="false">10*LOG10(T260/L_PREF^2)</f>
        <v>-18.9439488252661</v>
      </c>
      <c r="AE260" s="47" t="n">
        <f aca="false">10*LOG10(U260/L_PREF^2)</f>
        <v>-20.1309992434409</v>
      </c>
      <c r="AF260" s="47" t="n">
        <f aca="false">10*LOG10(V260/L_PREF^2)</f>
        <v>-28.1540720944449</v>
      </c>
      <c r="AG260" s="47" t="n">
        <f aca="false">10*LOG10(W260/L_PREF^2)</f>
        <v>-31.258485398954</v>
      </c>
      <c r="AH260" s="47" t="n">
        <f aca="false">10*LOG10(X260/L_PREF^2)</f>
        <v>-21.2171245626341</v>
      </c>
      <c r="AI260" s="47" t="n">
        <f aca="false">10*LOG10(Y260/L_PREF^2)</f>
        <v>-39.4448661891132</v>
      </c>
      <c r="AJ260" s="47" t="n">
        <f aca="false">10*LOG10(Z260/L_PREF^2)</f>
        <v>-21.3901938286379</v>
      </c>
      <c r="AK260" s="47" t="n">
        <f aca="false">10*LOG10(R260/$R$6)</f>
        <v>0.102484782211926</v>
      </c>
      <c r="AL260" s="37" t="n">
        <f aca="false">(12194^2*B260^4/((B260^2+20.6^2)*SQRT((B260^2+107.7^2)*(B260^2+737.9^2))*(B260^2+12194^2))*1.2589254)^2</f>
        <v>1.31277736314119</v>
      </c>
      <c r="AM260" s="37" t="n">
        <f aca="false">0.5*(B260-B259)*(S260*AL260+S259*AL259)</f>
        <v>1.56650292767366E-010</v>
      </c>
      <c r="AN260" s="37" t="n">
        <f aca="false">0.5*(B260-B259)*(T260*AL260+T259*AL259)</f>
        <v>4.95471783465467E-010</v>
      </c>
      <c r="AO260" s="37" t="n">
        <f aca="false">0.5*(B260-B259)*(U260*AL260+U259*AL259)</f>
        <v>3.76976159036034E-010</v>
      </c>
      <c r="AP260" s="37" t="n">
        <f aca="false">0.5*(B260-B259)*(V260*AL260+V259*AL259)</f>
        <v>6.1029867166162E-011</v>
      </c>
      <c r="AQ260" s="37" t="n">
        <f aca="false">0.5*(B260-B259)*(W260*AL260+W259*AL259)</f>
        <v>2.97732135058203E-011</v>
      </c>
      <c r="AR260" s="37" t="n">
        <f aca="false">0.5*(B260-B259)*(X260*AL260+X259*AL259)</f>
        <v>2.93747796743621E-010</v>
      </c>
      <c r="AS260" s="37" t="n">
        <f aca="false">0.5*(B260-B259)*(Y260*AL260+Y259*AL259)</f>
        <v>4.52051206587326E-012</v>
      </c>
      <c r="AT260" s="37" t="n">
        <f aca="false">0.5*(B260-B259)*(Z260*AL260+Z259*AL259)</f>
        <v>2.82173409812759E-010</v>
      </c>
      <c r="AU260" s="37" t="n">
        <f aca="false">0.5*(B260-B259)*(AA260*AL260+AA259*AL259)</f>
        <v>1.7003430345631E-009</v>
      </c>
      <c r="AV260" s="37" t="n">
        <f aca="false">0.5*(B260-B259)*(S260+S259)</f>
        <v>1.19113964370455E-010</v>
      </c>
      <c r="AW260" s="37" t="n">
        <f aca="false">0.5*(B260-B259)*(T260+T259)</f>
        <v>3.76745806563983E-010</v>
      </c>
      <c r="AX260" s="37" t="n">
        <f aca="false">0.5*(B260-B259)*(U260+U259)</f>
        <v>2.86644349549164E-010</v>
      </c>
      <c r="AY260" s="37" t="n">
        <f aca="false">0.5*(B260-B259)*(V260+V259)</f>
        <v>4.64035878209876E-011</v>
      </c>
      <c r="AZ260" s="37" t="n">
        <f aca="false">0.5*(B260-B259)*(W260+W259)</f>
        <v>2.26379487607944E-011</v>
      </c>
      <c r="BA260" s="37" t="n">
        <f aca="false">0.5*(B260-B259)*(X260+X259)</f>
        <v>2.23359088813189E-010</v>
      </c>
      <c r="BB260" s="37" t="n">
        <f aca="false">0.5*(B260-B259)*(Y260+Y259)</f>
        <v>3.43715402100572E-012</v>
      </c>
      <c r="BC260" s="37" t="n">
        <f aca="false">0.5*(B260-B259)*(Z260+Z259)</f>
        <v>2.14558324318119E-010</v>
      </c>
      <c r="BD260" s="37" t="n">
        <f aca="false">0.5*(B260-B259)*(AA260+AA259)</f>
        <v>1.2929002242177E-009</v>
      </c>
      <c r="BE260" s="37" t="n">
        <f aca="false">IF(B260&gt;2000,AK260,-999)</f>
        <v>0.102484782211926</v>
      </c>
      <c r="BF260" s="37" t="n">
        <f aca="false">IF(AND(B260&lt;1000,AK260&gt;=-3),B260,1000000000)</f>
        <v>1000000000</v>
      </c>
    </row>
    <row r="261" customFormat="false" ht="15" hidden="false" customHeight="false" outlineLevel="0" collapsed="false">
      <c r="A261" s="5" t="n">
        <v>222</v>
      </c>
      <c r="B261" s="47" t="n">
        <f aca="false">20*10^(A261/100)</f>
        <v>3319.17381487512</v>
      </c>
      <c r="C261" s="37" t="n">
        <f aca="false">2*PI()*B261</f>
        <v>20854.9841455986</v>
      </c>
      <c r="D261" s="37" t="n">
        <f aca="false">SQRT(L_Rp0^2+L_Rp1^2*C261)</f>
        <v>98642838.5816757</v>
      </c>
      <c r="E261" s="5" t="str">
        <f aca="false">COMPLEX(D261,C261*L_Mp)</f>
        <v>98642838.5816757+308084824.010507i</v>
      </c>
      <c r="F261" s="5" t="str">
        <f aca="false">IMDIV(1,E261)</f>
        <v>9.42627606785913e-10-2.94404808823122e-09i</v>
      </c>
      <c r="G261" s="5" t="str">
        <f aca="false">COMPLEX(0,C261*L_Cf)</f>
        <v>2.2052431157448e-11i</v>
      </c>
      <c r="H261" s="5" t="str">
        <f aca="false">COMPLEX(0,C261*L_Cbv)</f>
        <v>2.2052431157448e-10i</v>
      </c>
      <c r="I261" s="5" t="str">
        <f aca="false">COMPLEX(L_Rsq+L_Rh,C261*(L_Md+L_Mh)-1/(C261*L_Cd))</f>
        <v>552400610.124532-55158971232.6014i</v>
      </c>
      <c r="J261" s="5" t="str">
        <f aca="false">IMDIV(1,I261)</f>
        <v>1.81542486464284e-13+1.81275990736522e-11i</v>
      </c>
      <c r="K261" s="5" t="str">
        <f aca="false">IMSUM(F261,G261,H261)</f>
        <v>9.42627606785913e-10-2.70147134549929e-09i</v>
      </c>
      <c r="L261" s="5" t="str">
        <f aca="false">IMSUM(IMPRODUCT(IMSUM(F261,G261),H261),IMPRODUCT(IMSUM(J261,L_Yv),K261))</f>
        <v>6.95398652333102e-19+2.19066504872962e-19i</v>
      </c>
      <c r="M261" s="37" t="n">
        <f aca="false">IMABS(IMDIV(IMPRODUCT(J261,F261,H261),L261))^2</f>
        <v>2.87310623785054E-022</v>
      </c>
      <c r="N261" s="5" t="str">
        <f aca="false">IMDIV(IMPRODUCT(L_Yv,K261,E261),H261)</f>
        <v>0.000217014244879691-0.00839150822238382i</v>
      </c>
      <c r="O261" s="37" t="n">
        <f aca="false">IMABS(IMSUM(1,IMPRODUCT(E261,G261),N261))^2</f>
        <v>0.986927887807462</v>
      </c>
      <c r="P261" s="37" t="n">
        <f aca="false">IMABS(N261)^2</f>
        <v>7.0464505428816E-005</v>
      </c>
      <c r="Q261" s="37" t="n">
        <f aca="false">p_Rb^2/(1+(C261*p_Rb*L_Ctot)^2)</f>
        <v>379011813342775</v>
      </c>
      <c r="R261" s="37" t="n">
        <f aca="false">M261*L_Kt^2*Q261</f>
        <v>2.18545494084261E-005</v>
      </c>
      <c r="S261" s="37" t="n">
        <f aca="false">L_kT4*D261</f>
        <v>1.6242154932425E-012</v>
      </c>
      <c r="T261" s="37" t="n">
        <f aca="false">L_kT4*L_Rsq*O261</f>
        <v>5.09796750076542E-012</v>
      </c>
      <c r="U261" s="37" t="n">
        <f aca="false">L_kT4*L_Rh*O261</f>
        <v>3.8787520732006E-012</v>
      </c>
      <c r="V261" s="37" t="n">
        <f aca="false">L_kT4*p_Rv*P261</f>
        <v>5.80120884023372E-013</v>
      </c>
      <c r="W261" s="37" t="n">
        <f aca="false">L_kT4/p_Rb*Q261/R261</f>
        <v>2.85554479643156E-013</v>
      </c>
      <c r="X261" s="37" t="n">
        <f aca="false">p_en^2*(1+p_fc/B261)/R261</f>
        <v>3.01668039195624E-012</v>
      </c>
      <c r="Y261" s="37" t="n">
        <f aca="false">p_in^2*Q261/R261</f>
        <v>4.33561688071964E-014</v>
      </c>
      <c r="Z261" s="37" t="n">
        <f aca="false">p_eo^2/L_G^2/R261</f>
        <v>2.90080232329119E-012</v>
      </c>
      <c r="AA261" s="37" t="n">
        <f aca="false">SUM(S261:Z261)</f>
        <v>1.74274493149297E-011</v>
      </c>
      <c r="AB261" s="47" t="n">
        <f aca="false">10*LOG10(AA261/L_PREF^2)</f>
        <v>-13.6082616299664</v>
      </c>
      <c r="AC261" s="47" t="n">
        <f aca="false">10*LOG10(S261/L_PREF^2)</f>
        <v>-23.9141634245886</v>
      </c>
      <c r="AD261" s="47" t="n">
        <f aca="false">10*LOG10(T261/L_PREF^2)</f>
        <v>-18.9466292878695</v>
      </c>
      <c r="AE261" s="47" t="n">
        <f aca="false">10*LOG10(U261/L_PREF^2)</f>
        <v>-20.1336797060442</v>
      </c>
      <c r="AF261" s="47" t="n">
        <f aca="false">10*LOG10(V261/L_PREF^2)</f>
        <v>-28.3854149122349</v>
      </c>
      <c r="AG261" s="47" t="n">
        <f aca="false">10*LOG10(W261/L_PREF^2)</f>
        <v>-31.4637101376801</v>
      </c>
      <c r="AH261" s="47" t="n">
        <f aca="false">10*LOG10(X261/L_PREF^2)</f>
        <v>-21.2253069088531</v>
      </c>
      <c r="AI261" s="47" t="n">
        <f aca="false">10*LOG10(Y261/L_PREF^2)</f>
        <v>-39.6500909278393</v>
      </c>
      <c r="AJ261" s="47" t="n">
        <f aca="false">10*LOG10(Z261/L_PREF^2)</f>
        <v>-21.3954185674416</v>
      </c>
      <c r="AK261" s="47" t="n">
        <f aca="false">10*LOG10(R261/$R$6)</f>
        <v>0.107709521015589</v>
      </c>
      <c r="AL261" s="37" t="n">
        <f aca="false">(12194^2*B261^4/((B261^2+20.6^2)*SQRT((B261^2+107.7^2)*(B261^2+737.9^2))*(B261^2+12194^2))*1.2589254)^2</f>
        <v>1.30760392095198</v>
      </c>
      <c r="AM261" s="37" t="n">
        <f aca="false">0.5*(B261-B260)*(S261*AL261+S260*AL260)</f>
        <v>1.60416454766077E-010</v>
      </c>
      <c r="AN261" s="37" t="n">
        <f aca="false">0.5*(B261-B260)*(T261*AL261+T260*AL260)</f>
        <v>5.0480208795908E-010</v>
      </c>
      <c r="AO261" s="37" t="n">
        <f aca="false">0.5*(B261-B260)*(U261*AL261+U260*AL260)</f>
        <v>3.84075054408113E-010</v>
      </c>
      <c r="AP261" s="37" t="n">
        <f aca="false">0.5*(B261-B260)*(V261*AL261+V260*AL260)</f>
        <v>5.90000346922979E-011</v>
      </c>
      <c r="AQ261" s="37" t="n">
        <f aca="false">0.5*(B261-B260)*(W261*AL261+W260*AL260)</f>
        <v>2.89521921521193E-011</v>
      </c>
      <c r="AR261" s="37" t="n">
        <f aca="false">0.5*(B261-B260)*(X261*AL261+X260*AL260)</f>
        <v>2.98902253830545E-010</v>
      </c>
      <c r="AS261" s="37" t="n">
        <f aca="false">0.5*(B261-B260)*(Y261*AL261+Y260*AL260)</f>
        <v>4.39585515119324E-012</v>
      </c>
      <c r="AT261" s="37" t="n">
        <f aca="false">0.5*(B261-B260)*(Z261*AL261+Z260*AL260)</f>
        <v>2.87322566742713E-010</v>
      </c>
      <c r="AU261" s="37" t="n">
        <f aca="false">0.5*(B261-B260)*(AA261*AL261+AA260*AL260)</f>
        <v>1.72786649970214E-009</v>
      </c>
      <c r="AV261" s="37" t="n">
        <f aca="false">0.5*(B261-B260)*(S261+S260)</f>
        <v>1.224380383837E-010</v>
      </c>
      <c r="AW261" s="37" t="n">
        <f aca="false">0.5*(B261-B260)*(T261+T260)</f>
        <v>3.8528880011648E-010</v>
      </c>
      <c r="AX261" s="37" t="n">
        <f aca="false">0.5*(B261-B260)*(U261+U260)</f>
        <v>2.9314422502858E-010</v>
      </c>
      <c r="AY261" s="37" t="n">
        <f aca="false">0.5*(B261-B260)*(V261+V260)</f>
        <v>4.50292737672744E-011</v>
      </c>
      <c r="AZ261" s="37" t="n">
        <f aca="false">0.5*(B261-B260)*(W261+W260)</f>
        <v>2.20966636329234E-011</v>
      </c>
      <c r="BA261" s="37" t="n">
        <f aca="false">0.5*(B261-B260)*(X261+X260)</f>
        <v>2.28136034806769E-010</v>
      </c>
      <c r="BB261" s="37" t="n">
        <f aca="false">0.5*(B261-B260)*(Y261+Y260)</f>
        <v>3.35496988085099E-012</v>
      </c>
      <c r="BC261" s="37" t="n">
        <f aca="false">0.5*(B261-B260)*(Z261+Z260)</f>
        <v>2.19298029082118E-010</v>
      </c>
      <c r="BD261" s="37" t="n">
        <f aca="false">0.5*(B261-B260)*(AA261+AA260)</f>
        <v>1.3187860346987E-009</v>
      </c>
      <c r="BE261" s="37" t="n">
        <f aca="false">IF(B261&gt;2000,AK261,-999)</f>
        <v>0.107709521015589</v>
      </c>
      <c r="BF261" s="37" t="n">
        <f aca="false">IF(AND(B261&lt;1000,AK261&gt;=-3),B261,1000000000)</f>
        <v>1000000000</v>
      </c>
    </row>
    <row r="262" customFormat="false" ht="15" hidden="false" customHeight="false" outlineLevel="0" collapsed="false">
      <c r="A262" s="5" t="n">
        <v>223</v>
      </c>
      <c r="B262" s="47" t="n">
        <f aca="false">20*10^(A262/100)</f>
        <v>3396.48730492349</v>
      </c>
      <c r="C262" s="37" t="n">
        <f aca="false">2*PI()*B262</f>
        <v>21340.7591303173</v>
      </c>
      <c r="D262" s="37" t="n">
        <f aca="false">SQRT(L_Rp0^2+L_Rp1^2*C262)</f>
        <v>99096989.1549372</v>
      </c>
      <c r="E262" s="5" t="str">
        <f aca="false">COMPLEX(D262,C262*L_Mp)</f>
        <v>99096989.1549371+315261041.438001i</v>
      </c>
      <c r="F262" s="5" t="str">
        <f aca="false">IMDIV(1,E262)</f>
        <v>9.07400671552249e-10-2.88674845880372e-09i</v>
      </c>
      <c r="G262" s="5" t="str">
        <f aca="false">COMPLEX(0,C262*L_Cf)</f>
        <v>2.25660982661703e-11i</v>
      </c>
      <c r="H262" s="5" t="str">
        <f aca="false">COMPLEX(0,C262*L_Cbv)</f>
        <v>2.25660982661703e-10i</v>
      </c>
      <c r="I262" s="5" t="str">
        <f aca="false">COMPLEX(L_Rsq+L_Rh,C262*(L_Md+L_Mh)-1/(C262*L_Cd))</f>
        <v>552400610.124532-53899780631.8986i</v>
      </c>
      <c r="J262" s="5" t="str">
        <f aca="false">IMDIV(1,I262)</f>
        <v>1.9012294835161e-13+1.85510026988047e-11i</v>
      </c>
      <c r="K262" s="5" t="str">
        <f aca="false">IMSUM(F262,G262,H262)</f>
        <v>9.07400671552249e-10-2.63852137787585e-09i</v>
      </c>
      <c r="L262" s="5" t="str">
        <f aca="false">IMSUM(IMPRODUCT(IMSUM(F262,G262),H262),IMPRODUCT(IMSUM(J262,L_Yv),K262))</f>
        <v>6.97268742237165e-19+2.15819433297831e-19i</v>
      </c>
      <c r="M262" s="37" t="n">
        <f aca="false">IMABS(IMDIV(IMPRODUCT(J262,F262,H262),L262))^2</f>
        <v>3.01230511933649E-022</v>
      </c>
      <c r="N262" s="5" t="str">
        <f aca="false">IMDIV(IMPRODUCT(L_Yv,K262,E262),H262)</f>
        <v>0.000218013376140858-0.00816927818962294i</v>
      </c>
      <c r="O262" s="37" t="n">
        <f aca="false">IMABS(IMSUM(1,IMPRODUCT(E262,G262),N262))^2</f>
        <v>0.986290362054014</v>
      </c>
      <c r="P262" s="37" t="n">
        <f aca="false">IMABS(N262)^2</f>
        <v>6.67846359716254E-005</v>
      </c>
      <c r="Q262" s="37" t="n">
        <f aca="false">p_Rb^2/(1+(C262*p_Rb*L_Ctot)^2)</f>
        <v>361953471763065</v>
      </c>
      <c r="R262" s="37" t="n">
        <f aca="false">M262*L_Kt^2*Q262</f>
        <v>2.18821067099698E-005</v>
      </c>
      <c r="S262" s="37" t="n">
        <f aca="false">L_kT4*D262</f>
        <v>1.63169336399279E-012</v>
      </c>
      <c r="T262" s="37" t="n">
        <f aca="false">L_kT4*L_Rsq*O262</f>
        <v>5.09467436697912E-012</v>
      </c>
      <c r="U262" s="37" t="n">
        <f aca="false">L_kT4*L_Rh*O262</f>
        <v>3.87624651593704E-012</v>
      </c>
      <c r="V262" s="37" t="n">
        <f aca="false">L_kT4*p_Rv*P262</f>
        <v>5.49825218005357E-013</v>
      </c>
      <c r="W262" s="37" t="n">
        <f aca="false">L_kT4/p_Rb*Q262/R262</f>
        <v>2.72358982309743E-013</v>
      </c>
      <c r="X262" s="37" t="n">
        <f aca="false">p_en^2*(1+p_fc/B262)/R262</f>
        <v>3.01087553270728E-012</v>
      </c>
      <c r="Y262" s="37" t="n">
        <f aca="false">p_in^2*Q262/R262</f>
        <v>4.13526764767756E-014</v>
      </c>
      <c r="Z262" s="37" t="n">
        <f aca="false">p_eo^2/L_G^2/R262</f>
        <v>2.89714918854502E-012</v>
      </c>
      <c r="AA262" s="37" t="n">
        <f aca="false">SUM(S262:Z262)</f>
        <v>1.73741758449531E-011</v>
      </c>
      <c r="AB262" s="47" t="n">
        <f aca="false">10*LOG10(AA262/L_PREF^2)</f>
        <v>-13.6215577861132</v>
      </c>
      <c r="AC262" s="47" t="n">
        <f aca="false">10*LOG10(S262/L_PREF^2)</f>
        <v>-23.8942144404132</v>
      </c>
      <c r="AD262" s="47" t="n">
        <f aca="false">10*LOG10(T262/L_PREF^2)</f>
        <v>-18.9494356061919</v>
      </c>
      <c r="AE262" s="47" t="n">
        <f aca="false">10*LOG10(U262/L_PREF^2)</f>
        <v>-20.1364860243666</v>
      </c>
      <c r="AF262" s="47" t="n">
        <f aca="false">10*LOG10(V262/L_PREF^2)</f>
        <v>-28.6183533623265</v>
      </c>
      <c r="AG262" s="47" t="n">
        <f aca="false">10*LOG10(W262/L_PREF^2)</f>
        <v>-31.6691828859332</v>
      </c>
      <c r="AH262" s="47" t="n">
        <f aca="false">10*LOG10(X262/L_PREF^2)</f>
        <v>-21.2336718884599</v>
      </c>
      <c r="AI262" s="47" t="n">
        <f aca="false">10*LOG10(Y262/L_PREF^2)</f>
        <v>-39.8555636760923</v>
      </c>
      <c r="AJ262" s="47" t="n">
        <f aca="false">10*LOG10(Z262/L_PREF^2)</f>
        <v>-21.4008913157687</v>
      </c>
      <c r="AK262" s="47" t="n">
        <f aca="false">10*LOG10(R262/$R$6)</f>
        <v>0.113182269342715</v>
      </c>
      <c r="AL262" s="37" t="n">
        <f aca="false">(12194^2*B262^4/((B262^2+20.6^2)*SQRT((B262^2+107.7^2)*(B262^2+737.9^2))*(B262^2+12194^2))*1.2589254)^2</f>
        <v>1.30196903723207</v>
      </c>
      <c r="AM262" s="37" t="n">
        <f aca="false">0.5*(B262-B261)*(S262*AL262+S261*AL261)</f>
        <v>1.6422331547766E-010</v>
      </c>
      <c r="AN262" s="37" t="n">
        <f aca="false">0.5*(B262-B261)*(T262*AL262+T261*AL261)</f>
        <v>5.14104965296579E-010</v>
      </c>
      <c r="AO262" s="37" t="n">
        <f aca="false">0.5*(B262-B261)*(U262*AL262+U261*AL261)</f>
        <v>3.91153082024832E-010</v>
      </c>
      <c r="AP262" s="37" t="n">
        <f aca="false">0.5*(B262-B261)*(V262*AL262+V261*AL261)</f>
        <v>5.69964230505478E-011</v>
      </c>
      <c r="AQ262" s="37" t="n">
        <f aca="false">0.5*(B262-B261)*(W262*AL262+W261*AL261)</f>
        <v>2.81419217020005E-011</v>
      </c>
      <c r="AR262" s="37" t="n">
        <f aca="false">0.5*(B262-B261)*(X262*AL262+X261*AL261)</f>
        <v>3.04023309349205E-010</v>
      </c>
      <c r="AS262" s="37" t="n">
        <f aca="false">0.5*(B262-B261)*(Y262*AL262+Y261*AL261)</f>
        <v>4.27283056247471E-012</v>
      </c>
      <c r="AT262" s="37" t="n">
        <f aca="false">0.5*(B262-B261)*(Z262*AL262+Z261*AL261)</f>
        <v>2.92442104346088E-010</v>
      </c>
      <c r="AU262" s="37" t="n">
        <f aca="false">0.5*(B262-B261)*(AA262*AL262+AA261*AL261)</f>
        <v>1.75535795180939E-009</v>
      </c>
      <c r="AV262" s="37" t="n">
        <f aca="false">0.5*(B262-B261)*(S262+S261)</f>
        <v>1.25862838516124E-010</v>
      </c>
      <c r="AW262" s="37" t="n">
        <f aca="false">0.5*(B262-B261)*(T262+T261)</f>
        <v>3.94014357804213E-010</v>
      </c>
      <c r="AX262" s="37" t="n">
        <f aca="false">0.5*(B262-B261)*(U262+U261)</f>
        <v>2.99783003123193E-010</v>
      </c>
      <c r="AY262" s="37" t="n">
        <f aca="false">0.5*(B262-B261)*(V262+V261)</f>
        <v>4.3680038357194E-011</v>
      </c>
      <c r="AZ262" s="37" t="n">
        <f aca="false">0.5*(B262-B261)*(W262+W261)</f>
        <v>2.15671184442724E-011</v>
      </c>
      <c r="BA262" s="37" t="n">
        <f aca="false">0.5*(B262-B261)*(X262+X261)</f>
        <v>2.33005692498721E-010</v>
      </c>
      <c r="BB262" s="37" t="n">
        <f aca="false">0.5*(B262-B261)*(Y262+Y261)</f>
        <v>3.27456823343547E-012</v>
      </c>
      <c r="BC262" s="37" t="n">
        <f aca="false">0.5*(B262-B261)*(Z262+Z261)</f>
        <v>2.24129933255629E-010</v>
      </c>
      <c r="BD262" s="37" t="n">
        <f aca="false">0.5*(B262-B261)*(AA262+AA261)</f>
        <v>1.34531755023278E-009</v>
      </c>
      <c r="BE262" s="37" t="n">
        <f aca="false">IF(B262&gt;2000,AK262,-999)</f>
        <v>0.113182269342715</v>
      </c>
      <c r="BF262" s="37" t="n">
        <f aca="false">IF(AND(B262&lt;1000,AK262&gt;=-3),B262,1000000000)</f>
        <v>1000000000</v>
      </c>
    </row>
    <row r="263" customFormat="false" ht="15" hidden="false" customHeight="false" outlineLevel="0" collapsed="false">
      <c r="A263" s="5" t="n">
        <v>224</v>
      </c>
      <c r="B263" s="47" t="n">
        <f aca="false">20*10^(A263/100)</f>
        <v>3475.60165749875</v>
      </c>
      <c r="C263" s="37" t="n">
        <f aca="false">2*PI()*B263</f>
        <v>21837.8492680052</v>
      </c>
      <c r="D263" s="37" t="n">
        <f aca="false">SQRT(L_Rp0^2+L_Rp1^2*C263)</f>
        <v>99559573.6811172</v>
      </c>
      <c r="E263" s="5" t="str">
        <f aca="false">COMPLEX(D263,C263*L_Mp)</f>
        <v>99559573.6811172+322604414.442639i</v>
      </c>
      <c r="F263" s="5" t="str">
        <f aca="false">IMDIV(1,E263)</f>
        <v>8.73439026950576e-10-2.83021788284517e-09i</v>
      </c>
      <c r="G263" s="5" t="str">
        <f aca="false">COMPLEX(0,C263*L_Cf)</f>
        <v>2.3091730218891e-11i</v>
      </c>
      <c r="H263" s="5" t="str">
        <f aca="false">COMPLEX(0,C263*L_Cbv)</f>
        <v>2.3091730218891e-10i</v>
      </c>
      <c r="I263" s="5" t="str">
        <f aca="false">COMPLEX(L_Rsq+L_Rh,C263*(L_Md+L_Mh)-1/(C263*L_Cd))</f>
        <v>552400610.124532-52669168408.3347i</v>
      </c>
      <c r="J263" s="5" t="str">
        <f aca="false">IMDIV(1,I263)</f>
        <v>1.99110176261575e-13+1.89843515976023e-11i</v>
      </c>
      <c r="K263" s="5" t="str">
        <f aca="false">IMSUM(F263,G263,H263)</f>
        <v>8.73439026950576e-10-2.57620885043737e-09i</v>
      </c>
      <c r="L263" s="5" t="str">
        <f aca="false">IMSUM(IMPRODUCT(IMSUM(F263,G263),H263),IMPRODUCT(IMSUM(J263,L_Yv),K263))</f>
        <v>6.99042441326464e-19+2.12608490217459e-19i</v>
      </c>
      <c r="M263" s="37" t="n">
        <f aca="false">IMABS(IMDIV(IMPRODUCT(J263,F263,H263),L263))^2</f>
        <v>3.15843715203135E-022</v>
      </c>
      <c r="N263" s="5" t="str">
        <f aca="false">IMDIV(IMPRODUCT(L_Yv,K263,E263),H263)</f>
        <v>0.000219031062098454-0.00795137961629131i</v>
      </c>
      <c r="O263" s="37" t="n">
        <f aca="false">IMABS(IMSUM(1,IMPRODUCT(E263,G263),N263))^2</f>
        <v>0.985623302872048</v>
      </c>
      <c r="P263" s="37" t="n">
        <f aca="false">IMABS(N263)^2</f>
        <v>6.32724124085369E-005</v>
      </c>
      <c r="Q263" s="37" t="n">
        <f aca="false">p_Rb^2/(1+(C263*p_Rb*L_Ctot)^2)</f>
        <v>345662882024077</v>
      </c>
      <c r="R263" s="37" t="n">
        <f aca="false">M263*L_Kt^2*Q263</f>
        <v>2.19110107156046E-005</v>
      </c>
      <c r="S263" s="37" t="n">
        <f aca="false">L_kT4*D263</f>
        <v>1.63931010500673E-012</v>
      </c>
      <c r="T263" s="37" t="n">
        <f aca="false">L_kT4*L_Rsq*O263</f>
        <v>5.09122867852229E-012</v>
      </c>
      <c r="U263" s="37" t="n">
        <f aca="false">L_kT4*L_Rh*O263</f>
        <v>3.87362488854464E-012</v>
      </c>
      <c r="V263" s="37" t="n">
        <f aca="false">L_kT4*p_Rv*P263</f>
        <v>5.20909748778586E-013</v>
      </c>
      <c r="W263" s="37" t="n">
        <f aca="false">L_kT4/p_Rb*Q263/R263</f>
        <v>2.59757695726589E-013</v>
      </c>
      <c r="X263" s="37" t="n">
        <f aca="false">p_en^2*(1+p_fc/B263)/R263</f>
        <v>3.0049461731397E-012</v>
      </c>
      <c r="Y263" s="37" t="n">
        <f aca="false">p_in^2*Q263/R263</f>
        <v>3.94394040638553E-014</v>
      </c>
      <c r="Z263" s="37" t="n">
        <f aca="false">p_eo^2/L_G^2/R263</f>
        <v>2.89332740151943E-012</v>
      </c>
      <c r="AA263" s="37" t="n">
        <f aca="false">SUM(S263:Z263)</f>
        <v>1.73225440953018E-011</v>
      </c>
      <c r="AB263" s="47" t="n">
        <f aca="false">10*LOG10(AA263/L_PREF^2)</f>
        <v>-13.6344831580531</v>
      </c>
      <c r="AC263" s="47" t="n">
        <f aca="false">10*LOG10(S263/L_PREF^2)</f>
        <v>-23.8739887536933</v>
      </c>
      <c r="AD263" s="47" t="n">
        <f aca="false">10*LOG10(T263/L_PREF^2)</f>
        <v>-18.9523738700523</v>
      </c>
      <c r="AE263" s="47" t="n">
        <f aca="false">10*LOG10(U263/L_PREF^2)</f>
        <v>-20.1394242882271</v>
      </c>
      <c r="AF263" s="47" t="n">
        <f aca="false">10*LOG10(V263/L_PREF^2)</f>
        <v>-28.8529750603747</v>
      </c>
      <c r="AG263" s="47" t="n">
        <f aca="false">10*LOG10(W263/L_PREF^2)</f>
        <v>-31.8749156825724</v>
      </c>
      <c r="AH263" s="47" t="n">
        <f aca="false">10*LOG10(X263/L_PREF^2)</f>
        <v>-21.2422329432956</v>
      </c>
      <c r="AI263" s="47" t="n">
        <f aca="false">10*LOG10(Y263/L_PREF^2)</f>
        <v>-40.0612964727315</v>
      </c>
      <c r="AJ263" s="47" t="n">
        <f aca="false">10*LOG10(Z263/L_PREF^2)</f>
        <v>-21.4066241124787</v>
      </c>
      <c r="AK263" s="47" t="n">
        <f aca="false">10*LOG10(R263/$R$6)</f>
        <v>0.118915066052678</v>
      </c>
      <c r="AL263" s="37" t="n">
        <f aca="false">(12194^2*B263^4/((B263^2+20.6^2)*SQRT((B263^2+107.7^2)*(B263^2+737.9^2))*(B263^2+12194^2))*1.2589254)^2</f>
        <v>1.29586980532226</v>
      </c>
      <c r="AM263" s="37" t="n">
        <f aca="false">0.5*(B263-B262)*(S263*AL263+S262*AL262)</f>
        <v>1.68068422403804E-010</v>
      </c>
      <c r="AN263" s="37" t="n">
        <f aca="false">0.5*(B263-B262)*(T263*AL263+T262*AL262)</f>
        <v>5.23368254023733E-010</v>
      </c>
      <c r="AO263" s="37" t="n">
        <f aca="false">0.5*(B263-B262)*(U263*AL263+U262*AL262)</f>
        <v>3.98200988930812E-010</v>
      </c>
      <c r="AP263" s="37" t="n">
        <f aca="false">0.5*(B263-B262)*(V263*AL263+V262*AL262)</f>
        <v>5.50195474003687E-011</v>
      </c>
      <c r="AQ263" s="37" t="n">
        <f aca="false">0.5*(B263-B262)*(W263*AL263+W262*AL262)</f>
        <v>2.73425182188947E-011</v>
      </c>
      <c r="AR263" s="37" t="n">
        <f aca="false">0.5*(B263-B262)*(X263*AL263+X262*AL262)</f>
        <v>3.09103166785261E-010</v>
      </c>
      <c r="AS263" s="37" t="n">
        <f aca="false">0.5*(B263-B262)*(Y263*AL263+Y262*AL262)</f>
        <v>4.15145592180401E-012</v>
      </c>
      <c r="AT263" s="37" t="n">
        <f aca="false">0.5*(B263-B262)*(Z263*AL263+Z262*AL262)</f>
        <v>2.97524323424739E-010</v>
      </c>
      <c r="AU263" s="37" t="n">
        <f aca="false">0.5*(B263-B262)*(AA263*AL263+AA262*AL262)</f>
        <v>1.78277867710942E-009</v>
      </c>
      <c r="AV263" s="37" t="n">
        <f aca="false">0.5*(B263-B262)*(S263+S262)</f>
        <v>1.29391660860669E-010</v>
      </c>
      <c r="AW263" s="37" t="n">
        <f aca="false">0.5*(B263-B262)*(T263+T262)</f>
        <v>4.02925562419625E-010</v>
      </c>
      <c r="AX263" s="37" t="n">
        <f aca="false">0.5*(B263-B262)*(U263+U262)</f>
        <v>3.06563029353559E-010</v>
      </c>
      <c r="AY263" s="37" t="n">
        <f aca="false">0.5*(B263-B262)*(V263+V262)</f>
        <v>4.2355251838404E-011</v>
      </c>
      <c r="AZ263" s="37" t="n">
        <f aca="false">0.5*(B263-B262)*(W263+W262)</f>
        <v>2.10490332386722E-011</v>
      </c>
      <c r="BA263" s="37" t="n">
        <f aca="false">0.5*(B263-B262)*(X263+X262)</f>
        <v>2.37968919733151E-010</v>
      </c>
      <c r="BB263" s="37" t="n">
        <f aca="false">0.5*(B263-B262)*(Y263+Y262)</f>
        <v>3.19590657259029E-012</v>
      </c>
      <c r="BC263" s="37" t="n">
        <f aca="false">0.5*(B263-B262)*(Z263+Z262)</f>
        <v>2.29054903262584E-010</v>
      </c>
      <c r="BD263" s="37" t="n">
        <f aca="false">0.5*(B263-B262)*(AA263+AA262)</f>
        <v>1.37250426727925E-009</v>
      </c>
      <c r="BE263" s="37" t="n">
        <f aca="false">IF(B263&gt;2000,AK263,-999)</f>
        <v>0.118915066052678</v>
      </c>
      <c r="BF263" s="37" t="n">
        <f aca="false">IF(AND(B263&lt;1000,AK263&gt;=-3),B263,1000000000)</f>
        <v>1000000000</v>
      </c>
    </row>
    <row r="264" customFormat="false" ht="15" hidden="false" customHeight="false" outlineLevel="0" collapsed="false">
      <c r="A264" s="5" t="n">
        <v>225</v>
      </c>
      <c r="B264" s="47" t="n">
        <f aca="false">20*10^(A264/100)</f>
        <v>3556.55882007785</v>
      </c>
      <c r="C264" s="37" t="n">
        <f aca="false">2*PI()*B264</f>
        <v>22346.5181224331</v>
      </c>
      <c r="D264" s="37" t="n">
        <f aca="false">SQRT(L_Rp0^2+L_Rp1^2*C264)</f>
        <v>100030718.699866</v>
      </c>
      <c r="E264" s="5" t="str">
        <f aca="false">COMPLEX(D264,C264*L_Mp)</f>
        <v>100030718.699866+330118836.577988i</v>
      </c>
      <c r="F264" s="5" t="str">
        <f aca="false">IMDIV(1,E264)</f>
        <v>8.40703135620659e-10-2.77446713015499e-09i</v>
      </c>
      <c r="G264" s="5" t="str">
        <f aca="false">COMPLEX(0,C264*L_Cf)</f>
        <v>2.36296057126288e-11i</v>
      </c>
      <c r="H264" s="5" t="str">
        <f aca="false">COMPLEX(0,C264*L_Cbv)</f>
        <v>2.36296057126288e-10i</v>
      </c>
      <c r="I264" s="5" t="str">
        <f aca="false">COMPLEX(L_Rsq+L_Rh,C264*(L_Md+L_Mh)-1/(C264*L_Cd))</f>
        <v>552400610.124532-51466482075.0198i</v>
      </c>
      <c r="J264" s="5" t="str">
        <f aca="false">IMDIV(1,I264)</f>
        <v>2.08523571008593e-13+1.94278833745558e-11i</v>
      </c>
      <c r="K264" s="5" t="str">
        <f aca="false">IMSUM(F264,G264,H264)</f>
        <v>8.40703135620659e-10-2.51454146731607e-09i</v>
      </c>
      <c r="L264" s="5" t="str">
        <f aca="false">IMSUM(IMPRODUCT(IMSUM(F264,G264),H264),IMPRODUCT(IMSUM(J264,L_Yv),K264))</f>
        <v>7.00720991879509e-19+2.09434494531484e-19i</v>
      </c>
      <c r="M264" s="37" t="n">
        <f aca="false">IMABS(IMDIV(IMPRODUCT(J264,F264,H264),L264))^2</f>
        <v>3.31186623316815E-022</v>
      </c>
      <c r="N264" s="5" t="str">
        <f aca="false">IMDIV(IMPRODUCT(L_Yv,K264,E264),H264)</f>
        <v>0.000220067581139709-0.00773769696968126i</v>
      </c>
      <c r="O264" s="37" t="n">
        <f aca="false">IMABS(IMSUM(1,IMPRODUCT(E264,G264),N264))^2</f>
        <v>0.984925323395533</v>
      </c>
      <c r="P264" s="37" t="n">
        <f aca="false">IMABS(N264)^2</f>
        <v>5.99203841348833E-005</v>
      </c>
      <c r="Q264" s="37" t="n">
        <f aca="false">p_Rb^2/(1+(C264*p_Rb*L_Ctot)^2)</f>
        <v>330105489600932</v>
      </c>
      <c r="R264" s="37" t="n">
        <f aca="false">M264*L_Kt^2*Q264</f>
        <v>2.19413304872248E-005</v>
      </c>
      <c r="S264" s="37" t="n">
        <f aca="false">L_kT4*D264</f>
        <v>1.64706779983809E-012</v>
      </c>
      <c r="T264" s="37" t="n">
        <f aca="false">L_kT4*L_Rsq*O264</f>
        <v>5.08762327155037E-012</v>
      </c>
      <c r="U264" s="37" t="n">
        <f aca="false">L_kT4*L_Rh*O264</f>
        <v>3.87088174046358E-012</v>
      </c>
      <c r="V264" s="37" t="n">
        <f aca="false">L_kT4*p_Rv*P264</f>
        <v>4.93313136930543E-013</v>
      </c>
      <c r="W264" s="37" t="n">
        <f aca="false">L_kT4/p_Rb*Q264/R264</f>
        <v>2.47723881022842E-013</v>
      </c>
      <c r="X264" s="37" t="n">
        <f aca="false">p_en^2*(1+p_fc/B264)/R264</f>
        <v>2.99888342135498E-012</v>
      </c>
      <c r="Y264" s="37" t="n">
        <f aca="false">p_in^2*Q264/R264</f>
        <v>3.76122917652069E-014</v>
      </c>
      <c r="Z264" s="37" t="n">
        <f aca="false">p_eo^2/L_G^2/R264</f>
        <v>2.88932923804945E-012</v>
      </c>
      <c r="AA264" s="37" t="n">
        <f aca="false">SUM(S264:Z264)</f>
        <v>1.72724347809751E-011</v>
      </c>
      <c r="AB264" s="47" t="n">
        <f aca="false">10*LOG10(AA264/L_PREF^2)</f>
        <v>-13.6470642982244</v>
      </c>
      <c r="AC264" s="47" t="n">
        <f aca="false">10*LOG10(S264/L_PREF^2)</f>
        <v>-23.8534851450823</v>
      </c>
      <c r="AD264" s="47" t="n">
        <f aca="false">10*LOG10(T264/L_PREF^2)</f>
        <v>-18.955450461452</v>
      </c>
      <c r="AE264" s="47" t="n">
        <f aca="false">10*LOG10(U264/L_PREF^2)</f>
        <v>-20.1425008796267</v>
      </c>
      <c r="AF264" s="47" t="n">
        <f aca="false">10*LOG10(V264/L_PREF^2)</f>
        <v>-29.0893731044827</v>
      </c>
      <c r="AG264" s="47" t="n">
        <f aca="false">10*LOG10(W264/L_PREF^2)</f>
        <v>-32.080921159633</v>
      </c>
      <c r="AH264" s="47" t="n">
        <f aca="false">10*LOG10(X264/L_PREF^2)</f>
        <v>-21.2510040801135</v>
      </c>
      <c r="AI264" s="47" t="n">
        <f aca="false">10*LOG10(Y264/L_PREF^2)</f>
        <v>-40.2673019497921</v>
      </c>
      <c r="AJ264" s="47" t="n">
        <f aca="false">10*LOG10(Z264/L_PREF^2)</f>
        <v>-21.4126295896068</v>
      </c>
      <c r="AK264" s="47" t="n">
        <f aca="false">10*LOG10(R264/$R$6)</f>
        <v>0.124920543180837</v>
      </c>
      <c r="AL264" s="37" t="n">
        <f aca="false">(12194^2*B264^4/((B264^2+20.6^2)*SQRT((B264^2+107.7^2)*(B264^2+737.9^2))*(B264^2+12194^2))*1.2589254)^2</f>
        <v>1.28930332277358</v>
      </c>
      <c r="AM264" s="37" t="n">
        <f aca="false">0.5*(B264-B263)*(S264*AL264+S263*AL263)</f>
        <v>1.71949064786309E-010</v>
      </c>
      <c r="AN264" s="37" t="n">
        <f aca="false">0.5*(B264-B263)*(T264*AL264+T263*AL263)</f>
        <v>5.32579086534075E-010</v>
      </c>
      <c r="AO264" s="37" t="n">
        <f aca="false">0.5*(B264-B263)*(U264*AL264+U263*AL263)</f>
        <v>4.052089848998E-010</v>
      </c>
      <c r="AP264" s="37" t="n">
        <f aca="false">0.5*(B264-B263)*(V264*AL264+V263*AL263)</f>
        <v>5.30699087485239E-011</v>
      </c>
      <c r="AQ264" s="37" t="n">
        <f aca="false">0.5*(B264-B263)*(W264*AL264+W263*AL263)</f>
        <v>2.65540860433747E-011</v>
      </c>
      <c r="AR264" s="37" t="n">
        <f aca="false">0.5*(B264-B263)*(X264*AL264+X263*AL263)</f>
        <v>3.14133599897398E-010</v>
      </c>
      <c r="AS264" s="37" t="n">
        <f aca="false">0.5*(B264-B263)*(Y264*AL264+Y263*AL263)</f>
        <v>4.03174707136823E-012</v>
      </c>
      <c r="AT264" s="37" t="n">
        <f aca="false">0.5*(B264-B263)*(Z264*AL264+Z263*AL263)</f>
        <v>3.02561098614108E-010</v>
      </c>
      <c r="AU264" s="37" t="n">
        <f aca="false">0.5*(B264-B263)*(AA264*AL264+AA263*AL263)</f>
        <v>1.81008757659496E-009</v>
      </c>
      <c r="AV264" s="37" t="n">
        <f aca="false">0.5*(B264-B263)*(S264+S263)</f>
        <v>1.33027915169431E-010</v>
      </c>
      <c r="AW264" s="37" t="n">
        <f aca="false">0.5*(B264-B263)*(T264+T263)</f>
        <v>4.12025486095276E-010</v>
      </c>
      <c r="AX264" s="37" t="n">
        <f aca="false">0.5*(B264-B263)*(U264+U263)</f>
        <v>3.13486641129742E-010</v>
      </c>
      <c r="AY264" s="37" t="n">
        <f aca="false">0.5*(B264-B263)*(V264+V263)</f>
        <v>4.10543035248955E-011</v>
      </c>
      <c r="AZ264" s="37" t="n">
        <f aca="false">0.5*(B264-B263)*(W264+W263)</f>
        <v>2.05421342573991E-011</v>
      </c>
      <c r="BA264" s="37" t="n">
        <f aca="false">0.5*(B264-B263)*(X264+X263)</f>
        <v>2.43026504289338E-010</v>
      </c>
      <c r="BB264" s="37" t="n">
        <f aca="false">0.5*(B264-B263)*(Y264+Y263)</f>
        <v>3.11894333311411E-012</v>
      </c>
      <c r="BC264" s="37" t="n">
        <f aca="false">0.5*(B264-B263)*(Z264+Z263)</f>
        <v>2.34073736854325E-010</v>
      </c>
      <c r="BD264" s="37" t="n">
        <f aca="false">0.5*(B264-B263)*(AA264+AA263)</f>
        <v>1.40035566465352E-009</v>
      </c>
      <c r="BE264" s="37" t="n">
        <f aca="false">IF(B264&gt;2000,AK264,-999)</f>
        <v>0.124920543180837</v>
      </c>
      <c r="BF264" s="37" t="n">
        <f aca="false">IF(AND(B264&lt;1000,AK264&gt;=-3),B264,1000000000)</f>
        <v>1000000000</v>
      </c>
    </row>
    <row r="265" customFormat="false" ht="15" hidden="false" customHeight="false" outlineLevel="0" collapsed="false">
      <c r="A265" s="5" t="n">
        <v>226</v>
      </c>
      <c r="B265" s="47" t="n">
        <f aca="false">20*10^(A265/100)</f>
        <v>3639.40171721997</v>
      </c>
      <c r="C265" s="37" t="n">
        <f aca="false">2*PI()*B265</f>
        <v>22867.0353965606</v>
      </c>
      <c r="D265" s="37" t="n">
        <f aca="false">SQRT(L_Rp0^2+L_Rp1^2*C265)</f>
        <v>100510551.858144</v>
      </c>
      <c r="E265" s="5" t="str">
        <f aca="false">COMPLEX(D265,C265*L_Mp)</f>
        <v>100510551.858144+337808292.090131i</v>
      </c>
      <c r="F265" s="5" t="str">
        <f aca="false">IMDIV(1,E265)</f>
        <v>8.09154165500978e-10-2.71950538159694e-09i</v>
      </c>
      <c r="G265" s="5" t="str">
        <f aca="false">COMPLEX(0,C265*L_Cf)</f>
        <v>2.41800099360903e-11i</v>
      </c>
      <c r="H265" s="5" t="str">
        <f aca="false">COMPLEX(0,C265*L_Cbv)</f>
        <v>2.41800099360904e-10i</v>
      </c>
      <c r="I265" s="5" t="str">
        <f aca="false">COMPLEX(L_Rsq+L_Rh,C265*(L_Md+L_Mh)-1/(C265*L_Cd))</f>
        <v>552400610.124532-50291083951.7404i</v>
      </c>
      <c r="J265" s="5" t="str">
        <f aca="false">IMDIV(1,I265)</f>
        <v>2.18383470095199e-13+1.98818415963626e-11i</v>
      </c>
      <c r="K265" s="5" t="str">
        <f aca="false">IMSUM(F265,G265,H265)</f>
        <v>8.09154165500978e-10-2.45352527229995e-09i</v>
      </c>
      <c r="L265" s="5" t="str">
        <f aca="false">IMSUM(IMPRODUCT(IMSUM(F265,G265),H265),IMPRODUCT(IMSUM(J265,L_Yv),K265))</f>
        <v>7.02305557719605e-19+2.06298172654422e-19i</v>
      </c>
      <c r="M265" s="37" t="n">
        <f aca="false">IMABS(IMDIV(IMPRODUCT(J265,F265,H265),L265))^2</f>
        <v>3.47297717130836E-022</v>
      </c>
      <c r="N265" s="5" t="str">
        <f aca="false">IMDIV(IMPRODUCT(L_Yv,K265,E265),H265)</f>
        <v>0.00022112321408791-0.00752811695242504i</v>
      </c>
      <c r="O265" s="37" t="n">
        <f aca="false">IMABS(IMSUM(1,IMPRODUCT(E265,G265),N265))^2</f>
        <v>0.984194974131297</v>
      </c>
      <c r="P265" s="37" t="n">
        <f aca="false">IMABS(N265)^2</f>
        <v>5.67214403251979E-005</v>
      </c>
      <c r="Q265" s="37" t="n">
        <f aca="false">p_Rb^2/(1+(C265*p_Rb*L_Ctot)^2)</f>
        <v>315248295178550</v>
      </c>
      <c r="R265" s="37" t="n">
        <f aca="false">M265*L_Kt^2*Q265</f>
        <v>2.19731388633421E-005</v>
      </c>
      <c r="S265" s="37" t="n">
        <f aca="false">L_kT4*D265</f>
        <v>1.65496855027322E-012</v>
      </c>
      <c r="T265" s="37" t="n">
        <f aca="false">L_kT4*L_Rsq*O265</f>
        <v>5.0838506587189E-012</v>
      </c>
      <c r="U265" s="37" t="n">
        <f aca="false">L_kT4*L_Rh*O265</f>
        <v>3.86801137500141E-012</v>
      </c>
      <c r="V265" s="37" t="n">
        <f aca="false">L_kT4*p_Rv*P265</f>
        <v>4.66976840386314E-013</v>
      </c>
      <c r="W265" s="37" t="n">
        <f aca="false">L_kT4/p_Rb*Q265/R265</f>
        <v>2.36232003909153E-013</v>
      </c>
      <c r="X265" s="37" t="n">
        <f aca="false">p_en^2*(1+p_fc/B265)/R265</f>
        <v>2.9926780695884E-012</v>
      </c>
      <c r="Y265" s="37" t="n">
        <f aca="false">p_in^2*Q265/R265</f>
        <v>3.58674626710344E-014</v>
      </c>
      <c r="Z265" s="37" t="n">
        <f aca="false">p_eo^2/L_G^2/R265</f>
        <v>2.88514663711556E-012</v>
      </c>
      <c r="AA265" s="37" t="n">
        <f aca="false">SUM(S265:Z265)</f>
        <v>1.7223731597664E-011</v>
      </c>
      <c r="AB265" s="47" t="n">
        <f aca="false">10*LOG10(AA265/L_PREF^2)</f>
        <v>-13.6593274219493</v>
      </c>
      <c r="AC265" s="47" t="n">
        <f aca="false">10*LOG10(S265/L_PREF^2)</f>
        <v>-23.8327024613017</v>
      </c>
      <c r="AD265" s="47" t="n">
        <f aca="false">10*LOG10(T265/L_PREF^2)</f>
        <v>-18.9586720692965</v>
      </c>
      <c r="AE265" s="47" t="n">
        <f aca="false">10*LOG10(U265/L_PREF^2)</f>
        <v>-20.1457224874712</v>
      </c>
      <c r="AF265" s="47" t="n">
        <f aca="false">10*LOG10(V265/L_PREF^2)</f>
        <v>-29.3276464896707</v>
      </c>
      <c r="AG265" s="47" t="n">
        <f aca="false">10*LOG10(W265/L_PREF^2)</f>
        <v>-32.2872125732397</v>
      </c>
      <c r="AH265" s="47" t="n">
        <f aca="false">10*LOG10(X265/L_PREF^2)</f>
        <v>-21.2599999019811</v>
      </c>
      <c r="AI265" s="47" t="n">
        <f aca="false">10*LOG10(Y265/L_PREF^2)</f>
        <v>-40.4735933633988</v>
      </c>
      <c r="AJ265" s="47" t="n">
        <f aca="false">10*LOG10(Z265/L_PREF^2)</f>
        <v>-21.4189210032781</v>
      </c>
      <c r="AK265" s="47" t="n">
        <f aca="false">10*LOG10(R265/$R$6)</f>
        <v>0.131211956852077</v>
      </c>
      <c r="AL265" s="37" t="n">
        <f aca="false">(12194^2*B265^4/((B265^2+20.6^2)*SQRT((B265^2+107.7^2)*(B265^2+737.9^2))*(B265^2+12194^2))*1.2589254)^2</f>
        <v>1.28226672871512</v>
      </c>
      <c r="AM265" s="37" t="n">
        <f aca="false">0.5*(B265-B264)*(S265*AL265+S264*AL264)</f>
        <v>1.75862261177435E-010</v>
      </c>
      <c r="AN265" s="37" t="n">
        <f aca="false">0.5*(B265-B264)*(T265*AL265+T264*AL264)</f>
        <v>5.41723876448706E-010</v>
      </c>
      <c r="AO265" s="37" t="n">
        <f aca="false">0.5*(B265-B264)*(U265*AL265+U264*AL264)</f>
        <v>4.12166732832683E-010</v>
      </c>
      <c r="AP265" s="37" t="n">
        <f aca="false">0.5*(B265-B264)*(V265*AL265+V264*AL264)</f>
        <v>5.11479971756814E-011</v>
      </c>
      <c r="AQ265" s="37" t="n">
        <f aca="false">0.5*(B265-B264)*(W265*AL265+W264*AL264)</f>
        <v>2.5776719122977E-011</v>
      </c>
      <c r="AR265" s="37" t="n">
        <f aca="false">0.5*(B265-B264)*(X265*AL265+X264*AL264)</f>
        <v>3.19105947013401E-010</v>
      </c>
      <c r="AS265" s="37" t="n">
        <f aca="false">0.5*(B265-B264)*(Y265*AL265+Y264*AL264)</f>
        <v>3.913718275364E-012</v>
      </c>
      <c r="AT265" s="37" t="n">
        <f aca="false">0.5*(B265-B264)*(Z265*AL265+Z264*AL264)</f>
        <v>3.07543872419634E-010</v>
      </c>
      <c r="AU265" s="37" t="n">
        <f aca="false">0.5*(B265-B264)*(AA265*AL265+AA264*AL264)</f>
        <v>1.83724112446588E-009</v>
      </c>
      <c r="AV265" s="37" t="n">
        <f aca="false">0.5*(B265-B264)*(S265+S264)</f>
        <v>1.36775128855906E-010</v>
      </c>
      <c r="AW265" s="37" t="n">
        <f aca="false">0.5*(B265-B264)*(T265+T264)</f>
        <v>4.21317184294526E-010</v>
      </c>
      <c r="AX265" s="37" t="n">
        <f aca="false">0.5*(B265-B264)*(U265+U264)</f>
        <v>3.20556163179163E-010</v>
      </c>
      <c r="AY265" s="37" t="n">
        <f aca="false">0.5*(B265-B264)*(V265+V264)</f>
        <v>3.97766019087345E-011</v>
      </c>
      <c r="AZ265" s="37" t="n">
        <f aca="false">0.5*(B265-B264)*(W265+W264)</f>
        <v>2.00461537983725E-011</v>
      </c>
      <c r="BA265" s="37" t="n">
        <f aca="false">0.5*(B265-B264)*(X265+X264)</f>
        <v>2.48179156157455E-010</v>
      </c>
      <c r="BB265" s="37" t="n">
        <f aca="false">0.5*(B265-B264)*(Y265+Y264)</f>
        <v>3.04363786939488E-012</v>
      </c>
      <c r="BC265" s="37" t="n">
        <f aca="false">0.5*(B265-B264)*(Z265+Z264)</f>
        <v>2.39187155487974E-010</v>
      </c>
      <c r="BD265" s="37" t="n">
        <f aca="false">0.5*(B265-B264)*(AA265+AA264)</f>
        <v>1.42888118155153E-009</v>
      </c>
      <c r="BE265" s="37" t="n">
        <f aca="false">IF(B265&gt;2000,AK265,-999)</f>
        <v>0.131211956852077</v>
      </c>
      <c r="BF265" s="37" t="n">
        <f aca="false">IF(AND(B265&lt;1000,AK265&gt;=-3),B265,1000000000)</f>
        <v>1000000000</v>
      </c>
    </row>
    <row r="266" customFormat="false" ht="15" hidden="false" customHeight="false" outlineLevel="0" collapsed="false">
      <c r="A266" s="5" t="n">
        <v>227</v>
      </c>
      <c r="B266" s="47" t="n">
        <f aca="false">20*10^(A266/100)</f>
        <v>3724.17427332573</v>
      </c>
      <c r="C266" s="37" t="n">
        <f aca="false">2*PI()*B266</f>
        <v>23399.6770755365</v>
      </c>
      <c r="D266" s="37" t="n">
        <f aca="false">SQRT(L_Rp0^2+L_Rp1^2*C266)</f>
        <v>100999201.906261</v>
      </c>
      <c r="E266" s="5" t="str">
        <f aca="false">COMPLEX(D266,C266*L_Mp)</f>
        <v>100999201.906261+345676858.030161i</v>
      </c>
      <c r="F266" s="5" t="str">
        <f aca="false">IMDIV(1,E266)</f>
        <v>7.78754024694954e-10-2.66534031313178e-09i</v>
      </c>
      <c r="G266" s="5" t="str">
        <f aca="false">COMPLEX(0,C266*L_Cf)</f>
        <v>2.47432347208803e-11i</v>
      </c>
      <c r="H266" s="5" t="str">
        <f aca="false">COMPLEX(0,C266*L_Cbv)</f>
        <v>2.47432347208803e-10i</v>
      </c>
      <c r="I266" s="5" t="str">
        <f aca="false">COMPLEX(L_Rsq+L_Rh,C266*(L_Md+L_Mh)-1/(C266*L_Cd))</f>
        <v>552400610.124532-49142350826.8535i</v>
      </c>
      <c r="J266" s="5" t="str">
        <f aca="false">IMDIV(1,I266)</f>
        <v>2.28711194030839e-13+2.03464759616364e-11i</v>
      </c>
      <c r="K266" s="5" t="str">
        <f aca="false">IMSUM(F266,G266,H266)</f>
        <v>7.78754024694954e-10-2.3931647312021e-09i</v>
      </c>
      <c r="L266" s="5" t="str">
        <f aca="false">IMSUM(IMPRODUCT(IMSUM(F266,G266),H266),IMPRODUCT(IMSUM(J266,L_Yv),K266))</f>
        <v>7.03797219631791e-19+2.03200163246469e-19i</v>
      </c>
      <c r="M266" s="37" t="n">
        <f aca="false">IMABS(IMDIV(IMPRODUCT(J266,F266,H266),L266))^2</f>
        <v>3.64217706195963E-022</v>
      </c>
      <c r="N266" s="5" t="str">
        <f aca="false">IMDIV(IMPRODUCT(L_Yv,K266,E266),H266)</f>
        <v>0.000222198244193776-0.00732252844242335i</v>
      </c>
      <c r="O266" s="37" t="n">
        <f aca="false">IMABS(IMSUM(1,IMPRODUCT(E266,G266),N266))^2</f>
        <v>0.983430740174728</v>
      </c>
      <c r="P266" s="37" t="n">
        <f aca="false">IMABS(N266)^2</f>
        <v>5.36687948498218E-005</v>
      </c>
      <c r="Q266" s="37" t="n">
        <f aca="false">p_Rb^2/(1+(C266*p_Rb*L_Ctot)^2)</f>
        <v>301059784655684</v>
      </c>
      <c r="R266" s="37" t="n">
        <f aca="false">M266*L_Kt^2*Q266</f>
        <v>2.20065126926285E-005</v>
      </c>
      <c r="S266" s="37" t="n">
        <f aca="false">L_kT4*D266</f>
        <v>1.6630144762658E-012</v>
      </c>
      <c r="T266" s="37" t="n">
        <f aca="false">L_kT4*L_Rsq*O266</f>
        <v>5.07990301480114E-012</v>
      </c>
      <c r="U266" s="37" t="n">
        <f aca="false">L_kT4*L_Rh*O266</f>
        <v>3.8650078383904E-012</v>
      </c>
      <c r="V266" s="37" t="n">
        <f aca="false">L_kT4*p_Rv*P266</f>
        <v>4.41844990229867E-013</v>
      </c>
      <c r="W266" s="37" t="n">
        <f aca="false">L_kT4/p_Rb*Q266/R266</f>
        <v>2.25257680434541E-013</v>
      </c>
      <c r="X266" s="37" t="n">
        <f aca="false">p_en^2*(1+p_fc/B266)/R266</f>
        <v>2.98632058001623E-012</v>
      </c>
      <c r="Y266" s="37" t="n">
        <f aca="false">p_in^2*Q266/R266</f>
        <v>3.42012145291573E-014</v>
      </c>
      <c r="Z266" s="37" t="n">
        <f aca="false">p_eo^2/L_G^2/R266</f>
        <v>2.88077118732584E-012</v>
      </c>
      <c r="AA266" s="37" t="n">
        <f aca="false">SUM(S266:Z266)</f>
        <v>1.7176320981993E-011</v>
      </c>
      <c r="AB266" s="47" t="n">
        <f aca="false">10*LOG10(AA266/L_PREF^2)</f>
        <v>-13.6712984395858</v>
      </c>
      <c r="AC266" s="47" t="n">
        <f aca="false">10*LOG10(S266/L_PREF^2)</f>
        <v>-23.811639616304</v>
      </c>
      <c r="AD266" s="47" t="n">
        <f aca="false">10*LOG10(T266/L_PREF^2)</f>
        <v>-18.9620457048868</v>
      </c>
      <c r="AE266" s="47" t="n">
        <f aca="false">10*LOG10(U266/L_PREF^2)</f>
        <v>-20.1490961230616</v>
      </c>
      <c r="AF266" s="47" t="n">
        <f aca="false">10*LOG10(V266/L_PREF^2)</f>
        <v>-29.5679005613077</v>
      </c>
      <c r="AG266" s="47" t="n">
        <f aca="false">10*LOG10(W266/L_PREF^2)</f>
        <v>-32.4938038362592</v>
      </c>
      <c r="AH266" s="47" t="n">
        <f aca="false">10*LOG10(X266/L_PREF^2)</f>
        <v>-21.2692356414161</v>
      </c>
      <c r="AI266" s="47" t="n">
        <f aca="false">10*LOG10(Y266/L_PREF^2)</f>
        <v>-40.6801846264184</v>
      </c>
      <c r="AJ266" s="47" t="n">
        <f aca="false">10*LOG10(Z266/L_PREF^2)</f>
        <v>-21.4255122663593</v>
      </c>
      <c r="AK266" s="47" t="n">
        <f aca="false">10*LOG10(R266/$R$6)</f>
        <v>0.137803219933259</v>
      </c>
      <c r="AL266" s="37" t="n">
        <f aca="false">(12194^2*B266^4/((B266^2+20.6^2)*SQRT((B266^2+107.7^2)*(B266^2+737.9^2))*(B266^2+12194^2))*1.2589254)^2</f>
        <v>1.27475724441902</v>
      </c>
      <c r="AM266" s="37" t="n">
        <f aca="false">0.5*(B266-B265)*(S266*AL266+S265*AL265)</f>
        <v>1.79804747278254E-010</v>
      </c>
      <c r="AN266" s="37" t="n">
        <f aca="false">0.5*(B266-B265)*(T266*AL266+T265*AL265)</f>
        <v>5.5078830885071E-010</v>
      </c>
      <c r="AO266" s="37" t="n">
        <f aca="false">0.5*(B266-B265)*(U266*AL266+U265*AL265)</f>
        <v>4.19063341327418E-010</v>
      </c>
      <c r="AP266" s="37" t="n">
        <f aca="false">0.5*(B266-B265)*(V266*AL266+V265*AL265)</f>
        <v>4.92542948624075E-011</v>
      </c>
      <c r="AQ266" s="37" t="n">
        <f aca="false">0.5*(B266-B265)*(W266*AL266+W265*AL265)</f>
        <v>2.50105022819534E-011</v>
      </c>
      <c r="AR266" s="37" t="n">
        <f aca="false">0.5*(B266-B265)*(X266*AL266+X265*AL265)</f>
        <v>3.2401110729558E-010</v>
      </c>
      <c r="AS266" s="37" t="n">
        <f aca="false">0.5*(B266-B265)*(Y266*AL266+Y265*AL265)</f>
        <v>3.79738241278588E-012</v>
      </c>
      <c r="AT266" s="37" t="n">
        <f aca="false">0.5*(B266-B265)*(Z266*AL266+Z265*AL265)</f>
        <v>3.12463651178414E-010</v>
      </c>
      <c r="AU266" s="37" t="n">
        <f aca="false">0.5*(B266-B265)*(AA266*AL266+AA265*AL265)</f>
        <v>1.86419333548752E-009</v>
      </c>
      <c r="AV266" s="37" t="n">
        <f aca="false">0.5*(B266-B265)*(S266+S265)</f>
        <v>1.40636951137634E-010</v>
      </c>
      <c r="AW266" s="37" t="n">
        <f aca="false">0.5*(B266-B265)*(T266+T265)</f>
        <v>4.30803689266847E-010</v>
      </c>
      <c r="AX266" s="37" t="n">
        <f aca="false">0.5*(B266-B265)*(U266+U265)</f>
        <v>3.27773902567124E-010</v>
      </c>
      <c r="AY266" s="37" t="n">
        <f aca="false">0.5*(B266-B265)*(V266+V265)</f>
        <v>3.8521574813029E-011</v>
      </c>
      <c r="AZ266" s="37" t="n">
        <f aca="false">0.5*(B266-B265)*(W266+W265)</f>
        <v>1.95608300791297E-011</v>
      </c>
      <c r="BA266" s="37" t="n">
        <f aca="false">0.5*(B266-B265)*(X266+X265)</f>
        <v>2.53427499239963E-010</v>
      </c>
      <c r="BB266" s="37" t="n">
        <f aca="false">0.5*(B266-B265)*(Y266+Y265)</f>
        <v>2.96995043460514E-012</v>
      </c>
      <c r="BC266" s="37" t="n">
        <f aca="false">0.5*(B266-B265)*(Z266+Z265)</f>
        <v>2.44395796136857E-010</v>
      </c>
      <c r="BD266" s="37" t="n">
        <f aca="false">0.5*(B266-B265)*(AA266+AA265)</f>
        <v>1.45809019367519E-009</v>
      </c>
      <c r="BE266" s="37" t="n">
        <f aca="false">IF(B266&gt;2000,AK266,-999)</f>
        <v>0.137803219933259</v>
      </c>
      <c r="BF266" s="37" t="n">
        <f aca="false">IF(AND(B266&lt;1000,AK266&gt;=-3),B266,1000000000)</f>
        <v>1000000000</v>
      </c>
    </row>
    <row r="267" customFormat="false" ht="15" hidden="false" customHeight="false" outlineLevel="0" collapsed="false">
      <c r="A267" s="5" t="n">
        <v>228</v>
      </c>
      <c r="B267" s="47" t="n">
        <f aca="false">20*10^(A267/100)</f>
        <v>3810.92143592649</v>
      </c>
      <c r="C267" s="37" t="n">
        <f aca="false">2*PI()*B267</f>
        <v>23944.7255730291</v>
      </c>
      <c r="D267" s="37" t="n">
        <f aca="false">SQRT(L_Rp0^2+L_Rp1^2*C267)</f>
        <v>101496798.694027</v>
      </c>
      <c r="E267" s="5" t="str">
        <f aca="false">COMPLEX(D267,C267*L_Mp)</f>
        <v>101496798.694027+353728706.415893i</v>
      </c>
      <c r="F267" s="5" t="str">
        <f aca="false">IMDIV(1,E267)</f>
        <v>7.49465391159797e-10-2.61197817792885e-09i</v>
      </c>
      <c r="G267" s="5" t="str">
        <f aca="false">COMPLEX(0,C267*L_Cf)</f>
        <v>2.53195786962346e-11i</v>
      </c>
      <c r="H267" s="5" t="str">
        <f aca="false">COMPLEX(0,C267*L_Cbv)</f>
        <v>2.53195786962346e-10i</v>
      </c>
      <c r="I267" s="5" t="str">
        <f aca="false">COMPLEX(L_Rsq+L_Rh,C267*(L_Md+L_Mh)-1/(C267*L_Cd))</f>
        <v>552400610.124532-48019673626.8509i</v>
      </c>
      <c r="J267" s="5" t="str">
        <f aca="false">IMDIV(1,I267)</f>
        <v>2.39529095045904e-13+2.0822042476829e-11i</v>
      </c>
      <c r="K267" s="5" t="str">
        <f aca="false">IMSUM(F267,G267,H267)</f>
        <v>7.49465391159797e-10-2.33346281227027e-09i</v>
      </c>
      <c r="L267" s="5" t="str">
        <f aca="false">IMSUM(IMPRODUCT(IMSUM(F267,G267),H267),IMPRODUCT(IMSUM(J267,L_Yv),K267))</f>
        <v>7.05196970980048e-19+2.00141021865103e-19i</v>
      </c>
      <c r="M267" s="37" t="n">
        <f aca="false">IMABS(IMDIV(IMPRODUCT(J267,F267,H267),L267))^2</f>
        <v>3.81989676988737E-022</v>
      </c>
      <c r="N267" s="5" t="str">
        <f aca="false">IMDIV(IMPRODUCT(L_Yv,K267,E267),H267)</f>
        <v>0.000223292957126862-0.00712082243392702i</v>
      </c>
      <c r="O267" s="37" t="n">
        <f aca="false">IMABS(IMSUM(1,IMPRODUCT(E267,G267),N267))^2</f>
        <v>0.982631038314796</v>
      </c>
      <c r="P267" s="37" t="n">
        <f aca="false">IMABS(N267)^2</f>
        <v>5.07559718802208E-005</v>
      </c>
      <c r="Q267" s="37" t="n">
        <f aca="false">p_Rb^2/(1+(C267*p_Rb*L_Ctot)^2)</f>
        <v>287509862299284</v>
      </c>
      <c r="R267" s="37" t="n">
        <f aca="false">M267*L_Kt^2*Q267</f>
        <v>2.20415330842783E-005</v>
      </c>
      <c r="S267" s="37" t="n">
        <f aca="false">L_kT4*D267</f>
        <v>1.67120771587342E-012</v>
      </c>
      <c r="T267" s="37" t="n">
        <f aca="false">L_kT4*L_Rsq*O267</f>
        <v>5.07577216173417E-012</v>
      </c>
      <c r="U267" s="37" t="n">
        <f aca="false">L_kT4*L_Rh*O267</f>
        <v>3.86186490840994E-012</v>
      </c>
      <c r="V267" s="37" t="n">
        <f aca="false">L_kT4*p_Rv*P267</f>
        <v>4.17864272195373E-013</v>
      </c>
      <c r="W267" s="37" t="n">
        <f aca="false">L_kT4/p_Rb*Q267/R267</f>
        <v>2.14777625190407E-013</v>
      </c>
      <c r="X267" s="37" t="n">
        <f aca="false">p_en^2*(1+p_fc/B267)/R267</f>
        <v>2.9798010701736E-012</v>
      </c>
      <c r="Y267" s="37" t="n">
        <f aca="false">p_in^2*Q267/R267</f>
        <v>3.26100118807477E-014</v>
      </c>
      <c r="Z267" s="37" t="n">
        <f aca="false">p_eo^2/L_G^2/R267</f>
        <v>2.87619411299766E-012</v>
      </c>
      <c r="AA267" s="37" t="n">
        <f aca="false">SUM(S267:Z267)</f>
        <v>1.71300918784553E-011</v>
      </c>
      <c r="AB267" s="47" t="n">
        <f aca="false">10*LOG10(AA267/L_PREF^2)</f>
        <v>-13.6830029898714</v>
      </c>
      <c r="AC267" s="47" t="n">
        <f aca="false">10*LOG10(S267/L_PREF^2)</f>
        <v>-23.7902955923752</v>
      </c>
      <c r="AD267" s="47" t="n">
        <f aca="false">10*LOG10(T267/L_PREF^2)</f>
        <v>-18.9655787182223</v>
      </c>
      <c r="AE267" s="47" t="n">
        <f aca="false">10*LOG10(U267/L_PREF^2)</f>
        <v>-20.152629136397</v>
      </c>
      <c r="AF267" s="47" t="n">
        <f aca="false">10*LOG10(V267/L_PREF^2)</f>
        <v>-29.8102475120064</v>
      </c>
      <c r="AG267" s="47" t="n">
        <f aca="false">10*LOG10(W267/L_PREF^2)</f>
        <v>-32.7007095528032</v>
      </c>
      <c r="AH267" s="47" t="n">
        <f aca="false">10*LOG10(X267/L_PREF^2)</f>
        <v>-21.2787271953682</v>
      </c>
      <c r="AI267" s="47" t="n">
        <f aca="false">10*LOG10(Y267/L_PREF^2)</f>
        <v>-40.8870903429624</v>
      </c>
      <c r="AJ267" s="47" t="n">
        <f aca="false">10*LOG10(Z267/L_PREF^2)</f>
        <v>-21.4324179829621</v>
      </c>
      <c r="AK267" s="47" t="n">
        <f aca="false">10*LOG10(R267/$R$6)</f>
        <v>0.144708936536101</v>
      </c>
      <c r="AL267" s="37" t="n">
        <f aca="false">(12194^2*B267^4/((B267^2+20.6^2)*SQRT((B267^2+107.7^2)*(B267^2+737.9^2))*(B267^2+12194^2))*1.2589254)^2</f>
        <v>1.26677221702327</v>
      </c>
      <c r="AM267" s="37" t="n">
        <f aca="false">0.5*(B267-B266)*(S267*AL267+S266*AL266)</f>
        <v>1.83772964164676E-010</v>
      </c>
      <c r="AN267" s="37" t="n">
        <f aca="false">0.5*(B267-B266)*(T267*AL267+T266*AL266)</f>
        <v>5.59757333767095E-010</v>
      </c>
      <c r="AO267" s="37" t="n">
        <f aca="false">0.5*(B267-B266)*(U267*AL267+U266*AL266)</f>
        <v>4.25887359719805E-010</v>
      </c>
      <c r="AP267" s="37" t="n">
        <f aca="false">0.5*(B267-B266)*(V267*AL267+V266*AL266)</f>
        <v>4.7389278900336E-011</v>
      </c>
      <c r="AQ267" s="37" t="n">
        <f aca="false">0.5*(B267-B266)*(W267*AL267+W266*AL266)</f>
        <v>2.42555124281829E-011</v>
      </c>
      <c r="AR267" s="37" t="n">
        <f aca="false">0.5*(B267-B266)*(X267*AL267+X266*AL266)</f>
        <v>3.28839539228874E-010</v>
      </c>
      <c r="AS267" s="37" t="n">
        <f aca="false">0.5*(B267-B266)*(Y267*AL267+Y266*AL266)</f>
        <v>3.6827511606735E-012</v>
      </c>
      <c r="AT267" s="37" t="n">
        <f aca="false">0.5*(B267-B266)*(Z267*AL267+Z266*AL266)</f>
        <v>3.17311003197381E-010</v>
      </c>
      <c r="AU267" s="37" t="n">
        <f aca="false">0.5*(B267-B266)*(AA267*AL267+AA266*AL266)</f>
        <v>1.89089574256702E-009</v>
      </c>
      <c r="AV267" s="37" t="n">
        <f aca="false">0.5*(B267-B266)*(S267+S266)</f>
        <v>1.44617157324279E-010</v>
      </c>
      <c r="AW267" s="37" t="n">
        <f aca="false">0.5*(B267-B266)*(T267+T266)</f>
        <v>4.40488002929696E-010</v>
      </c>
      <c r="AX267" s="37" t="n">
        <f aca="false">0.5*(B267-B266)*(U267+U266)</f>
        <v>3.35142143281028E-010</v>
      </c>
      <c r="AY267" s="37" t="n">
        <f aca="false">0.5*(B267-B266)*(V267+V266)</f>
        <v>3.72886695884901E-011</v>
      </c>
      <c r="AZ267" s="37" t="n">
        <f aca="false">0.5*(B267-B266)*(W267+W266)</f>
        <v>1.90859071035608E-011</v>
      </c>
      <c r="BA267" s="37" t="n">
        <f aca="false">0.5*(B267-B266)*(X267+X266)</f>
        <v>2.5877206244246E-010</v>
      </c>
      <c r="BB267" s="37" t="n">
        <f aca="false">0.5*(B267-B266)*(Y267+Y266)</f>
        <v>2.89784216046805E-012</v>
      </c>
      <c r="BC267" s="37" t="n">
        <f aca="false">0.5*(B267-B266)*(Z267+Z266)</f>
        <v>2.49700202497043E-010</v>
      </c>
      <c r="BD267" s="37" t="n">
        <f aca="false">0.5*(B267-B266)*(AA267+AA266)</f>
        <v>1.48799198732702E-009</v>
      </c>
      <c r="BE267" s="37" t="n">
        <f aca="false">IF(B267&gt;2000,AK267,-999)</f>
        <v>0.144708936536101</v>
      </c>
      <c r="BF267" s="37" t="n">
        <f aca="false">IF(AND(B267&lt;1000,AK267&gt;=-3),B267,1000000000)</f>
        <v>1000000000</v>
      </c>
    </row>
    <row r="268" customFormat="false" ht="15" hidden="false" customHeight="false" outlineLevel="0" collapsed="false">
      <c r="A268" s="5" t="n">
        <v>229</v>
      </c>
      <c r="B268" s="47" t="n">
        <f aca="false">20*10^(A268/100)</f>
        <v>3899.68919951609</v>
      </c>
      <c r="C268" s="37" t="n">
        <f aca="false">2*PI()*B268</f>
        <v>24502.4698809664</v>
      </c>
      <c r="D268" s="37" t="n">
        <f aca="false">SQRT(L_Rp0^2+L_Rp1^2*C268)</f>
        <v>102003473.167031</v>
      </c>
      <c r="E268" s="5" t="str">
        <f aca="false">COMPLEX(D268,C268*L_Mp)</f>
        <v>102003473.167031+361968106.44392i</v>
      </c>
      <c r="F268" s="5" t="str">
        <f aca="false">IMDIV(1,E268)</f>
        <v>7.21251737569394e-10-2.55942388637961e-09i</v>
      </c>
      <c r="G268" s="5" t="str">
        <f aca="false">COMPLEX(0,C268*L_Cf)</f>
        <v>2.5909347447358e-11i</v>
      </c>
      <c r="H268" s="5" t="str">
        <f aca="false">COMPLEX(0,C268*L_Cbv)</f>
        <v>2.5909347447358e-10i</v>
      </c>
      <c r="I268" s="5" t="str">
        <f aca="false">COMPLEX(L_Rsq+L_Rh,C268*(L_Md+L_Mh)-1/(C268*L_Cd))</f>
        <v>552400610.124532-46922457093.4207i</v>
      </c>
      <c r="J268" s="5" t="str">
        <f aca="false">IMDIV(1,I268)</f>
        <v>2.50860608334749e-13+2.13088036386546e-11i</v>
      </c>
      <c r="K268" s="5" t="str">
        <f aca="false">IMSUM(F268,G268,H268)</f>
        <v>7.21251737569394e-10-2.27442106445867e-09i</v>
      </c>
      <c r="L268" s="5" t="str">
        <f aca="false">IMSUM(IMPRODUCT(IMSUM(F268,G268),H268),IMPRODUCT(IMSUM(J268,L_Yv),K268))</f>
        <v>7.06505713500245e-19+1.97121225526109e-19i</v>
      </c>
      <c r="M268" s="37" t="n">
        <f aca="false">IMABS(IMDIV(IMPRODUCT(J268,F268,H268),L268))^2</f>
        <v>4.00659252785617E-022</v>
      </c>
      <c r="N268" s="5" t="str">
        <f aca="false">IMDIV(IMPRODUCT(L_Yv,K268,E268),H268)</f>
        <v>0.000224407640967469-0.00692289197974036i</v>
      </c>
      <c r="O268" s="37" t="n">
        <f aca="false">IMABS(IMSUM(1,IMPRODUCT(E268,G268),N268))^2</f>
        <v>0.981794214024939</v>
      </c>
      <c r="P268" s="37" t="n">
        <f aca="false">IMABS(N268)^2</f>
        <v>4.7976792152478E-005</v>
      </c>
      <c r="Q268" s="37" t="n">
        <f aca="false">p_Rb^2/(1+(C268*p_Rb*L_Ctot)^2)</f>
        <v>274569786907413</v>
      </c>
      <c r="R268" s="37" t="n">
        <f aca="false">M268*L_Kt^2*Q268</f>
        <v>2.20782856766303E-005</v>
      </c>
      <c r="S268" s="37" t="n">
        <f aca="false">L_kT4*D268</f>
        <v>1.67955042519645E-012</v>
      </c>
      <c r="T268" s="37" t="n">
        <f aca="false">L_kT4*L_Rsq*O268</f>
        <v>5.07144955307527E-012</v>
      </c>
      <c r="U268" s="37" t="n">
        <f aca="false">L_kT4*L_Rh*O268</f>
        <v>3.85857608256026E-012</v>
      </c>
      <c r="V268" s="37" t="n">
        <f aca="false">L_kT4*p_Rv*P268</f>
        <v>3.94983813577144E-013</v>
      </c>
      <c r="W268" s="37" t="n">
        <f aca="false">L_kT4/p_Rb*Q268/R268</f>
        <v>2.04769601851154E-013</v>
      </c>
      <c r="X268" s="37" t="n">
        <f aca="false">p_en^2*(1+p_fc/B268)/R268</f>
        <v>2.97310929798562E-012</v>
      </c>
      <c r="Y268" s="37" t="n">
        <f aca="false">p_in^2*Q268/R268</f>
        <v>3.10904785508373E-014</v>
      </c>
      <c r="Z268" s="37" t="n">
        <f aca="false">p_eo^2/L_G^2/R268</f>
        <v>2.87140625984147E-012</v>
      </c>
      <c r="AA268" s="37" t="n">
        <f aca="false">SUM(S268:Z268)</f>
        <v>1.70849355126382E-011</v>
      </c>
      <c r="AB268" s="47" t="n">
        <f aca="false">10*LOG10(AA268/L_PREF^2)</f>
        <v>-13.6944664744154</v>
      </c>
      <c r="AC268" s="47" t="n">
        <f aca="false">10*LOG10(S268/L_PREF^2)</f>
        <v>-23.7686694411734</v>
      </c>
      <c r="AD268" s="47" t="n">
        <f aca="false">10*LOG10(T268/L_PREF^2)</f>
        <v>-18.9692788151637</v>
      </c>
      <c r="AE268" s="47" t="n">
        <f aca="false">10*LOG10(U268/L_PREF^2)</f>
        <v>-20.1563292333385</v>
      </c>
      <c r="AF268" s="47" t="n">
        <f aca="false">10*LOG10(V268/L_PREF^2)</f>
        <v>-30.0548069270951</v>
      </c>
      <c r="AG268" s="47" t="n">
        <f aca="false">10*LOG10(W268/L_PREF^2)</f>
        <v>-32.9079450547026</v>
      </c>
      <c r="AH268" s="47" t="n">
        <f aca="false">10*LOG10(X268/L_PREF^2)</f>
        <v>-21.2884911621669</v>
      </c>
      <c r="AI268" s="47" t="n">
        <f aca="false">10*LOG10(Y268/L_PREF^2)</f>
        <v>-41.0943258448617</v>
      </c>
      <c r="AJ268" s="47" t="n">
        <f aca="false">10*LOG10(Z268/L_PREF^2)</f>
        <v>-21.4396534849176</v>
      </c>
      <c r="AK268" s="47" t="n">
        <f aca="false">10*LOG10(R268/$R$6)</f>
        <v>0.151944438491624</v>
      </c>
      <c r="AL268" s="37" t="n">
        <f aca="false">(12194^2*B268^4/((B268^2+20.6^2)*SQRT((B268^2+107.7^2)*(B268^2+737.9^2))*(B268^2+12194^2))*1.2589254)^2</f>
        <v>1.2583091663517</v>
      </c>
      <c r="AM268" s="37" t="n">
        <f aca="false">0.5*(B268-B267)*(S268*AL268+S267*AL267)</f>
        <v>1.87763047032692E-010</v>
      </c>
      <c r="AN268" s="37" t="n">
        <f aca="false">0.5*(B268-B267)*(T268*AL268+T267*AL267)</f>
        <v>5.68615163310549E-010</v>
      </c>
      <c r="AO268" s="37" t="n">
        <f aca="false">0.5*(B268-B267)*(U268*AL268+U267*AL267)</f>
        <v>4.3262677590882E-010</v>
      </c>
      <c r="AP268" s="37" t="n">
        <f aca="false">0.5*(B268-B267)*(V268*AL268+V267*AL267)</f>
        <v>4.55534238741277E-011</v>
      </c>
      <c r="AQ268" s="37" t="n">
        <f aca="false">0.5*(B268-B267)*(W268*AL268+W267*AL267)</f>
        <v>2.35118196945556E-011</v>
      </c>
      <c r="AR268" s="37" t="n">
        <f aca="false">0.5*(B268-B267)*(X268*AL268+X267*AL267)</f>
        <v>3.33581261596435E-010</v>
      </c>
      <c r="AS268" s="37" t="n">
        <f aca="false">0.5*(B268-B267)*(Y268*AL268+Y267*AL267)</f>
        <v>3.56983516740972E-012</v>
      </c>
      <c r="AT268" s="37" t="n">
        <f aca="false">0.5*(B268-B267)*(Z268*AL268+Z267*AL267)</f>
        <v>3.22076059330837E-010</v>
      </c>
      <c r="AU268" s="37" t="n">
        <f aca="false">0.5*(B268-B267)*(AA268*AL268+AA267*AL267)</f>
        <v>1.91729738591543E-009</v>
      </c>
      <c r="AV268" s="37" t="n">
        <f aca="false">0.5*(B268-B267)*(S268+S267)</f>
        <v>1.48719653256206E-010</v>
      </c>
      <c r="AW268" s="37" t="n">
        <f aca="false">0.5*(B268-B267)*(T268+T267)</f>
        <v>4.50373089135722E-010</v>
      </c>
      <c r="AX268" s="37" t="n">
        <f aca="false">0.5*(B268-B267)*(U268+U267)</f>
        <v>3.42663140346944E-010</v>
      </c>
      <c r="AY268" s="37" t="n">
        <f aca="false">0.5*(B268-B267)*(V268+V267)</f>
        <v>3.60773533560562E-011</v>
      </c>
      <c r="AZ268" s="37" t="n">
        <f aca="false">0.5*(B268-B267)*(W268+W267)</f>
        <v>1.86211345323484E-011</v>
      </c>
      <c r="BA268" s="37" t="n">
        <f aca="false">0.5*(B268-B267)*(X268+X267)</f>
        <v>2.64213270115413E-010</v>
      </c>
      <c r="BB268" s="37" t="n">
        <f aca="false">0.5*(B268-B267)*(Y268+Y267)</f>
        <v>2.82727503758621E-012</v>
      </c>
      <c r="BC268" s="37" t="n">
        <f aca="false">0.5*(B268-B267)*(Z268+Z267)</f>
        <v>2.55100815551836E-010</v>
      </c>
      <c r="BD268" s="37" t="n">
        <f aca="false">0.5*(B268-B267)*(AA268+AA267)</f>
        <v>1.51859573133211E-009</v>
      </c>
      <c r="BE268" s="37" t="n">
        <f aca="false">IF(B268&gt;2000,AK268,-999)</f>
        <v>0.151944438491624</v>
      </c>
      <c r="BF268" s="37" t="n">
        <f aca="false">IF(AND(B268&lt;1000,AK268&gt;=-3),B268,1000000000)</f>
        <v>1000000000</v>
      </c>
    </row>
    <row r="269" customFormat="false" ht="15" hidden="false" customHeight="false" outlineLevel="0" collapsed="false">
      <c r="A269" s="5" t="n">
        <v>230</v>
      </c>
      <c r="B269" s="47" t="n">
        <f aca="false">20*10^(A269/100)</f>
        <v>3990.52462993776</v>
      </c>
      <c r="C269" s="37" t="n">
        <f aca="false">2*PI()*B269</f>
        <v>25073.2057227632</v>
      </c>
      <c r="D269" s="37" t="n">
        <f aca="false">SQRT(L_Rp0^2+L_Rp1^2*C269)</f>
        <v>102519357.363091</v>
      </c>
      <c r="E269" s="5" t="str">
        <f aca="false">COMPLEX(D269,C269*L_Mp)</f>
        <v>102519357.363091+370399426.753197i</v>
      </c>
      <c r="F269" s="5" t="str">
        <f aca="false">IMDIV(1,E269)</f>
        <v>6.94077351693391e-10-2.50768108386685e-09i</v>
      </c>
      <c r="G269" s="5" t="str">
        <f aca="false">COMPLEX(0,C269*L_Cf)</f>
        <v>2.65128536774486e-11i</v>
      </c>
      <c r="H269" s="5" t="str">
        <f aca="false">COMPLEX(0,C269*L_Cbv)</f>
        <v>2.65128536774486e-10i</v>
      </c>
      <c r="I269" s="5" t="str">
        <f aca="false">COMPLEX(L_Rsq+L_Rh,C269*(L_Md+L_Mh)-1/(C269*L_Cd))</f>
        <v>552400610.124532-45850119467.8337i</v>
      </c>
      <c r="J269" s="5" t="str">
        <f aca="false">IMDIV(1,I269)</f>
        <v>2.62730305969827e-13+2.18070286233417e-11i</v>
      </c>
      <c r="K269" s="5" t="str">
        <f aca="false">IMSUM(F269,G269,H269)</f>
        <v>6.94077351693391e-10-2.21603969341492e-09i</v>
      </c>
      <c r="L269" s="5" t="str">
        <f aca="false">IMSUM(IMPRODUCT(IMSUM(F269,G269),H269),IMPRODUCT(IMSUM(J269,L_Yv),K269))</f>
        <v>7.07724253244581e-19+1.94141177164448e-19i</v>
      </c>
      <c r="M269" s="37" t="n">
        <f aca="false">IMABS(IMDIV(IMPRODUCT(J269,F269,H269),L269))^2</f>
        <v>4.20274766255558E-022</v>
      </c>
      <c r="N269" s="5" t="str">
        <f aca="false">IMDIV(IMPRODUCT(L_Yv,K269,E269),H269)</f>
        <v>0.000225542586198798-0.0067286321345167i</v>
      </c>
      <c r="O269" s="37" t="n">
        <f aca="false">IMABS(IMSUM(1,IMPRODUCT(E269,G269),N269))^2</f>
        <v>0.980918538336384</v>
      </c>
      <c r="P269" s="37" t="n">
        <f aca="false">IMABS(N269)^2</f>
        <v>4.532535985984E-005</v>
      </c>
      <c r="Q269" s="37" t="n">
        <f aca="false">p_Rb^2/(1+(C269*p_Rb*L_Ctot)^2)</f>
        <v>262212110845306</v>
      </c>
      <c r="R269" s="37" t="n">
        <f aca="false">M269*L_Kt^2*Q269</f>
        <v>2.21168609256299E-005</v>
      </c>
      <c r="S269" s="37" t="n">
        <f aca="false">L_kT4*D269</f>
        <v>1.68804477831935E-012</v>
      </c>
      <c r="T269" s="37" t="n">
        <f aca="false">L_kT4*L_Rsq*O269</f>
        <v>5.06692625785116E-012</v>
      </c>
      <c r="U269" s="37" t="n">
        <f aca="false">L_kT4*L_Rh*O269</f>
        <v>3.85513456577429E-012</v>
      </c>
      <c r="V269" s="37" t="n">
        <f aca="false">L_kT4*p_Rv*P269</f>
        <v>3.7315507531846E-013</v>
      </c>
      <c r="W269" s="37" t="n">
        <f aca="false">L_kT4/p_Rb*Q269/R269</f>
        <v>1.95212375945986E-013</v>
      </c>
      <c r="X269" s="37" t="n">
        <f aca="false">p_en^2*(1+p_fc/B269)/R269</f>
        <v>2.96623464641779E-012</v>
      </c>
      <c r="Y269" s="37" t="n">
        <f aca="false">p_in^2*Q269/R269</f>
        <v>2.96393904775885E-014</v>
      </c>
      <c r="Z269" s="37" t="n">
        <f aca="false">p_eo^2/L_G^2/R269</f>
        <v>2.86639808025283E-012</v>
      </c>
      <c r="AA269" s="37" t="n">
        <f aca="false">SUM(S269:Z269)</f>
        <v>1.70407451703574E-011</v>
      </c>
      <c r="AB269" s="47" t="n">
        <f aca="false">10*LOG10(AA269/L_PREF^2)</f>
        <v>-13.7057140933047</v>
      </c>
      <c r="AC269" s="47" t="n">
        <f aca="false">10*LOG10(S269/L_PREF^2)</f>
        <v>-23.7467602847016</v>
      </c>
      <c r="AD269" s="47" t="n">
        <f aca="false">10*LOG10(T269/L_PREF^2)</f>
        <v>-18.9731540755069</v>
      </c>
      <c r="AE269" s="47" t="n">
        <f aca="false">10*LOG10(U269/L_PREF^2)</f>
        <v>-20.1602044936816</v>
      </c>
      <c r="AF269" s="47" t="n">
        <f aca="false">10*LOG10(V269/L_PREF^2)</f>
        <v>-30.3017063844991</v>
      </c>
      <c r="AG269" s="47" t="n">
        <f aca="false">10*LOG10(W269/L_PREF^2)</f>
        <v>-33.1155264400819</v>
      </c>
      <c r="AH269" s="47" t="n">
        <f aca="false">10*LOG10(X269/L_PREF^2)</f>
        <v>-21.2985448805648</v>
      </c>
      <c r="AI269" s="47" t="n">
        <f aca="false">10*LOG10(Y269/L_PREF^2)</f>
        <v>-41.3019072302411</v>
      </c>
      <c r="AJ269" s="47" t="n">
        <f aca="false">10*LOG10(Z269/L_PREF^2)</f>
        <v>-21.4472348703506</v>
      </c>
      <c r="AK269" s="47" t="n">
        <f aca="false">10*LOG10(R269/$R$6)</f>
        <v>0.159525823924629</v>
      </c>
      <c r="AL269" s="37" t="n">
        <f aca="false">(12194^2*B269^4/((B269^2+20.6^2)*SQRT((B269^2+107.7^2)*(B269^2+737.9^2))*(B269^2+12194^2))*1.2589254)^2</f>
        <v>1.24936583474581</v>
      </c>
      <c r="AM269" s="37" t="n">
        <f aca="false">0.5*(B269-B268)*(S269*AL269+S268*AL268)</f>
        <v>1.9177081460652E-010</v>
      </c>
      <c r="AN269" s="37" t="n">
        <f aca="false">0.5*(B269-B268)*(T269*AL269+T268*AL268)</f>
        <v>5.7734527291091E-010</v>
      </c>
      <c r="AO269" s="37" t="n">
        <f aca="false">0.5*(B269-B268)*(U269*AL269+U268*AL268)</f>
        <v>4.39269017293564E-010</v>
      </c>
      <c r="AP269" s="37" t="n">
        <f aca="false">0.5*(B269-B268)*(V269*AL269+V268*AL268)</f>
        <v>4.37472041997424E-011</v>
      </c>
      <c r="AQ269" s="37" t="n">
        <f aca="false">0.5*(B269-B268)*(W269*AL269+W268*AL268)</f>
        <v>2.27794885122289E-011</v>
      </c>
      <c r="AR269" s="37" t="n">
        <f aca="false">0.5*(B269-B268)*(X269*AL269+X268*AL268)</f>
        <v>3.38225857217748E-010</v>
      </c>
      <c r="AS269" s="37" t="n">
        <f aca="false">0.5*(B269-B268)*(Y269*AL269+Y268*AL268)</f>
        <v>3.45864421567466E-012</v>
      </c>
      <c r="AT269" s="37" t="n">
        <f aca="false">0.5*(B269-B268)*(Z269*AL269+Z268*AL268)</f>
        <v>3.26748516270552E-010</v>
      </c>
      <c r="AU269" s="37" t="n">
        <f aca="false">0.5*(B269-B268)*(AA269*AL269+AA268*AL268)</f>
        <v>1.94334481522694E-009</v>
      </c>
      <c r="AV269" s="37" t="n">
        <f aca="false">0.5*(B269-B268)*(S269+S268)</f>
        <v>1.52948479898648E-010</v>
      </c>
      <c r="AW269" s="37" t="n">
        <f aca="false">0.5*(B269-B268)*(T269+T268)</f>
        <v>4.60461865281056E-010</v>
      </c>
      <c r="AX269" s="37" t="n">
        <f aca="false">0.5*(B269-B268)*(U269+U268)</f>
        <v>3.5033911344483E-010</v>
      </c>
      <c r="AY269" s="37" t="n">
        <f aca="false">0.5*(B269-B268)*(V269+V268)</f>
        <v>3.48871132982264E-011</v>
      </c>
      <c r="AZ269" s="37" t="n">
        <f aca="false">0.5*(B269-B268)*(W269+W268)</f>
        <v>1.81662675570563E-011</v>
      </c>
      <c r="BA269" s="37" t="n">
        <f aca="false">0.5*(B269-B268)*(X269+X268)</f>
        <v>2.69751431806101E-010</v>
      </c>
      <c r="BB269" s="37" t="n">
        <f aca="false">0.5*(B269-B268)*(Y269+Y268)</f>
        <v>2.75821189632424E-012</v>
      </c>
      <c r="BC269" s="37" t="n">
        <f aca="false">0.5*(B269-B268)*(Z269+Z268)</f>
        <v>2.60597963453886E-010</v>
      </c>
      <c r="BD269" s="37" t="n">
        <f aca="false">0.5*(B269-B268)*(AA269+AA268)</f>
        <v>1.54991044663613E-009</v>
      </c>
      <c r="BE269" s="37" t="n">
        <f aca="false">IF(B269&gt;2000,AK269,-999)</f>
        <v>0.159525823924629</v>
      </c>
      <c r="BF269" s="37" t="n">
        <f aca="false">IF(AND(B269&lt;1000,AK269&gt;=-3),B269,1000000000)</f>
        <v>1000000000</v>
      </c>
    </row>
    <row r="270" customFormat="false" ht="15" hidden="false" customHeight="false" outlineLevel="0" collapsed="false">
      <c r="A270" s="5" t="n">
        <v>231</v>
      </c>
      <c r="B270" s="47" t="n">
        <f aca="false">20*10^(A270/100)</f>
        <v>4083.47588933906</v>
      </c>
      <c r="C270" s="37" t="n">
        <f aca="false">2*PI()*B270</f>
        <v>25657.2357101173</v>
      </c>
      <c r="D270" s="37" t="n">
        <f aca="false">SQRT(L_Rp0^2+L_Rp1^2*C270)</f>
        <v>103044584.40887</v>
      </c>
      <c r="E270" s="5" t="str">
        <f aca="false">COMPLEX(D270,C270*L_Mp)</f>
        <v>103044584.40887+379027137.741355i</v>
      </c>
      <c r="F270" s="5" t="str">
        <f aca="false">IMDIV(1,E270)</f>
        <v>6.67907352623653e-10-2.45675222617092e-09i</v>
      </c>
      <c r="G270" s="5" t="str">
        <f aca="false">COMPLEX(0,C270*L_Cf)</f>
        <v>2.71304173734982e-11i</v>
      </c>
      <c r="H270" s="5" t="str">
        <f aca="false">COMPLEX(0,C270*L_Cbv)</f>
        <v>2.71304173734982e-10i</v>
      </c>
      <c r="I270" s="5" t="str">
        <f aca="false">COMPLEX(L_Rsq+L_Rh,C270*(L_Md+L_Mh)-1/(C270*L_Cd))</f>
        <v>552400610.124532-44802092182.4865i</v>
      </c>
      <c r="J270" s="5" t="str">
        <f aca="false">IMDIV(1,I270)</f>
        <v>2.75163953638043e-13+2.23169934830627e-11i</v>
      </c>
      <c r="K270" s="5" t="str">
        <f aca="false">IMSUM(F270,G270,H270)</f>
        <v>6.67907352623653e-10-2.15831763506244e-09i</v>
      </c>
      <c r="L270" s="5" t="str">
        <f aca="false">IMSUM(IMPRODUCT(IMSUM(F270,G270),H270),IMPRODUCT(IMSUM(J270,L_Yv),K270))</f>
        <v>7.08853296653404e-19+1.91201209987076e-19i</v>
      </c>
      <c r="M270" s="37" t="n">
        <f aca="false">IMABS(IMDIV(IMPRODUCT(J270,F270,H270),L270))^2</f>
        <v>4.40887445960806E-022</v>
      </c>
      <c r="N270" s="5" t="str">
        <f aca="false">IMDIV(IMPRODUCT(L_Yv,K270,E270),H270)</f>
        <v>0.000226698085699517-0.00653793989911468i</v>
      </c>
      <c r="O270" s="37" t="n">
        <f aca="false">IMABS(IMSUM(1,IMPRODUCT(E270,G270),N270))^2</f>
        <v>0.980002204590581</v>
      </c>
      <c r="P270" s="37" t="n">
        <f aca="false">IMABS(N270)^2</f>
        <v>4.27960501464955E-005</v>
      </c>
      <c r="Q270" s="37" t="n">
        <f aca="false">p_Rb^2/(1+(C270*p_Rb*L_Ctot)^2)</f>
        <v>250410621825253</v>
      </c>
      <c r="R270" s="37" t="n">
        <f aca="false">M270*L_Kt^2*Q270</f>
        <v>2.21573544148795E-005</v>
      </c>
      <c r="S270" s="37" t="n">
        <f aca="false">L_kT4*D270</f>
        <v>1.69669296725521E-012</v>
      </c>
      <c r="T270" s="37" t="n">
        <f aca="false">L_kT4*L_Rsq*O270</f>
        <v>5.06219294378265E-012</v>
      </c>
      <c r="U270" s="37" t="n">
        <f aca="false">L_kT4*L_Rh*O270</f>
        <v>3.85153325765422E-012</v>
      </c>
      <c r="V270" s="37" t="n">
        <f aca="false">L_kT4*p_Rv*P270</f>
        <v>3.52331749050221E-013</v>
      </c>
      <c r="W270" s="37" t="n">
        <f aca="false">L_kT4/p_Rb*Q270/R270</f>
        <v>1.86085669761132E-013</v>
      </c>
      <c r="X270" s="37" t="n">
        <f aca="false">p_en^2*(1+p_fc/B270)/R270</f>
        <v>2.95916610775283E-012</v>
      </c>
      <c r="Y270" s="37" t="n">
        <f aca="false">p_in^2*Q270/R270</f>
        <v>2.82536688650307E-014</v>
      </c>
      <c r="Z270" s="37" t="n">
        <f aca="false">p_eo^2/L_G^2/R270</f>
        <v>2.86115961822012E-012</v>
      </c>
      <c r="AA270" s="37" t="n">
        <f aca="false">SUM(S270:Z270)</f>
        <v>1.69974159823414E-011</v>
      </c>
      <c r="AB270" s="47" t="n">
        <f aca="false">10*LOG10(AA270/L_PREF^2)</f>
        <v>-13.716770881796</v>
      </c>
      <c r="AC270" s="47" t="n">
        <f aca="false">10*LOG10(S270/L_PREF^2)</f>
        <v>-23.7245673162131</v>
      </c>
      <c r="AD270" s="47" t="n">
        <f aca="false">10*LOG10(T270/L_PREF^2)</f>
        <v>-18.9772129720205</v>
      </c>
      <c r="AE270" s="47" t="n">
        <f aca="false">10*LOG10(U270/L_PREF^2)</f>
        <v>-20.1642633901952</v>
      </c>
      <c r="AF270" s="47" t="n">
        <f aca="false">10*LOG10(V270/L_PREF^2)</f>
        <v>-30.5510821156979</v>
      </c>
      <c r="AG270" s="47" t="n">
        <f aca="false">10*LOG10(W270/L_PREF^2)</f>
        <v>-33.3234706141747</v>
      </c>
      <c r="AH270" s="47" t="n">
        <f aca="false">10*LOG10(X270/L_PREF^2)</f>
        <v>-21.3089064710153</v>
      </c>
      <c r="AI270" s="47" t="n">
        <f aca="false">10*LOG10(Y270/L_PREF^2)</f>
        <v>-41.5098514043338</v>
      </c>
      <c r="AJ270" s="47" t="n">
        <f aca="false">10*LOG10(Z270/L_PREF^2)</f>
        <v>-21.4551790444947</v>
      </c>
      <c r="AK270" s="47" t="n">
        <f aca="false">10*LOG10(R270/$R$6)</f>
        <v>0.167469998068644</v>
      </c>
      <c r="AL270" s="37" t="n">
        <f aca="false">(12194^2*B270^4/((B270^2+20.6^2)*SQRT((B270^2+107.7^2)*(B270^2+737.9^2))*(B270^2+12194^2))*1.2589254)^2</f>
        <v>1.2399402397951</v>
      </c>
      <c r="AM270" s="37" t="n">
        <f aca="false">0.5*(B270-B269)*(S270*AL270+S269*AL269)</f>
        <v>1.95791759366177E-010</v>
      </c>
      <c r="AN270" s="37" t="n">
        <f aca="false">0.5*(B270-B269)*(T270*AL270+T269*AL269)</f>
        <v>5.85930407083222E-010</v>
      </c>
      <c r="AO270" s="37" t="n">
        <f aca="false">0.5*(B270-B269)*(U270*AL270+U269*AL269)</f>
        <v>4.45800955161855E-010</v>
      </c>
      <c r="AP270" s="37" t="n">
        <f aca="false">0.5*(B270-B269)*(V270*AL270+V269*AL269)</f>
        <v>4.19710962045983E-011</v>
      </c>
      <c r="AQ270" s="37" t="n">
        <f aca="false">0.5*(B270-B269)*(W270*AL270+W269*AL269)</f>
        <v>2.2058578613301E-011</v>
      </c>
      <c r="AR270" s="37" t="n">
        <f aca="false">0.5*(B270-B269)*(X270*AL270+X269*AL269)</f>
        <v>3.42762479733781E-010</v>
      </c>
      <c r="AS270" s="37" t="n">
        <f aca="false">0.5*(B270-B269)*(Y270*AL270+Y269*AL269)</f>
        <v>3.34918737468321E-012</v>
      </c>
      <c r="AT270" s="37" t="n">
        <f aca="false">0.5*(B270-B269)*(Z270*AL270+Z269*AL269)</f>
        <v>3.31317642831208E-010</v>
      </c>
      <c r="AU270" s="37" t="n">
        <f aca="false">0.5*(B270-B269)*(AA270*AL270+AA269*AL269)</f>
        <v>1.96898210636883E-009</v>
      </c>
      <c r="AV270" s="37" t="n">
        <f aca="false">0.5*(B270-B269)*(S270+S269)</f>
        <v>1.57307818097138E-010</v>
      </c>
      <c r="AW270" s="37" t="n">
        <f aca="false">0.5*(B270-B269)*(T270+T269)</f>
        <v>4.70757193208883E-010</v>
      </c>
      <c r="AX270" s="37" t="n">
        <f aca="false">0.5*(B270-B269)*(U270+U269)</f>
        <v>3.58172239987583E-010</v>
      </c>
      <c r="AY270" s="37" t="n">
        <f aca="false">0.5*(B270-B269)*(V270+V269)</f>
        <v>3.37174570020598E-011</v>
      </c>
      <c r="AZ270" s="37" t="n">
        <f aca="false">0.5*(B270-B269)*(W270+W269)</f>
        <v>1.77210667778658E-011</v>
      </c>
      <c r="BA270" s="37" t="n">
        <f aca="false">0.5*(B270-B269)*(X270+X269)</f>
        <v>2.7538673127879E-010</v>
      </c>
      <c r="BB270" s="37" t="n">
        <f aca="false">0.5*(B270-B269)*(Y270+Y269)</f>
        <v>2.69061638824536E-012</v>
      </c>
      <c r="BC270" s="37" t="n">
        <f aca="false">0.5*(B270-B269)*(Z270+Z269)</f>
        <v>2.6619185068334E-010</v>
      </c>
      <c r="BD270" s="37" t="n">
        <f aca="false">0.5*(B270-B269)*(AA270+AA269)</f>
        <v>1.5819449734239E-009</v>
      </c>
      <c r="BE270" s="37" t="n">
        <f aca="false">IF(B270&gt;2000,AK270,-999)</f>
        <v>0.167469998068644</v>
      </c>
      <c r="BF270" s="37" t="n">
        <f aca="false">IF(AND(B270&lt;1000,AK270&gt;=-3),B270,1000000000)</f>
        <v>1000000000</v>
      </c>
    </row>
    <row r="271" customFormat="false" ht="15" hidden="false" customHeight="false" outlineLevel="0" collapsed="false">
      <c r="A271" s="5" t="n">
        <v>232</v>
      </c>
      <c r="B271" s="47" t="n">
        <f aca="false">20*10^(A271/100)</f>
        <v>4178.59226170808</v>
      </c>
      <c r="C271" s="37" t="n">
        <f aca="false">2*PI()*B271</f>
        <v>26254.8695034585</v>
      </c>
      <c r="D271" s="37" t="n">
        <f aca="false">SQRT(L_Rp0^2+L_Rp1^2*C271)</f>
        <v>103579288.516719</v>
      </c>
      <c r="E271" s="5" t="str">
        <f aca="false">COMPLEX(D271,C271*L_Mp)</f>
        <v>103579288.516719+387855813.93496i</v>
      </c>
      <c r="F271" s="5" t="str">
        <f aca="false">IMDIV(1,E271)</f>
        <v>6.42707703167981e-10-2.40663865241987e-09i</v>
      </c>
      <c r="G271" s="5" t="str">
        <f aca="false">COMPLEX(0,C271*L_Cf)</f>
        <v>2.77623659759527e-11i</v>
      </c>
      <c r="H271" s="5" t="str">
        <f aca="false">COMPLEX(0,C271*L_Cbv)</f>
        <v>2.77623659759528e-10i</v>
      </c>
      <c r="I271" s="5" t="str">
        <f aca="false">COMPLEX(L_Rsq+L_Rh,C271*(L_Md+L_Mh)-1/(C271*L_Cd))</f>
        <v>552400610.124532-43777819559.4403i</v>
      </c>
      <c r="J271" s="5" t="str">
        <f aca="false">IMDIV(1,I271)</f>
        <v>2.88188570360033e-13+2.28389813499127e-11i</v>
      </c>
      <c r="K271" s="5" t="str">
        <f aca="false">IMSUM(F271,G271,H271)</f>
        <v>6.42707703167981e-10-2.10125262668439e-09i</v>
      </c>
      <c r="L271" s="5" t="str">
        <f aca="false">IMSUM(IMPRODUCT(IMSUM(F271,G271),H271),IMPRODUCT(IMSUM(J271,L_Yv),K271))</f>
        <v>7.09893446730487e-19+1.88301591711416e-19i</v>
      </c>
      <c r="M271" s="37" t="n">
        <f aca="false">IMABS(IMDIV(IMPRODUCT(J271,F271,H271),L271))^2</f>
        <v>4.62551618083193E-022</v>
      </c>
      <c r="N271" s="5" t="str">
        <f aca="false">IMDIV(IMPRODUCT(L_Yv,K271,E271),H271)</f>
        <v>0.000227874434736785-0.00635071416598704i</v>
      </c>
      <c r="O271" s="37" t="n">
        <f aca="false">IMABS(IMSUM(1,IMPRODUCT(E271,G271),N271))^2</f>
        <v>0.979043325067335</v>
      </c>
      <c r="P271" s="37" t="n">
        <f aca="false">IMABS(N271)^2</f>
        <v>4.03834971760751E-005</v>
      </c>
      <c r="Q271" s="37" t="n">
        <f aca="false">p_Rb^2/(1+(C271*p_Rb*L_Ctot)^2)</f>
        <v>239140287306829</v>
      </c>
      <c r="R271" s="37" t="n">
        <f aca="false">M271*L_Kt^2*Q271</f>
        <v>2.21998671891975E-005</v>
      </c>
      <c r="S271" s="37" t="n">
        <f aca="false">L_kT4*D271</f>
        <v>1.7054972018936E-012</v>
      </c>
      <c r="T271" s="37" t="n">
        <f aca="false">L_kT4*L_Rsq*O271</f>
        <v>5.05723985986736E-012</v>
      </c>
      <c r="U271" s="37" t="n">
        <f aca="false">L_kT4*L_Rh*O271</f>
        <v>3.84776473921971E-012</v>
      </c>
      <c r="V271" s="37" t="n">
        <f aca="false">L_kT4*p_Rv*P271</f>
        <v>3.32469658861177E-013</v>
      </c>
      <c r="W271" s="37" t="n">
        <f aca="false">L_kT4/p_Rb*Q271/R271</f>
        <v>1.77370119276365E-013</v>
      </c>
      <c r="X271" s="37" t="n">
        <f aca="false">p_en^2*(1+p_fc/B271)/R271</f>
        <v>2.9518922675051E-012</v>
      </c>
      <c r="Y271" s="37" t="n">
        <f aca="false">p_in^2*Q271/R271</f>
        <v>2.6930373644667E-014</v>
      </c>
      <c r="Z271" s="37" t="n">
        <f aca="false">p_eo^2/L_G^2/R271</f>
        <v>2.85568049385867E-012</v>
      </c>
      <c r="AA271" s="37" t="n">
        <f aca="false">SUM(S271:Z271)</f>
        <v>1.69548447141267E-011</v>
      </c>
      <c r="AB271" s="47" t="n">
        <f aca="false">10*LOG10(AA271/L_PREF^2)</f>
        <v>-13.7276617480789</v>
      </c>
      <c r="AC271" s="47" t="n">
        <f aca="false">10*LOG10(S271/L_PREF^2)</f>
        <v>-23.7020898010473</v>
      </c>
      <c r="AD271" s="47" t="n">
        <f aca="false">10*LOG10(T271/L_PREF^2)</f>
        <v>-18.9814643905068</v>
      </c>
      <c r="AE271" s="47" t="n">
        <f aca="false">10*LOG10(U271/L_PREF^2)</f>
        <v>-20.1685148086815</v>
      </c>
      <c r="AF271" s="47" t="n">
        <f aca="false">10*LOG10(V271/L_PREF^2)</f>
        <v>-30.803079735397</v>
      </c>
      <c r="AG271" s="47" t="n">
        <f aca="false">10*LOG10(W271/L_PREF^2)</f>
        <v>-33.5317953325288</v>
      </c>
      <c r="AH271" s="47" t="n">
        <f aca="false">10*LOG10(X271/L_PREF^2)</f>
        <v>-21.3195948793367</v>
      </c>
      <c r="AI271" s="47" t="n">
        <f aca="false">10*LOG10(Y271/L_PREF^2)</f>
        <v>-41.718176122688</v>
      </c>
      <c r="AJ271" s="47" t="n">
        <f aca="false">10*LOG10(Z271/L_PREF^2)</f>
        <v>-21.4635037628977</v>
      </c>
      <c r="AK271" s="47" t="n">
        <f aca="false">10*LOG10(R271/$R$6)</f>
        <v>0.175794716471741</v>
      </c>
      <c r="AL271" s="37" t="n">
        <f aca="false">(12194^2*B271^4/((B271^2+20.6^2)*SQRT((B271^2+107.7^2)*(B271^2+737.9^2))*(B271^2+12194^2))*1.2589254)^2</f>
        <v>1.2300307298209</v>
      </c>
      <c r="AM271" s="37" t="n">
        <f aca="false">0.5*(B271-B270)*(S271*AL271+S270*AL270)</f>
        <v>1.99821038762409E-010</v>
      </c>
      <c r="AN271" s="37" t="n">
        <f aca="false">0.5*(B271-B270)*(T271*AL271+T270*AL270)</f>
        <v>5.94352590188758E-010</v>
      </c>
      <c r="AO271" s="37" t="n">
        <f aca="false">0.5*(B271-B270)*(U271*AL271+U270*AL270)</f>
        <v>4.52208912877663E-010</v>
      </c>
      <c r="AP271" s="37" t="n">
        <f aca="false">0.5*(B271-B270)*(V271*AL271+V270*AL270)</f>
        <v>4.02255799349709E-011</v>
      </c>
      <c r="AQ271" s="37" t="n">
        <f aca="false">0.5*(B271-B270)*(W271*AL271+W270*AL270)</f>
        <v>2.13491459604068E-011</v>
      </c>
      <c r="AR271" s="37" t="n">
        <f aca="false">0.5*(B271-B270)*(X271*AL271+X270*AL270)</f>
        <v>3.47179863728386E-010</v>
      </c>
      <c r="AS271" s="37" t="n">
        <f aca="false">0.5*(B271-B270)*(Y271*AL271+Y270*AL270)</f>
        <v>3.24147314132692E-012</v>
      </c>
      <c r="AT271" s="37" t="n">
        <f aca="false">0.5*(B271-B270)*(Z271*AL271+Z270*AL270)</f>
        <v>3.35772289518984E-010</v>
      </c>
      <c r="AU271" s="37" t="n">
        <f aca="false">0.5*(B271-B270)*(AA271*AL271+AA270*AL270)</f>
        <v>1.9941508941129E-009</v>
      </c>
      <c r="AV271" s="37" t="n">
        <f aca="false">0.5*(B271-B270)*(S271+S270)</f>
        <v>1.61801993499487E-010</v>
      </c>
      <c r="AW271" s="37" t="n">
        <f aca="false">0.5*(B271-B270)*(T271+T270)</f>
        <v>4.81261869357619E-010</v>
      </c>
      <c r="AX271" s="37" t="n">
        <f aca="false">0.5*(B271-B270)*(U271+U270)</f>
        <v>3.66164647625351E-010</v>
      </c>
      <c r="AY271" s="37" t="n">
        <f aca="false">0.5*(B271-B270)*(V271+V270)</f>
        <v>3.25679128568645E-011</v>
      </c>
      <c r="AZ271" s="37" t="n">
        <f aca="false">0.5*(B271-B270)*(W271+W270)</f>
        <v>1.72852980848831E-011</v>
      </c>
      <c r="BA271" s="37" t="n">
        <f aca="false">0.5*(B271-B270)*(X271+X270)</f>
        <v>2.8111921475802E-010</v>
      </c>
      <c r="BB271" s="37" t="n">
        <f aca="false">0.5*(B271-B270)*(Y271+Y270)</f>
        <v>2.62445296809008E-012</v>
      </c>
      <c r="BC271" s="37" t="n">
        <f aca="false">0.5*(B271-B270)*(Z271+Z270)</f>
        <v>2.71882546437315E-010</v>
      </c>
      <c r="BD271" s="37" t="n">
        <f aca="false">0.5*(B271-B270)*(AA271+AA270)</f>
        <v>1.61470793558763E-009</v>
      </c>
      <c r="BE271" s="37" t="n">
        <f aca="false">IF(B271&gt;2000,AK271,-999)</f>
        <v>0.175794716471741</v>
      </c>
      <c r="BF271" s="37" t="n">
        <f aca="false">IF(AND(B271&lt;1000,AK271&gt;=-3),B271,1000000000)</f>
        <v>1000000000</v>
      </c>
    </row>
    <row r="272" customFormat="false" ht="15" hidden="false" customHeight="false" outlineLevel="0" collapsed="false">
      <c r="A272" s="5" t="n">
        <v>233</v>
      </c>
      <c r="B272" s="47" t="n">
        <f aca="false">20*10^(A272/100)</f>
        <v>4275.92417900447</v>
      </c>
      <c r="C272" s="37" t="n">
        <f aca="false">2*PI()*B272</f>
        <v>26866.4239761348</v>
      </c>
      <c r="D272" s="37" t="n">
        <f aca="false">SQRT(L_Rp0^2+L_Rp1^2*C272)</f>
        <v>104123604.981749</v>
      </c>
      <c r="E272" s="5" t="str">
        <f aca="false">COMPLEX(D272,C272*L_Mp)</f>
        <v>104123604.981749+396890136.414993i</v>
      </c>
      <c r="F272" s="5" t="str">
        <f aca="false">IMDIV(1,E272)</f>
        <v>6.18445218717802e-10-2.35734065551354e-09i</v>
      </c>
      <c r="G272" s="5" t="str">
        <f aca="false">COMPLEX(0,C272*L_Cf)</f>
        <v>2.84090345523261e-11i</v>
      </c>
      <c r="H272" s="5" t="str">
        <f aca="false">COMPLEX(0,C272*L_Cbv)</f>
        <v>2.84090345523261e-10i</v>
      </c>
      <c r="I272" s="5" t="str">
        <f aca="false">COMPLEX(L_Rsq+L_Rh,C272*(L_Md+L_Mh)-1/(C272*L_Cd))</f>
        <v>552400610.124532-42776758515.7925i</v>
      </c>
      <c r="J272" s="5" t="str">
        <f aca="false">IMDIV(1,I272)</f>
        <v>3.01832491363461e-13+2.33732826478307e-11i</v>
      </c>
      <c r="K272" s="5" t="str">
        <f aca="false">IMSUM(F272,G272,H272)</f>
        <v>6.18445218717802e-10-2.04484127543795e-09i</v>
      </c>
      <c r="L272" s="5" t="str">
        <f aca="false">IMSUM(IMPRODUCT(IMSUM(F272,G272),H272),IMPRODUCT(IMSUM(J272,L_Yv),K272))</f>
        <v>7.10845199298253e-19+1.85442528684555e-19i</v>
      </c>
      <c r="M272" s="37" t="n">
        <f aca="false">IMABS(IMDIV(IMPRODUCT(J272,F272,H272),L272))^2</f>
        <v>4.85324924836329E-022</v>
      </c>
      <c r="N272" s="5" t="str">
        <f aca="false">IMDIV(IMPRODUCT(L_Yv,K272,E272),H272)</f>
        <v>0.000229071930959847-0.0061668556655719i</v>
      </c>
      <c r="O272" s="37" t="n">
        <f aca="false">IMABS(IMSUM(1,IMPRODUCT(E272,G272),N272))^2</f>
        <v>0.978039927485481</v>
      </c>
      <c r="P272" s="37" t="n">
        <f aca="false">IMABS(N272)^2</f>
        <v>3.80825827495499E-005</v>
      </c>
      <c r="Q272" s="37" t="n">
        <f aca="false">p_Rb^2/(1+(C272*p_Rb*L_Ctot)^2)</f>
        <v>228377201399516</v>
      </c>
      <c r="R272" s="37" t="n">
        <f aca="false">M272*L_Kt^2*Q272</f>
        <v>2.22445061138048E-005</v>
      </c>
      <c r="S272" s="37" t="n">
        <f aca="false">L_kT4*D272</f>
        <v>1.71445970995237E-012</v>
      </c>
      <c r="T272" s="37" t="n">
        <f aca="false">L_kT4*L_Rsq*O272</f>
        <v>5.0520568183039E-012</v>
      </c>
      <c r="U272" s="37" t="n">
        <f aca="false">L_kT4*L_Rh*O272</f>
        <v>3.84382125915501E-012</v>
      </c>
      <c r="V272" s="37" t="n">
        <f aca="false">L_kT4*p_Rv*P272</f>
        <v>3.13526667591249E-013</v>
      </c>
      <c r="W272" s="37" t="n">
        <f aca="false">L_kT4/p_Rb*Q272/R272</f>
        <v>1.69047233044047E-013</v>
      </c>
      <c r="X272" s="37" t="n">
        <f aca="false">p_en^2*(1+p_fc/B272)/R272</f>
        <v>2.94440128798689E-012</v>
      </c>
      <c r="Y272" s="37" t="n">
        <f aca="false">p_in^2*Q272/R272</f>
        <v>2.56666972320175E-014</v>
      </c>
      <c r="Z272" s="37" t="n">
        <f aca="false">p_eo^2/L_G^2/R272</f>
        <v>2.84994988758602E-012</v>
      </c>
      <c r="AA272" s="37" t="n">
        <f aca="false">SUM(S272:Z272)</f>
        <v>1.69129295608515E-011</v>
      </c>
      <c r="AB272" s="47" t="n">
        <f aca="false">10*LOG10(AA272/L_PREF^2)</f>
        <v>-13.7384115121004</v>
      </c>
      <c r="AC272" s="47" t="n">
        <f aca="false">10*LOG10(S272/L_PREF^2)</f>
        <v>-23.6793270773933</v>
      </c>
      <c r="AD272" s="47" t="n">
        <f aca="false">10*LOG10(T272/L_PREF^2)</f>
        <v>-18.9859176509449</v>
      </c>
      <c r="AE272" s="47" t="n">
        <f aca="false">10*LOG10(U272/L_PREF^2)</f>
        <v>-20.1729680691196</v>
      </c>
      <c r="AF272" s="47" t="n">
        <f aca="false">10*LOG10(V272/L_PREF^2)</f>
        <v>-31.0578550486884</v>
      </c>
      <c r="AG272" s="47" t="n">
        <f aca="false">10*LOG10(W272/L_PREF^2)</f>
        <v>-33.7405192467655</v>
      </c>
      <c r="AH272" s="47" t="n">
        <f aca="false">10*LOG10(X272/L_PREF^2)</f>
        <v>-21.3306299229231</v>
      </c>
      <c r="AI272" s="47" t="n">
        <f aca="false">10*LOG10(Y272/L_PREF^2)</f>
        <v>-41.9269000369247</v>
      </c>
      <c r="AJ272" s="47" t="n">
        <f aca="false">10*LOG10(Z272/L_PREF^2)</f>
        <v>-21.4722276771812</v>
      </c>
      <c r="AK272" s="47" t="n">
        <f aca="false">10*LOG10(R272/$R$6)</f>
        <v>0.184518630755205</v>
      </c>
      <c r="AL272" s="37" t="n">
        <f aca="false">(12194^2*B272^4/((B272^2+20.6^2)*SQRT((B272^2+107.7^2)*(B272^2+737.9^2))*(B272^2+12194^2))*1.2589254)^2</f>
        <v>1.21963604193347</v>
      </c>
      <c r="AM272" s="37" t="n">
        <f aca="false">0.5*(B272-B271)*(S272*AL272+S271*AL271)</f>
        <v>2.0385346759953E-010</v>
      </c>
      <c r="AN272" s="37" t="n">
        <f aca="false">0.5*(B272-B271)*(T272*AL272+T271*AL271)</f>
        <v>6.02593142655979E-010</v>
      </c>
      <c r="AO272" s="37" t="n">
        <f aca="false">0.5*(B272-B271)*(U272*AL272+U271*AL271)</f>
        <v>4.58478678222725E-010</v>
      </c>
      <c r="AP272" s="37" t="n">
        <f aca="false">0.5*(B272-B271)*(V272*AL272+V271*AL271)</f>
        <v>3.85111406762495E-011</v>
      </c>
      <c r="AQ272" s="37" t="n">
        <f aca="false">0.5*(B272-B271)*(W272*AL272+W271*AL271)</f>
        <v>2.06512436009131E-011</v>
      </c>
      <c r="AR272" s="37" t="n">
        <f aca="false">0.5*(B272-B271)*(X272*AL272+X271*AL271)</f>
        <v>3.5146633848011E-010</v>
      </c>
      <c r="AS272" s="37" t="n">
        <f aca="false">0.5*(B272-B271)*(Y272*AL272+Y271*AL271)</f>
        <v>3.13550956986776E-012</v>
      </c>
      <c r="AT272" s="37" t="n">
        <f aca="false">0.5*(B272-B271)*(Z272*AL272+Z271*AL271)</f>
        <v>3.40100901676192E-010</v>
      </c>
      <c r="AU272" s="37" t="n">
        <f aca="false">0.5*(B272-B271)*(AA272*AL272+AA271*AL271)</f>
        <v>2.01879042248157E-009</v>
      </c>
      <c r="AV272" s="37" t="n">
        <f aca="false">0.5*(B272-B271)*(S272+S271)</f>
        <v>1.66435481650501E-010</v>
      </c>
      <c r="AW272" s="37" t="n">
        <f aca="false">0.5*(B272-B271)*(T272+T271)</f>
        <v>4.91978614102205E-010</v>
      </c>
      <c r="AX272" s="37" t="n">
        <f aca="false">0.5*(B272-B271)*(U272+U271)</f>
        <v>3.7431840613593E-010</v>
      </c>
      <c r="AY272" s="37" t="n">
        <f aca="false">0.5*(B272-B271)*(V272+V271)</f>
        <v>3.14380305100188E-011</v>
      </c>
      <c r="AZ272" s="37" t="n">
        <f aca="false">0.5*(B272-B271)*(W272+W271)</f>
        <v>1.68587325430419E-011</v>
      </c>
      <c r="BA272" s="37" t="n">
        <f aca="false">0.5*(B272-B271)*(X272+X271)</f>
        <v>2.86948778349184E-010</v>
      </c>
      <c r="BB272" s="37" t="n">
        <f aca="false">0.5*(B272-B271)*(Y272+Y271)</f>
        <v>2.55968687630084E-012</v>
      </c>
      <c r="BC272" s="37" t="n">
        <f aca="false">0.5*(B272-B271)*(Z272+Z271)</f>
        <v>2.77669972205265E-010</v>
      </c>
      <c r="BD272" s="37" t="n">
        <f aca="false">0.5*(B272-B271)*(AA272+AA271)</f>
        <v>1.64820770237245E-009</v>
      </c>
      <c r="BE272" s="37" t="n">
        <f aca="false">IF(B272&gt;2000,AK272,-999)</f>
        <v>0.184518630755205</v>
      </c>
      <c r="BF272" s="37" t="n">
        <f aca="false">IF(AND(B272&lt;1000,AK272&gt;=-3),B272,1000000000)</f>
        <v>1000000000</v>
      </c>
    </row>
    <row r="273" customFormat="false" ht="15" hidden="false" customHeight="false" outlineLevel="0" collapsed="false">
      <c r="A273" s="5" t="n">
        <v>234</v>
      </c>
      <c r="B273" s="47" t="n">
        <f aca="false">20*10^(A273/100)</f>
        <v>4375.5232478991</v>
      </c>
      <c r="C273" s="37" t="n">
        <f aca="false">2*PI()*B273</f>
        <v>27492.2233824224</v>
      </c>
      <c r="D273" s="37" t="n">
        <f aca="false">SQRT(L_Rp0^2+L_Rp1^2*C273)</f>
        <v>104677670.179157</v>
      </c>
      <c r="E273" s="5" t="str">
        <f aca="false">COMPLEX(D273,C273*L_Mp)</f>
        <v>104677670.179157+406134895.298815i</v>
      </c>
      <c r="F273" s="5" t="str">
        <f aca="false">IMDIV(1,E273)</f>
        <v>5.95087572883542e-10-2.30885754997255e-09i</v>
      </c>
      <c r="G273" s="5" t="str">
        <f aca="false">COMPLEX(0,C273*L_Cf)</f>
        <v>2.90707659748571e-11i</v>
      </c>
      <c r="H273" s="5" t="str">
        <f aca="false">COMPLEX(0,C273*L_Cbv)</f>
        <v>2.90707659748571e-10i</v>
      </c>
      <c r="I273" s="5" t="str">
        <f aca="false">COMPLEX(L_Rsq+L_Rh,C273*(L_Md+L_Mh)-1/(C273*L_Cd))</f>
        <v>552400610.124532-41798378275.7271i</v>
      </c>
      <c r="J273" s="5" t="str">
        <f aca="false">IMDIV(1,I273)</f>
        <v>3.16125434292475e-13+2.39201953128845e-11i</v>
      </c>
      <c r="K273" s="5" t="str">
        <f aca="false">IMSUM(F273,G273,H273)</f>
        <v>5.95087572883542e-10-1.98907912424912e-09i</v>
      </c>
      <c r="L273" s="5" t="str">
        <f aca="false">IMSUM(IMPRODUCT(IMSUM(F273,G273),H273),IMPRODUCT(IMSUM(J273,L_Yv),K273))</f>
        <v>7.11708939309696e-19+1.82624169879583e-19i</v>
      </c>
      <c r="M273" s="37" t="n">
        <f aca="false">IMABS(IMDIV(IMPRODUCT(J273,F273,H273),L273))^2</f>
        <v>5.09268561184568E-022</v>
      </c>
      <c r="N273" s="5" t="str">
        <f aca="false">IMDIV(IMPRODUCT(L_Yv,K273,E273),H273)</f>
        <v>0.000230290874394148-0.00598626691365859i</v>
      </c>
      <c r="O273" s="37" t="n">
        <f aca="false">IMABS(IMSUM(1,IMPRODUCT(E273,G273),N273))^2</f>
        <v>0.976989951372887</v>
      </c>
      <c r="P273" s="37" t="n">
        <f aca="false">IMABS(N273)^2</f>
        <v>3.58884254483928E-005</v>
      </c>
      <c r="Q273" s="37" t="n">
        <f aca="false">p_Rb^2/(1+(C273*p_Rb*L_Ctot)^2)</f>
        <v>218098534155104</v>
      </c>
      <c r="R273" s="37" t="n">
        <f aca="false">M273*L_Kt^2*Q273</f>
        <v>2.22913842614843E-005</v>
      </c>
      <c r="S273" s="37" t="n">
        <f aca="false">L_kT4*D273</f>
        <v>1.72358273693372E-012</v>
      </c>
      <c r="T273" s="37" t="n">
        <f aca="false">L_kT4*L_Rsq*O273</f>
        <v>5.04663317574124E-012</v>
      </c>
      <c r="U273" s="37" t="n">
        <f aca="false">L_kT4*L_Rh*O273</f>
        <v>3.8396947195427E-012</v>
      </c>
      <c r="V273" s="37" t="n">
        <f aca="false">L_kT4*p_Rv*P273</f>
        <v>2.95462587449233E-013</v>
      </c>
      <c r="W273" s="37" t="n">
        <f aca="false">L_kT4/p_Rb*Q273/R273</f>
        <v>1.6109935292306E-013</v>
      </c>
      <c r="X273" s="37" t="n">
        <f aca="false">p_en^2*(1+p_fc/B273)/R273</f>
        <v>2.93668089154409E-012</v>
      </c>
      <c r="Y273" s="37" t="n">
        <f aca="false">p_in^2*Q273/R273</f>
        <v>2.44599585647919E-014</v>
      </c>
      <c r="Z273" s="37" t="n">
        <f aca="false">p_eo^2/L_G^2/R273</f>
        <v>2.84395652395537E-012</v>
      </c>
      <c r="AA273" s="37" t="n">
        <f aca="false">SUM(S273:Z273)</f>
        <v>1.68715699466542E-011</v>
      </c>
      <c r="AB273" s="47" t="n">
        <f aca="false">10*LOG10(AA273/L_PREF^2)</f>
        <v>-13.7490449454528</v>
      </c>
      <c r="AC273" s="47" t="n">
        <f aca="false">10*LOG10(S273/L_PREF^2)</f>
        <v>-23.6562785569811</v>
      </c>
      <c r="AD273" s="47" t="n">
        <f aca="false">10*LOG10(T273/L_PREF^2)</f>
        <v>-18.9905825297849</v>
      </c>
      <c r="AE273" s="47" t="n">
        <f aca="false">10*LOG10(U273/L_PREF^2)</f>
        <v>-20.1776329479596</v>
      </c>
      <c r="AF273" s="47" t="n">
        <f aca="false">10*LOG10(V273/L_PREF^2)</f>
        <v>-31.3155749458109</v>
      </c>
      <c r="AG273" s="47" t="n">
        <f aca="false">10*LOG10(W273/L_PREF^2)</f>
        <v>-33.9496619530669</v>
      </c>
      <c r="AH273" s="47" t="n">
        <f aca="false">10*LOG10(X273/L_PREF^2)</f>
        <v>-21.3420323396788</v>
      </c>
      <c r="AI273" s="47" t="n">
        <f aca="false">10*LOG10(Y273/L_PREF^2)</f>
        <v>-42.1360427432261</v>
      </c>
      <c r="AJ273" s="47" t="n">
        <f aca="false">10*LOG10(Z273/L_PREF^2)</f>
        <v>-21.4813703835272</v>
      </c>
      <c r="AK273" s="47" t="n">
        <f aca="false">10*LOG10(R273/$R$6)</f>
        <v>0.193661337101217</v>
      </c>
      <c r="AL273" s="37" t="n">
        <f aca="false">(12194^2*B273^4/((B273^2+20.6^2)*SQRT((B273^2+107.7^2)*(B273^2+737.9^2))*(B273^2+12194^2))*1.2589254)^2</f>
        <v>1.20875536244381</v>
      </c>
      <c r="AM273" s="37" t="n">
        <f aca="false">0.5*(B273-B272)*(S273*AL273+S272*AL272)</f>
        <v>2.07883511776886E-010</v>
      </c>
      <c r="AN273" s="37" t="n">
        <f aca="false">0.5*(B273-B272)*(T273*AL273+T272*AL272)</f>
        <v>6.10632703128095E-010</v>
      </c>
      <c r="AO273" s="37" t="n">
        <f aca="false">0.5*(B273-B272)*(U273*AL273+U272*AL272)</f>
        <v>4.64595520247348E-010</v>
      </c>
      <c r="AP273" s="37" t="n">
        <f aca="false">0.5*(B273-B272)*(V273*AL273+V272*AL272)</f>
        <v>3.68282701715765E-011</v>
      </c>
      <c r="AQ273" s="37" t="n">
        <f aca="false">0.5*(B273-B272)*(W273*AL273+W272*AL272)</f>
        <v>1.99649224433206E-011</v>
      </c>
      <c r="AR273" s="37" t="n">
        <f aca="false">0.5*(B273-B272)*(X273*AL273+X272*AL272)</f>
        <v>3.55609845636563E-010</v>
      </c>
      <c r="AS273" s="37" t="n">
        <f aca="false">0.5*(B273-B272)*(Y273*AL273+Y272*AL272)</f>
        <v>3.03130438982045E-012</v>
      </c>
      <c r="AT273" s="37" t="n">
        <f aca="false">0.5*(B273-B272)*(Z273*AL273+Z272*AL272)</f>
        <v>3.44291536493305E-010</v>
      </c>
      <c r="AU273" s="37" t="n">
        <f aca="false">0.5*(B273-B272)*(AA273*AL273+AA272*AL272)</f>
        <v>2.04283761428691E-009</v>
      </c>
      <c r="AV273" s="37" t="n">
        <f aca="false">0.5*(B273-B272)*(S273+S272)</f>
        <v>1.7121291326505E-010</v>
      </c>
      <c r="AW273" s="37" t="n">
        <f aca="false">0.5*(B273-B272)*(T273+T272)</f>
        <v>5.02910060231249E-010</v>
      </c>
      <c r="AX273" s="37" t="n">
        <f aca="false">0.5*(B273-B272)*(U273+U272)</f>
        <v>3.82635518657685E-010</v>
      </c>
      <c r="AY273" s="37" t="n">
        <f aca="false">0.5*(B273-B272)*(V273+V272)</f>
        <v>3.03273813844358E-011</v>
      </c>
      <c r="AZ273" s="37" t="n">
        <f aca="false">0.5*(B273-B272)*(W273+W272)</f>
        <v>1.64411462805338E-011</v>
      </c>
      <c r="BA273" s="37" t="n">
        <f aca="false">0.5*(B273-B272)*(X273+X272)</f>
        <v>2.92875154587068E-010</v>
      </c>
      <c r="BB273" s="37" t="n">
        <f aca="false">0.5*(B273-B272)*(Y273+Y272)</f>
        <v>2.49628412208212E-012</v>
      </c>
      <c r="BC273" s="37" t="n">
        <f aca="false">0.5*(B273-B272)*(Z273+Z272)</f>
        <v>2.83553888481368E-010</v>
      </c>
      <c r="BD273" s="37" t="n">
        <f aca="false">0.5*(B273-B272)*(AA273+AA272)</f>
        <v>1.68245234700947E-009</v>
      </c>
      <c r="BE273" s="37" t="n">
        <f aca="false">IF(B273&gt;2000,AK273,-999)</f>
        <v>0.193661337101217</v>
      </c>
      <c r="BF273" s="37" t="n">
        <f aca="false">IF(AND(B273&lt;1000,AK273&gt;=-3),B273,1000000000)</f>
        <v>1000000000</v>
      </c>
    </row>
    <row r="274" customFormat="false" ht="15" hidden="false" customHeight="false" outlineLevel="0" collapsed="false">
      <c r="A274" s="5" t="n">
        <v>235</v>
      </c>
      <c r="B274" s="47" t="n">
        <f aca="false">20*10^(A274/100)</f>
        <v>4477.44227713668</v>
      </c>
      <c r="C274" s="37" t="n">
        <f aca="false">2*PI()*B274</f>
        <v>28132.5995294499</v>
      </c>
      <c r="D274" s="37" t="n">
        <f aca="false">SQRT(L_Rp0^2+L_Rp1^2*C274)</f>
        <v>105241621.561851</v>
      </c>
      <c r="E274" s="5" t="str">
        <f aca="false">COMPLEX(D274,C274*L_Mp)</f>
        <v>105241621.561851+415594992.279955i</v>
      </c>
      <c r="F274" s="5" t="str">
        <f aca="false">IMDIV(1,E274)</f>
        <v>5.72603300177622e-10-2.2611877371819e-09i</v>
      </c>
      <c r="G274" s="5" t="str">
        <f aca="false">COMPLEX(0,C274*L_Cf)</f>
        <v>2.97479111023051e-11i</v>
      </c>
      <c r="H274" s="5" t="str">
        <f aca="false">COMPLEX(0,C274*L_Cbv)</f>
        <v>2.97479111023051e-10i</v>
      </c>
      <c r="I274" s="5" t="str">
        <f aca="false">COMPLEX(L_Rsq+L_Rh,C274*(L_Md+L_Mh)-1/(C274*L_Cd))</f>
        <v>552400610.124532-40842160089.0904i</v>
      </c>
      <c r="J274" s="5" t="str">
        <f aca="false">IMDIV(1,I274)</f>
        <v>3.31098568947438e-13+2.44800250223682e-11i</v>
      </c>
      <c r="K274" s="5" t="str">
        <f aca="false">IMSUM(F274,G274,H274)</f>
        <v>5.72603300177622e-10-1.93396071505654e-09i</v>
      </c>
      <c r="L274" s="5" t="str">
        <f aca="false">IMSUM(IMPRODUCT(IMSUM(F274,G274),H274),IMPRODUCT(IMSUM(J274,L_Yv),K274))</f>
        <v>7.12484937194071e-19+1.79846610766674e-19i</v>
      </c>
      <c r="M274" s="37" t="n">
        <f aca="false">IMABS(IMDIV(IMPRODUCT(J274,F274,H274),L274))^2</f>
        <v>5.34447531669975E-022</v>
      </c>
      <c r="N274" s="5" t="str">
        <f aca="false">IMDIV(IMPRODUCT(L_Yv,K274,E274),H274)</f>
        <v>0.000231531567436074-0.00580885215970052i</v>
      </c>
      <c r="O274" s="37" t="n">
        <f aca="false">IMABS(IMSUM(1,IMPRODUCT(E274,G274),N274))^2</f>
        <v>0.975891244302848</v>
      </c>
      <c r="P274" s="37" t="n">
        <f aca="false">IMABS(N274)^2</f>
        <v>3.37963702799768E-005</v>
      </c>
      <c r="Q274" s="37" t="n">
        <f aca="false">p_Rb^2/(1+(C274*p_Rb*L_Ctot)^2)</f>
        <v>208282483142312</v>
      </c>
      <c r="R274" s="37" t="n">
        <f aca="false">M274*L_Kt^2*Q274</f>
        <v>2.23406213303065E-005</v>
      </c>
      <c r="S274" s="37" t="n">
        <f aca="false">L_kT4*D274</f>
        <v>1.73286854608496E-012</v>
      </c>
      <c r="T274" s="37" t="n">
        <f aca="false">L_kT4*L_Rsq*O274</f>
        <v>5.04095781383779E-012</v>
      </c>
      <c r="U274" s="37" t="n">
        <f aca="false">L_kT4*L_Rh*O274</f>
        <v>3.83537666107216E-012</v>
      </c>
      <c r="V274" s="37" t="n">
        <f aca="false">L_kT4*p_Rv*P274</f>
        <v>2.78239094765343E-013</v>
      </c>
      <c r="W274" s="37" t="n">
        <f aca="false">L_kT4/p_Rb*Q274/R274</f>
        <v>1.53509616583941E-013</v>
      </c>
      <c r="X274" s="37" t="n">
        <f aca="false">p_en^2*(1+p_fc/B274)/R274</f>
        <v>2.92871834348331E-012</v>
      </c>
      <c r="Y274" s="37" t="n">
        <f aca="false">p_in^2*Q274/R274</f>
        <v>2.33075974099882E-014</v>
      </c>
      <c r="Z274" s="37" t="n">
        <f aca="false">p_eo^2/L_G^2/R274</f>
        <v>2.83768865516932E-012</v>
      </c>
      <c r="AA274" s="37" t="n">
        <f aca="false">SUM(S274:Z274)</f>
        <v>1.68306663284068E-011</v>
      </c>
      <c r="AB274" s="47" t="n">
        <f aca="false">10*LOG10(AA274/L_PREF^2)</f>
        <v>-13.759586812332</v>
      </c>
      <c r="AC274" s="47" t="n">
        <f aca="false">10*LOG10(S274/L_PREF^2)</f>
        <v>-23.6329437256976</v>
      </c>
      <c r="AD274" s="47" t="n">
        <f aca="false">10*LOG10(T274/L_PREF^2)</f>
        <v>-18.995469283461</v>
      </c>
      <c r="AE274" s="47" t="n">
        <f aca="false">10*LOG10(U274/L_PREF^2)</f>
        <v>-20.1825197016357</v>
      </c>
      <c r="AF274" s="47" t="n">
        <f aca="false">10*LOG10(V274/L_PREF^2)</f>
        <v>-31.5764183961878</v>
      </c>
      <c r="AG274" s="47" t="n">
        <f aca="false">10*LOG10(W274/L_PREF^2)</f>
        <v>-34.1592440435826</v>
      </c>
      <c r="AH274" s="47" t="n">
        <f aca="false">10*LOG10(X274/L_PREF^2)</f>
        <v>-21.3538238398665</v>
      </c>
      <c r="AI274" s="47" t="n">
        <f aca="false">10*LOG10(Y274/L_PREF^2)</f>
        <v>-42.3456248337418</v>
      </c>
      <c r="AJ274" s="47" t="n">
        <f aca="false">10*LOG10(Z274/L_PREF^2)</f>
        <v>-21.4909524740856</v>
      </c>
      <c r="AK274" s="47" t="n">
        <f aca="false">10*LOG10(R274/$R$6)</f>
        <v>0.203243427659584</v>
      </c>
      <c r="AL274" s="37" t="n">
        <f aca="false">(12194^2*B274^4/((B274^2+20.6^2)*SQRT((B274^2+107.7^2)*(B274^2+737.9^2))*(B274^2+12194^2))*1.2589254)^2</f>
        <v>1.19738838936933</v>
      </c>
      <c r="AM274" s="37" t="n">
        <f aca="false">0.5*(B274-B273)*(S274*AL274+S273*AL273)</f>
        <v>2.11905283590747E-010</v>
      </c>
      <c r="AN274" s="37" t="n">
        <f aca="false">0.5*(B274-B273)*(T274*AL274+T273*AL273)</f>
        <v>6.18451257003779E-010</v>
      </c>
      <c r="AO274" s="37" t="n">
        <f aca="false">0.5*(B274-B273)*(U274*AL274+U273*AL273)</f>
        <v>4.70544210985409E-010</v>
      </c>
      <c r="AP274" s="37" t="n">
        <f aca="false">0.5*(B274-B273)*(V274*AL274+V273*AL273)</f>
        <v>3.51774675249105E-011</v>
      </c>
      <c r="AQ274" s="37" t="n">
        <f aca="false">0.5*(B274-B273)*(W274*AL274+W273*AL273)</f>
        <v>1.92902319536523E-011</v>
      </c>
      <c r="AR274" s="37" t="n">
        <f aca="false">0.5*(B274-B273)*(X274*AL274+X273*AL273)</f>
        <v>3.59597961101073E-010</v>
      </c>
      <c r="AS274" s="37" t="n">
        <f aca="false">0.5*(B274-B273)*(Y274*AL274+Y273*AL273)</f>
        <v>2.92886511168612E-012</v>
      </c>
      <c r="AT274" s="37" t="n">
        <f aca="false">0.5*(B274-B273)*(Z274*AL274+Z273*AL273)</f>
        <v>3.48331884177604E-010</v>
      </c>
      <c r="AU274" s="37" t="n">
        <f aca="false">0.5*(B274-B273)*(AA274*AL274+AA273*AL273)</f>
        <v>2.06622716144886E-009</v>
      </c>
      <c r="AV274" s="37" t="n">
        <f aca="false">0.5*(B274-B273)*(S274+S273)</f>
        <v>1.76139079686119E-010</v>
      </c>
      <c r="AW274" s="37" t="n">
        <f aca="false">0.5*(B274-B273)*(T274+T273)</f>
        <v>5.14058740501807E-010</v>
      </c>
      <c r="AX274" s="37" t="n">
        <f aca="false">0.5*(B274-B273)*(U274+U273)</f>
        <v>3.91117912220684E-010</v>
      </c>
      <c r="AY274" s="37" t="n">
        <f aca="false">0.5*(B274-B273)*(V274+V273)</f>
        <v>2.9235559261637E-011</v>
      </c>
      <c r="AZ274" s="37" t="n">
        <f aca="false">0.5*(B274-B273)*(W274+W273)</f>
        <v>1.60323203807938E-011</v>
      </c>
      <c r="BA274" s="37" t="n">
        <f aca="false">0.5*(B274-B273)*(X274+X273)</f>
        <v>2.98897898062407E-010</v>
      </c>
      <c r="BB274" s="37" t="n">
        <f aca="false">0.5*(B274-B273)*(Y274+Y273)</f>
        <v>2.43421146700058E-012</v>
      </c>
      <c r="BC274" s="37" t="n">
        <f aca="false">0.5*(B274-B273)*(Z274+Z273)</f>
        <v>2.89533880564372E-010</v>
      </c>
      <c r="BD274" s="37" t="n">
        <f aca="false">0.5*(B274-B273)*(AA274+AA273)</f>
        <v>1.71744960214482E-009</v>
      </c>
      <c r="BE274" s="37" t="n">
        <f aca="false">IF(B274&gt;2000,AK274,-999)</f>
        <v>0.203243427659584</v>
      </c>
      <c r="BF274" s="37" t="n">
        <f aca="false">IF(AND(B274&lt;1000,AK274&gt;=-3),B274,1000000000)</f>
        <v>1000000000</v>
      </c>
    </row>
    <row r="275" customFormat="false" ht="15" hidden="false" customHeight="false" outlineLevel="0" collapsed="false">
      <c r="A275" s="5" t="n">
        <v>236</v>
      </c>
      <c r="B275" s="47" t="n">
        <f aca="false">20*10^(A275/100)</f>
        <v>4581.73530553555</v>
      </c>
      <c r="C275" s="37" t="n">
        <f aca="false">2*PI()*B275</f>
        <v>28787.8919531269</v>
      </c>
      <c r="D275" s="37" t="n">
        <f aca="false">SQRT(L_Rp0^2+L_Rp1^2*C275)</f>
        <v>105815597.658375</v>
      </c>
      <c r="E275" s="5" t="str">
        <f aca="false">COMPLEX(D275,C275*L_Mp)</f>
        <v>105815597.658375+425275443.227052i</v>
      </c>
      <c r="F275" s="5" t="str">
        <f aca="false">IMDIV(1,E275)</f>
        <v>5.50961796010851e-10-2.21432876801544e-09i</v>
      </c>
      <c r="G275" s="5" t="str">
        <f aca="false">COMPLEX(0,C275*L_Cf)</f>
        <v>3.04408289659796e-11i</v>
      </c>
      <c r="H275" s="5" t="str">
        <f aca="false">COMPLEX(0,C275*L_Cbv)</f>
        <v>3.04408289659796e-10i</v>
      </c>
      <c r="I275" s="5" t="str">
        <f aca="false">COMPLEX(L_Rsq+L_Rh,C275*(L_Md+L_Mh)-1/(C275*L_Cd))</f>
        <v>552400610.124532-39907596956.3428i</v>
      </c>
      <c r="J275" s="5" t="str">
        <f aca="false">IMDIV(1,I275)</f>
        <v>3.46784590761869e-13+2.50530854331878e-11i</v>
      </c>
      <c r="K275" s="5" t="str">
        <f aca="false">IMSUM(F275,G275,H275)</f>
        <v>5.50961796010851e-10-1.87947964938966e-09i</v>
      </c>
      <c r="L275" s="5" t="str">
        <f aca="false">IMSUM(IMPRODUCT(IMSUM(F275,G275),H275),IMPRODUCT(IMSUM(J275,L_Yv),K275))</f>
        <v>7.13173345213777e-19+1.77109897057597e-19i</v>
      </c>
      <c r="M275" s="37" t="n">
        <f aca="false">IMABS(IMDIV(IMPRODUCT(J275,F275,H275),L275))^2</f>
        <v>5.60930929351071E-022</v>
      </c>
      <c r="N275" s="5" t="str">
        <f aca="false">IMDIV(IMPRODUCT(L_Yv,K275,E275),H275)</f>
        <v>0.00023279431484843-0.00563451733604675i</v>
      </c>
      <c r="O275" s="37" t="n">
        <f aca="false">IMABS(IMSUM(1,IMPRODUCT(E275,G275),N275))^2</f>
        <v>0.974741557993982</v>
      </c>
      <c r="P275" s="37" t="n">
        <f aca="false">IMABS(N275)^2</f>
        <v>3.18019788032371E-005</v>
      </c>
      <c r="Q275" s="37" t="n">
        <f aca="false">p_Rb^2/(1+(C275*p_Rb*L_Ctot)^2)</f>
        <v>198908227200907</v>
      </c>
      <c r="R275" s="37" t="n">
        <f aca="false">M275*L_Kt^2*Q275</f>
        <v>2.23923440947853E-005</v>
      </c>
      <c r="S275" s="37" t="n">
        <f aca="false">L_kT4*D275</f>
        <v>1.74231941836449E-012</v>
      </c>
      <c r="T275" s="37" t="n">
        <f aca="false">L_kT4*L_Rsq*O275</f>
        <v>5.03501911911543E-012</v>
      </c>
      <c r="U275" s="37" t="n">
        <f aca="false">L_kT4*L_Rh*O275</f>
        <v>3.83085824771174E-012</v>
      </c>
      <c r="V275" s="37" t="n">
        <f aca="false">L_kT4*p_Rv*P275</f>
        <v>2.61819648697653E-013</v>
      </c>
      <c r="W275" s="37" t="n">
        <f aca="false">L_kT4/p_Rb*Q275/R275</f>
        <v>1.46261921705414E-013</v>
      </c>
      <c r="X275" s="37" t="n">
        <f aca="false">p_en^2*(1+p_fc/B275)/R275</f>
        <v>2.92050043471769E-012</v>
      </c>
      <c r="Y275" s="37" t="n">
        <f aca="false">p_in^2*Q275/R275</f>
        <v>2.22071689277976E-014</v>
      </c>
      <c r="Z275" s="37" t="n">
        <f aca="false">p_eo^2/L_G^2/R275</f>
        <v>2.83113404430079E-012</v>
      </c>
      <c r="AA275" s="37" t="n">
        <f aca="false">SUM(S275:Z275)</f>
        <v>1.6790120003541E-011</v>
      </c>
      <c r="AB275" s="47" t="n">
        <f aca="false">10*LOG10(AA275/L_PREF^2)</f>
        <v>-13.7700619115838</v>
      </c>
      <c r="AC275" s="47" t="n">
        <f aca="false">10*LOG10(S275/L_PREF^2)</f>
        <v>-23.6093221441265</v>
      </c>
      <c r="AD275" s="47" t="n">
        <f aca="false">10*LOG10(T275/L_PREF^2)</f>
        <v>-19.0005886732004</v>
      </c>
      <c r="AE275" s="47" t="n">
        <f aca="false">10*LOG10(U275/L_PREF^2)</f>
        <v>-20.1876390913751</v>
      </c>
      <c r="AF275" s="47" t="n">
        <f aca="false">10*LOG10(V275/L_PREF^2)</f>
        <v>-31.8405775552743</v>
      </c>
      <c r="AG275" s="47" t="n">
        <f aca="false">10*LOG10(W275/L_PREF^2)</f>
        <v>-34.3692871609605</v>
      </c>
      <c r="AH275" s="47" t="n">
        <f aca="false">10*LOG10(X275/L_PREF^2)</f>
        <v>-21.3660271610733</v>
      </c>
      <c r="AI275" s="47" t="n">
        <f aca="false">10*LOG10(Y275/L_PREF^2)</f>
        <v>-42.5556679511197</v>
      </c>
      <c r="AJ275" s="47" t="n">
        <f aca="false">10*LOG10(Z275/L_PREF^2)</f>
        <v>-21.5009955915042</v>
      </c>
      <c r="AK275" s="47" t="n">
        <f aca="false">10*LOG10(R275/$R$6)</f>
        <v>0.213286545078213</v>
      </c>
      <c r="AL275" s="37" t="n">
        <f aca="false">(12194^2*B275^4/((B275^2+20.6^2)*SQRT((B275^2+107.7^2)*(B275^2+737.9^2))*(B275^2+12194^2))*1.2589254)^2</f>
        <v>1.1855353967274</v>
      </c>
      <c r="AM275" s="37" t="n">
        <f aca="false">0.5*(B275-B274)*(S275*AL275+S274*AL274)</f>
        <v>2.15912538806317E-010</v>
      </c>
      <c r="AN275" s="37" t="n">
        <f aca="false">0.5*(B275-B274)*(T275*AL275+T274*AL274)</f>
        <v>6.260281718246E-010</v>
      </c>
      <c r="AO275" s="37" t="n">
        <f aca="false">0.5*(B275-B274)*(U275*AL275+U274*AL274)</f>
        <v>4.76309052378633E-010</v>
      </c>
      <c r="AP275" s="37" t="n">
        <f aca="false">0.5*(B275-B274)*(V275*AL275+V274*AL274)</f>
        <v>3.35592397747892E-011</v>
      </c>
      <c r="AQ275" s="37" t="n">
        <f aca="false">0.5*(B275-B274)*(W275*AL275+W274*AL274)</f>
        <v>1.86272207695692E-011</v>
      </c>
      <c r="AR275" s="37" t="n">
        <f aca="false">0.5*(B275-B274)*(X275*AL275+X274*AL274)</f>
        <v>3.63417921410827E-010</v>
      </c>
      <c r="AS275" s="37" t="n">
        <f aca="false">0.5*(B275-B274)*(Y275*AL275+Y274*AL274)</f>
        <v>2.82819912019446E-012</v>
      </c>
      <c r="AT275" s="37" t="n">
        <f aca="false">0.5*(B275-B274)*(Z275*AL275+Z274*AL274)</f>
        <v>3.52209293557684E-010</v>
      </c>
      <c r="AU275" s="37" t="n">
        <f aca="false">0.5*(B275-B274)*(AA275*AL275+AA274*AL274)</f>
        <v>2.08889163764261E-009</v>
      </c>
      <c r="AV275" s="37" t="n">
        <f aca="false">0.5*(B275-B274)*(S275+S274)</f>
        <v>1.81218938533861E-010</v>
      </c>
      <c r="AW275" s="37" t="n">
        <f aca="false">0.5*(B275-B274)*(T275+T274)</f>
        <v>5.25427074207401E-010</v>
      </c>
      <c r="AX275" s="37" t="n">
        <f aca="false">0.5*(B275-B274)*(U275+U274)</f>
        <v>3.99767427527086E-010</v>
      </c>
      <c r="AY275" s="37" t="n">
        <f aca="false">0.5*(B275-B274)*(V275+V274)</f>
        <v>2.81621809345209E-011</v>
      </c>
      <c r="AZ275" s="37" t="n">
        <f aca="false">0.5*(B275-B274)*(W275+W274)</f>
        <v>1.56320407779916E-011</v>
      </c>
      <c r="BA275" s="37" t="n">
        <f aca="false">0.5*(B275-B274)*(X275+X274)</f>
        <v>3.05016370073046E-010</v>
      </c>
      <c r="BB275" s="37" t="n">
        <f aca="false">0.5*(B275-B274)*(Y275+Y274)</f>
        <v>2.3734364091172E-012</v>
      </c>
      <c r="BC275" s="37" t="n">
        <f aca="false">0.5*(B275-B274)*(Z275+Z274)</f>
        <v>2.95609343391985E-010</v>
      </c>
      <c r="BD275" s="37" t="n">
        <f aca="false">0.5*(B275-B274)*(AA275+AA274)</f>
        <v>1.75320681185501E-009</v>
      </c>
      <c r="BE275" s="37" t="n">
        <f aca="false">IF(B275&gt;2000,AK275,-999)</f>
        <v>0.213286545078213</v>
      </c>
      <c r="BF275" s="37" t="n">
        <f aca="false">IF(AND(B275&lt;1000,AK275&gt;=-3),B275,1000000000)</f>
        <v>1000000000</v>
      </c>
    </row>
    <row r="276" customFormat="false" ht="15" hidden="false" customHeight="false" outlineLevel="0" collapsed="false">
      <c r="A276" s="5" t="n">
        <v>237</v>
      </c>
      <c r="B276" s="47" t="n">
        <f aca="false">20*10^(A276/100)</f>
        <v>4688.45763063985</v>
      </c>
      <c r="C276" s="37" t="n">
        <f aca="false">2*PI()*B276</f>
        <v>29458.4480981703</v>
      </c>
      <c r="D276" s="37" t="n">
        <f aca="false">SQRT(L_Rp0^2+L_Rp1^2*C276)</f>
        <v>106399738.071179</v>
      </c>
      <c r="E276" s="5" t="str">
        <f aca="false">COMPLEX(D276,C276*L_Mp)</f>
        <v>106399738.071179+435181380.843334i</v>
      </c>
      <c r="F276" s="5" t="str">
        <f aca="false">IMDIV(1,E276)</f>
        <v>5.30133314254068e-10-2.16827740284288e-09i</v>
      </c>
      <c r="G276" s="5" t="str">
        <f aca="false">COMPLEX(0,C276*L_Cf)</f>
        <v>3.11498869601039e-11i</v>
      </c>
      <c r="H276" s="5" t="str">
        <f aca="false">COMPLEX(0,C276*L_Cbv)</f>
        <v>3.11498869601039e-10i</v>
      </c>
      <c r="I276" s="5" t="str">
        <f aca="false">COMPLEX(L_Rsq+L_Rh,C276*(L_Md+L_Mh)-1/(C276*L_Cd))</f>
        <v>552400610.124532-38994193359.741i</v>
      </c>
      <c r="J276" s="5" t="str">
        <f aca="false">IMDIV(1,I276)</f>
        <v>3.63217798237339e-13+2.56396984300456e-11i</v>
      </c>
      <c r="K276" s="5" t="str">
        <f aca="false">IMSUM(F276,G276,H276)</f>
        <v>5.30133314254068e-10-1.82562864628174e-09i</v>
      </c>
      <c r="L276" s="5" t="str">
        <f aca="false">IMSUM(IMPRODUCT(IMSUM(F276,G276),H276),IMPRODUCT(IMSUM(J276,L_Yv),K276))</f>
        <v>7.13774193810363e-19+1.74414028323325e-19i</v>
      </c>
      <c r="M276" s="37" t="n">
        <f aca="false">IMABS(IMDIV(IMPRODUCT(J276,F276,H276),L276))^2</f>
        <v>5.88792239085818E-022</v>
      </c>
      <c r="N276" s="5" t="str">
        <f aca="false">IMDIV(IMPRODUCT(L_Yv,K276,E276),H276)</f>
        <v>0.00023407942375659-0.00546317000806629i</v>
      </c>
      <c r="O276" s="37" t="n">
        <f aca="false">IMABS(IMSUM(1,IMPRODUCT(E276,G276),N276))^2</f>
        <v>0.97353854427104</v>
      </c>
      <c r="P276" s="37" t="n">
        <f aca="false">IMABS(N276)^2</f>
        <v>2.99010197136613E-005</v>
      </c>
      <c r="Q276" s="37" t="n">
        <f aca="false">p_Rb^2/(1+(C276*p_Rb*L_Ctot)^2)</f>
        <v>189955882277234</v>
      </c>
      <c r="R276" s="37" t="n">
        <f aca="false">M276*L_Kt^2*Q276</f>
        <v>2.24466868936542E-005</v>
      </c>
      <c r="S276" s="37" t="n">
        <f aca="false">L_kT4*D276</f>
        <v>1.75193765241317E-012</v>
      </c>
      <c r="T276" s="37" t="n">
        <f aca="false">L_kT4*L_Rsq*O276</f>
        <v>5.02880496209514E-012</v>
      </c>
      <c r="U276" s="37" t="n">
        <f aca="false">L_kT4*L_Rh*O276</f>
        <v>3.82613025083416E-012</v>
      </c>
      <c r="V276" s="37" t="n">
        <f aca="false">L_kT4*p_Rv*P276</f>
        <v>2.46169413720114E-013</v>
      </c>
      <c r="W276" s="37" t="n">
        <f aca="false">L_kT4/p_Rb*Q276/R276</f>
        <v>1.39340891785996E-013</v>
      </c>
      <c r="X276" s="37" t="n">
        <f aca="false">p_en^2*(1+p_fc/B276)/R276</f>
        <v>2.91201346416268E-012</v>
      </c>
      <c r="Y276" s="37" t="n">
        <f aca="false">p_in^2*Q276/R276</f>
        <v>2.11563384807287E-014</v>
      </c>
      <c r="Z276" s="37" t="n">
        <f aca="false">p_eo^2/L_G^2/R276</f>
        <v>2.82427994825227E-012</v>
      </c>
      <c r="AA276" s="37" t="n">
        <f aca="false">SUM(S276:Z276)</f>
        <v>1.67498329217443E-011</v>
      </c>
      <c r="AB276" s="47" t="n">
        <f aca="false">10*LOG10(AA276/L_PREF^2)</f>
        <v>-13.7804951198653</v>
      </c>
      <c r="AC276" s="47" t="n">
        <f aca="false">10*LOG10(S276/L_PREF^2)</f>
        <v>-23.5854134480111</v>
      </c>
      <c r="AD276" s="47" t="n">
        <f aca="false">10*LOG10(T276/L_PREF^2)</f>
        <v>-19.0059519912092</v>
      </c>
      <c r="AE276" s="47" t="n">
        <f aca="false">10*LOG10(U276/L_PREF^2)</f>
        <v>-20.1930024093839</v>
      </c>
      <c r="AF276" s="47" t="n">
        <f aca="false">10*LOG10(V276/L_PREF^2)</f>
        <v>-32.1082589999412</v>
      </c>
      <c r="AG276" s="47" t="n">
        <f aca="false">10*LOG10(W276/L_PREF^2)</f>
        <v>-34.5798140562247</v>
      </c>
      <c r="AH276" s="47" t="n">
        <f aca="false">10*LOG10(X276/L_PREF^2)</f>
        <v>-21.3786661265192</v>
      </c>
      <c r="AI276" s="47" t="n">
        <f aca="false">10*LOG10(Y276/L_PREF^2)</f>
        <v>-42.7661948463838</v>
      </c>
      <c r="AJ276" s="47" t="n">
        <f aca="false">10*LOG10(Z276/L_PREF^2)</f>
        <v>-21.5115224868072</v>
      </c>
      <c r="AK276" s="47" t="n">
        <f aca="false">10*LOG10(R276/$R$6)</f>
        <v>0.223813440381192</v>
      </c>
      <c r="AL276" s="37" t="n">
        <f aca="false">(12194^2*B276^4/((B276^2+20.6^2)*SQRT((B276^2+107.7^2)*(B276^2+737.9^2))*(B276^2+12194^2))*1.2589254)^2</f>
        <v>1.17319730026321</v>
      </c>
      <c r="AM276" s="37" t="n">
        <f aca="false">0.5*(B276-B275)*(S276*AL276+S275*AL275)</f>
        <v>2.19898675717828E-010</v>
      </c>
      <c r="AN276" s="37" t="n">
        <f aca="false">0.5*(B276-B275)*(T276*AL276+T275*AL275)</f>
        <v>6.3334223994835E-010</v>
      </c>
      <c r="AO276" s="37" t="n">
        <f aca="false">0.5*(B276-B275)*(U276*AL276+U275*AL275)</f>
        <v>4.81873908744286E-010</v>
      </c>
      <c r="AP276" s="37" t="n">
        <f aca="false">0.5*(B276-B275)*(V276*AL276+V275*AL275)</f>
        <v>3.19741021259499E-011</v>
      </c>
      <c r="AQ276" s="37" t="n">
        <f aca="false">0.5*(B276-B275)*(W276*AL276+W275*AL275)</f>
        <v>1.79759372301585E-011</v>
      </c>
      <c r="AR276" s="37" t="n">
        <f aca="false">0.5*(B276-B275)*(X276*AL276+X275*AL275)</f>
        <v>3.67056654873616E-010</v>
      </c>
      <c r="AS276" s="37" t="n">
        <f aca="false">0.5*(B276-B275)*(Y276*AL276+Y275*AL275)</f>
        <v>2.72931375474222E-012</v>
      </c>
      <c r="AT276" s="37" t="n">
        <f aca="false">0.5*(B276-B275)*(Z276*AL276+Z275*AL275)</f>
        <v>3.55910802391485E-010</v>
      </c>
      <c r="AU276" s="37" t="n">
        <f aca="false">0.5*(B276-B275)*(AA276*AL276+AA275*AL275)</f>
        <v>2.11076163478642E-009</v>
      </c>
      <c r="AV276" s="37" t="n">
        <f aca="false">0.5*(B276-B275)*(S276+S275)</f>
        <v>1.86457619552765E-010</v>
      </c>
      <c r="AW276" s="37" t="n">
        <f aca="false">0.5*(B276-B275)*(T276+T275)</f>
        <v>5.37017352693717E-010</v>
      </c>
      <c r="AX276" s="37" t="n">
        <f aca="false">0.5*(B276-B275)*(U276+U275)</f>
        <v>4.08585807930849E-010</v>
      </c>
      <c r="AY276" s="37" t="n">
        <f aca="false">0.5*(B276-B275)*(V276+V275)</f>
        <v>2.71068869343887E-011</v>
      </c>
      <c r="AZ276" s="37" t="n">
        <f aca="false">0.5*(B276-B275)*(W276+W275)</f>
        <v>1.52400981560665E-011</v>
      </c>
      <c r="BA276" s="37" t="n">
        <f aca="false">0.5*(B276-B275)*(X276+X275)</f>
        <v>3.11229722245829E-010</v>
      </c>
      <c r="BB276" s="37" t="n">
        <f aca="false">0.5*(B276-B275)*(Y276+Y275)</f>
        <v>2.31392716765772E-012</v>
      </c>
      <c r="BC276" s="37" t="n">
        <f aca="false">0.5*(B276-B275)*(Z276+Z275)</f>
        <v>3.01779465356326E-010</v>
      </c>
      <c r="BD276" s="37" t="n">
        <f aca="false">0.5*(B276-B275)*(AA276+AA275)</f>
        <v>1.7897308800376E-009</v>
      </c>
      <c r="BE276" s="37" t="n">
        <f aca="false">IF(B276&gt;2000,AK276,-999)</f>
        <v>0.223813440381192</v>
      </c>
      <c r="BF276" s="37" t="n">
        <f aca="false">IF(AND(B276&lt;1000,AK276&gt;=-3),B276,1000000000)</f>
        <v>1000000000</v>
      </c>
    </row>
    <row r="277" customFormat="false" ht="15" hidden="false" customHeight="false" outlineLevel="0" collapsed="false">
      <c r="A277" s="5" t="n">
        <v>238</v>
      </c>
      <c r="B277" s="47" t="n">
        <f aca="false">20*10^(A277/100)</f>
        <v>4797.66583803898</v>
      </c>
      <c r="C277" s="37" t="n">
        <f aca="false">2*PI()*B277</f>
        <v>30144.623502324</v>
      </c>
      <c r="D277" s="37" t="n">
        <f aca="false">SQRT(L_Rp0^2+L_Rp1^2*C277)</f>
        <v>106994183.475242</v>
      </c>
      <c r="E277" s="5" t="str">
        <f aca="false">COMPLEX(D277,C277*L_Mp)</f>
        <v>106994183.475242+445318057.388046i</v>
      </c>
      <c r="F277" s="5" t="str">
        <f aca="false">IMDIV(1,E277)</f>
        <v>5.10088962602531e-10-2.1230296689334e-09i</v>
      </c>
      <c r="G277" s="5" t="str">
        <f aca="false">COMPLEX(0,C277*L_Cf)</f>
        <v>3.1875461036612e-11i</v>
      </c>
      <c r="H277" s="5" t="str">
        <f aca="false">COMPLEX(0,C277*L_Cbv)</f>
        <v>3.1875461036612e-10i</v>
      </c>
      <c r="I277" s="5" t="str">
        <f aca="false">COMPLEX(L_Rsq+L_Rh,C277*(L_Md+L_Mh)-1/(C277*L_Cd))</f>
        <v>552400610.124532-38101465000.6077i</v>
      </c>
      <c r="J277" s="5" t="str">
        <f aca="false">IMDIV(1,I277)</f>
        <v>3.80434174571986e-13+2.62401943839668e-11i</v>
      </c>
      <c r="K277" s="5" t="str">
        <f aca="false">IMSUM(F277,G277,H277)</f>
        <v>5.10088962602531e-10-1.77239959753067e-09i</v>
      </c>
      <c r="L277" s="5" t="str">
        <f aca="false">IMSUM(IMPRODUCT(IMSUM(F277,G277),H277),IMPRODUCT(IMSUM(J277,L_Yv),K277))</f>
        <v>7.14287387917534e-19+1.71758961485275e-19i</v>
      </c>
      <c r="M277" s="37" t="n">
        <f aca="false">IMABS(IMDIV(IMPRODUCT(J277,F277,H277),L277))^2</f>
        <v>6.18109667648681E-022</v>
      </c>
      <c r="N277" s="5" t="str">
        <f aca="false">IMDIV(IMPRODUCT(L_Yv,K277,E277),H277)</f>
        <v>0.000235387203645533-0.00529471932513763i</v>
      </c>
      <c r="O277" s="37" t="n">
        <f aca="false">IMABS(IMSUM(1,IMPRODUCT(E277,G277),N277))^2</f>
        <v>0.972279750884233</v>
      </c>
      <c r="P277" s="37" t="n">
        <f aca="false">IMABS(N277)^2</f>
        <v>2.80894598676259E-005</v>
      </c>
      <c r="Q277" s="37" t="n">
        <f aca="false">p_Rb^2/(1+(C277*p_Rb*L_Ctot)^2)</f>
        <v>181406459247470</v>
      </c>
      <c r="R277" s="37" t="n">
        <f aca="false">M277*L_Kt^2*Q277</f>
        <v>2.25037921577932E-005</v>
      </c>
      <c r="S277" s="37" t="n">
        <f aca="false">L_kT4*D277</f>
        <v>1.76172556453177E-012</v>
      </c>
      <c r="T277" s="37" t="n">
        <f aca="false">L_kT4*L_Rsq*O277</f>
        <v>5.02230267570178E-012</v>
      </c>
      <c r="U277" s="37" t="n">
        <f aca="false">L_kT4*L_Rh*O277</f>
        <v>3.82118303278598E-012</v>
      </c>
      <c r="V277" s="37" t="n">
        <f aca="false">L_kT4*p_Rv*P277</f>
        <v>2.31255185727627E-013</v>
      </c>
      <c r="W277" s="37" t="n">
        <f aca="false">L_kT4/p_Rb*Q277/R277</f>
        <v>1.32731843497913E-013</v>
      </c>
      <c r="X277" s="37" t="n">
        <f aca="false">p_en^2*(1+p_fc/B277)/R277</f>
        <v>2.90324322091997E-012</v>
      </c>
      <c r="Y277" s="37" t="n">
        <f aca="false">p_in^2*Q277/R277</f>
        <v>2.01528766769035E-014</v>
      </c>
      <c r="Z277" s="37" t="n">
        <f aca="false">p_eo^2/L_G^2/R277</f>
        <v>2.81711310049094E-012</v>
      </c>
      <c r="AA277" s="37" t="n">
        <f aca="false">SUM(S277:Z277)</f>
        <v>1.67097075003329E-011</v>
      </c>
      <c r="AB277" s="47" t="n">
        <f aca="false">10*LOG10(AA277/L_PREF^2)</f>
        <v>-13.7909114359515</v>
      </c>
      <c r="AC277" s="47" t="n">
        <f aca="false">10*LOG10(S277/L_PREF^2)</f>
        <v>-23.5612173486384</v>
      </c>
      <c r="AD277" s="47" t="n">
        <f aca="false">10*LOG10(T277/L_PREF^2)</f>
        <v>-19.0115710883198</v>
      </c>
      <c r="AE277" s="47" t="n">
        <f aca="false">10*LOG10(U277/L_PREF^2)</f>
        <v>-20.1986215064946</v>
      </c>
      <c r="AF277" s="47" t="n">
        <f aca="false">10*LOG10(V277/L_PREF^2)</f>
        <v>-32.3796851107304</v>
      </c>
      <c r="AG277" s="47" t="n">
        <f aca="false">10*LOG10(W277/L_PREF^2)</f>
        <v>-34.7908486502424</v>
      </c>
      <c r="AH277" s="47" t="n">
        <f aca="false">10*LOG10(X277/L_PREF^2)</f>
        <v>-21.391765706948</v>
      </c>
      <c r="AI277" s="47" t="n">
        <f aca="false">10*LOG10(Y277/L_PREF^2)</f>
        <v>-42.9772294404016</v>
      </c>
      <c r="AJ277" s="47" t="n">
        <f aca="false">10*LOG10(Z277/L_PREF^2)</f>
        <v>-21.5225570808621</v>
      </c>
      <c r="AK277" s="47" t="n">
        <f aca="false">10*LOG10(R277/$R$6)</f>
        <v>0.234848034436079</v>
      </c>
      <c r="AL277" s="37" t="n">
        <f aca="false">(12194^2*B277^4/((B277^2+20.6^2)*SQRT((B277^2+107.7^2)*(B277^2+737.9^2))*(B277^2+12194^2))*1.2589254)^2</f>
        <v>1.16037572420732</v>
      </c>
      <c r="AM277" s="37" t="n">
        <f aca="false">0.5*(B277-B276)*(S277*AL277+S276*AL276)</f>
        <v>2.23856736418876E-010</v>
      </c>
      <c r="AN277" s="37" t="n">
        <f aca="false">0.5*(B277-B276)*(T277*AL277+T276*AL276)</f>
        <v>6.40371728918109E-010</v>
      </c>
      <c r="AO277" s="37" t="n">
        <f aca="false">0.5*(B277-B276)*(U277*AL277+U276*AL276)</f>
        <v>4.87222245098118E-010</v>
      </c>
      <c r="AP277" s="37" t="n">
        <f aca="false">0.5*(B277-B276)*(V277*AL277+V276*AL276)</f>
        <v>3.04225778266845E-011</v>
      </c>
      <c r="AQ277" s="37" t="n">
        <f aca="false">0.5*(B277-B276)*(W277*AL277+W276*AL276)</f>
        <v>1.73364298193513E-011</v>
      </c>
      <c r="AR277" s="37" t="n">
        <f aca="false">0.5*(B277-B276)*(X277*AL277+X276*AL276)</f>
        <v>3.70500817708753E-010</v>
      </c>
      <c r="AS277" s="37" t="n">
        <f aca="false">0.5*(B277-B276)*(Y277*AL277+Y276*AL276)</f>
        <v>2.63221637671803E-012</v>
      </c>
      <c r="AT277" s="37" t="n">
        <f aca="false">0.5*(B277-B276)*(Z277*AL277+Z276*AL276)</f>
        <v>3.59423172624595E-010</v>
      </c>
      <c r="AU277" s="37" t="n">
        <f aca="false">0.5*(B277-B276)*(AA277*AL277+AA276*AL276)</f>
        <v>2.1317659247912E-009</v>
      </c>
      <c r="AV277" s="37" t="n">
        <f aca="false">0.5*(B277-B276)*(S277+S276)</f>
        <v>1.91860430663417E-010</v>
      </c>
      <c r="AW277" s="37" t="n">
        <f aca="false">0.5*(B277-B276)*(T277+T276)</f>
        <v>5.48831723749778E-010</v>
      </c>
      <c r="AX277" s="37" t="n">
        <f aca="false">0.5*(B277-B276)*(U277+U276)</f>
        <v>4.17574687561874E-010</v>
      </c>
      <c r="AY277" s="37" t="n">
        <f aca="false">0.5*(B277-B276)*(V277+V276)</f>
        <v>2.60693423369689E-011</v>
      </c>
      <c r="AZ277" s="37" t="n">
        <f aca="false">0.5*(B277-B276)*(W277+W276)</f>
        <v>1.48562878512676E-011</v>
      </c>
      <c r="BA277" s="37" t="n">
        <f aca="false">0.5*(B277-B276)*(X277+X276)</f>
        <v>3.17536879071856E-010</v>
      </c>
      <c r="BB277" s="37" t="n">
        <f aca="false">0.5*(B277-B276)*(Y277+Y276)</f>
        <v>2.2556526682151E-012</v>
      </c>
      <c r="BC277" s="37" t="n">
        <f aca="false">0.5*(B277-B276)*(Z277+Z276)</f>
        <v>3.08043211043594E-010</v>
      </c>
      <c r="BD277" s="37" t="n">
        <f aca="false">0.5*(B277-B276)*(AA277+AA276)</f>
        <v>1.82702821494697E-009</v>
      </c>
      <c r="BE277" s="37" t="n">
        <f aca="false">IF(B277&gt;2000,AK277,-999)</f>
        <v>0.234848034436079</v>
      </c>
      <c r="BF277" s="37" t="n">
        <f aca="false">IF(AND(B277&lt;1000,AK277&gt;=-3),B277,1000000000)</f>
        <v>1000000000</v>
      </c>
    </row>
    <row r="278" customFormat="false" ht="15" hidden="false" customHeight="false" outlineLevel="0" collapsed="false">
      <c r="A278" s="5" t="n">
        <v>239</v>
      </c>
      <c r="B278" s="47" t="n">
        <f aca="false">20*10^(A278/100)</f>
        <v>4909.41783137006</v>
      </c>
      <c r="C278" s="37" t="n">
        <f aca="false">2*PI()*B278</f>
        <v>30846.7819848698</v>
      </c>
      <c r="D278" s="37" t="n">
        <f aca="false">SQRT(L_Rp0^2+L_Rp1^2*C278)</f>
        <v>107599075.617092</v>
      </c>
      <c r="E278" s="5" t="str">
        <f aca="false">COMPLEX(D278,C278*L_Mp)</f>
        <v>107599075.617092+455690847.461266i</v>
      </c>
      <c r="F278" s="5" t="str">
        <f aca="false">IMDIV(1,E278)</f>
        <v>4.90800695966801e-10-2.07858091528217e-09i</v>
      </c>
      <c r="G278" s="5" t="str">
        <f aca="false">COMPLEX(0,C278*L_Cf)</f>
        <v>3.26179359044833e-11i</v>
      </c>
      <c r="H278" s="5" t="str">
        <f aca="false">COMPLEX(0,C278*L_Cbv)</f>
        <v>3.26179359044833e-10i</v>
      </c>
      <c r="I278" s="5" t="str">
        <f aca="false">COMPLEX(L_Rsq+L_Rh,C278*(L_Md+L_Mh)-1/(C278*L_Cd))</f>
        <v>552400610.124532-37228938542.5502i</v>
      </c>
      <c r="J278" s="5" t="str">
        <f aca="false">IMDIV(1,I278)</f>
        <v>3.98471473734309e-13+2.68549124217471e-11i</v>
      </c>
      <c r="K278" s="5" t="str">
        <f aca="false">IMSUM(F278,G278,H278)</f>
        <v>4.90800695966801e-10-1.71978362033285e-09i</v>
      </c>
      <c r="L278" s="5" t="str">
        <f aca="false">IMSUM(IMPRODUCT(IMSUM(F278,G278),H278),IMPRODUCT(IMSUM(J278,L_Yv),K278))</f>
        <v>7.14712703219831e-19+1.69144614181566e-19i</v>
      </c>
      <c r="M278" s="37" t="n">
        <f aca="false">IMABS(IMDIV(IMPRODUCT(J278,F278,H278),L278))^2</f>
        <v>6.48966503462497E-022</v>
      </c>
      <c r="N278" s="5" t="str">
        <f aca="false">IMDIV(IMPRODUCT(L_Yv,K278,E278),H278)</f>
        <v>0.000236717966357606-0.00512907597247905i</v>
      </c>
      <c r="O278" s="37" t="n">
        <f aca="false">IMABS(IMSUM(1,IMPRODUCT(E278,G278),N278))^2</f>
        <v>0.970962617185001</v>
      </c>
      <c r="P278" s="37" t="n">
        <f aca="false">IMABS(N278)^2</f>
        <v>2.63634557270584E-005</v>
      </c>
      <c r="Q278" s="37" t="n">
        <f aca="false">p_Rb^2/(1+(C278*p_Rb*L_Ctot)^2)</f>
        <v>173241823639148</v>
      </c>
      <c r="R278" s="37" t="n">
        <f aca="false">M278*L_Kt^2*Q278</f>
        <v>2.2563810982233E-005</v>
      </c>
      <c r="S278" s="37" t="n">
        <f aca="false">L_kT4*D278</f>
        <v>1.77168548866473E-012</v>
      </c>
      <c r="T278" s="37" t="n">
        <f aca="false">L_kT4*L_Rsq*O278</f>
        <v>5.01549903292727E-012</v>
      </c>
      <c r="U278" s="37" t="n">
        <f aca="false">L_kT4*L_Rh*O278</f>
        <v>3.81600652989282E-012</v>
      </c>
      <c r="V278" s="37" t="n">
        <f aca="false">L_kT4*p_Rv*P278</f>
        <v>2.17045321601559E-013</v>
      </c>
      <c r="W278" s="37" t="n">
        <f aca="false">L_kT4/p_Rb*Q278/R278</f>
        <v>1.26420755513821E-013</v>
      </c>
      <c r="X278" s="37" t="n">
        <f aca="false">p_en^2*(1+p_fc/B278)/R278</f>
        <v>2.89417496629422E-012</v>
      </c>
      <c r="Y278" s="37" t="n">
        <f aca="false">p_in^2*Q278/R278</f>
        <v>1.91946546369717E-014</v>
      </c>
      <c r="Z278" s="37" t="n">
        <f aca="false">p_eo^2/L_G^2/R278</f>
        <v>2.8096196936042E-012</v>
      </c>
      <c r="AA278" s="37" t="n">
        <f aca="false">SUM(S278:Z278)</f>
        <v>1.66696464431356E-011</v>
      </c>
      <c r="AB278" s="47" t="n">
        <f aca="false">10*LOG10(AA278/L_PREF^2)</f>
        <v>-13.8013360262315</v>
      </c>
      <c r="AC278" s="47" t="n">
        <f aca="false">10*LOG10(S278/L_PREF^2)</f>
        <v>-23.5367336331448</v>
      </c>
      <c r="AD278" s="47" t="n">
        <f aca="false">10*LOG10(T278/L_PREF^2)</f>
        <v>-19.0174584031963</v>
      </c>
      <c r="AE278" s="47" t="n">
        <f aca="false">10*LOG10(U278/L_PREF^2)</f>
        <v>-20.204508821371</v>
      </c>
      <c r="AF278" s="47" t="n">
        <f aca="false">10*LOG10(V278/L_PREF^2)</f>
        <v>-32.6550956224297</v>
      </c>
      <c r="AG278" s="47" t="n">
        <f aca="false">10*LOG10(W278/L_PREF^2)</f>
        <v>-35.002416099043</v>
      </c>
      <c r="AH278" s="47" t="n">
        <f aca="false">10*LOG10(X278/L_PREF^2)</f>
        <v>-21.4053520863645</v>
      </c>
      <c r="AI278" s="47" t="n">
        <f aca="false">10*LOG10(Y278/L_PREF^2)</f>
        <v>-43.1887968892022</v>
      </c>
      <c r="AJ278" s="47" t="n">
        <f aca="false">10*LOG10(Z278/L_PREF^2)</f>
        <v>-21.5341245296981</v>
      </c>
      <c r="AK278" s="47" t="n">
        <f aca="false">10*LOG10(R278/$R$6)</f>
        <v>0.246415483272143</v>
      </c>
      <c r="AL278" s="37" t="n">
        <f aca="false">(12194^2*B278^4/((B278^2+20.6^2)*SQRT((B278^2+107.7^2)*(B278^2+737.9^2))*(B278^2+12194^2))*1.2589254)^2</f>
        <v>1.14707306860635</v>
      </c>
      <c r="AM278" s="37" t="n">
        <f aca="false">0.5*(B278-B277)*(S278*AL278+S277*AL277)</f>
        <v>2.27779410508947E-010</v>
      </c>
      <c r="AN278" s="37" t="n">
        <f aca="false">0.5*(B278-B277)*(T278*AL278+T277*AL277)</f>
        <v>6.47094439904259E-010</v>
      </c>
      <c r="AO278" s="37" t="n">
        <f aca="false">0.5*(B278-B277)*(U278*AL278+U277*AL277)</f>
        <v>4.92337171619548E-010</v>
      </c>
      <c r="AP278" s="37" t="n">
        <f aca="false">0.5*(B278-B277)*(V278*AL278+V277*AL277)</f>
        <v>2.89051976811886E-011</v>
      </c>
      <c r="AQ278" s="37" t="n">
        <f aca="false">0.5*(B278-B277)*(W278*AL278+W277*AL277)</f>
        <v>1.67087475211914E-011</v>
      </c>
      <c r="AR278" s="37" t="n">
        <f aca="false">0.5*(B278-B277)*(X278*AL278+X277*AL277)</f>
        <v>3.73736835413602E-010</v>
      </c>
      <c r="AS278" s="37" t="n">
        <f aca="false">0.5*(B278-B277)*(Y278*AL278+Y277*AL277)</f>
        <v>2.53691442344341E-012</v>
      </c>
      <c r="AT278" s="37" t="n">
        <f aca="false">0.5*(B278-B277)*(Z278*AL278+Z277*AL277)</f>
        <v>3.62732930822122E-010</v>
      </c>
      <c r="AU278" s="37" t="n">
        <f aca="false">0.5*(B278-B277)*(AA278*AL278+AA277*AL277)</f>
        <v>2.1518316478943E-009</v>
      </c>
      <c r="AV278" s="37" t="n">
        <f aca="false">0.5*(B278-B277)*(S278+S277)</f>
        <v>1.97432864226394E-010</v>
      </c>
      <c r="AW278" s="37" t="n">
        <f aca="false">0.5*(B278-B277)*(T278+T277)</f>
        <v>5.6087217480072E-010</v>
      </c>
      <c r="AX278" s="37" t="n">
        <f aca="false">0.5*(B278-B277)*(U278+U277)</f>
        <v>4.26735578538346E-010</v>
      </c>
      <c r="AY278" s="37" t="n">
        <f aca="false">0.5*(B278-B277)*(V278+V277)</f>
        <v>2.5049237652686E-011</v>
      </c>
      <c r="AZ278" s="37" t="n">
        <f aca="false">0.5*(B278-B277)*(W278+W277)</f>
        <v>1.44804097582459E-011</v>
      </c>
      <c r="BA278" s="37" t="n">
        <f aca="false">0.5*(B278-B277)*(X278+X277)</f>
        <v>3.23936519297527E-010</v>
      </c>
      <c r="BB278" s="37" t="n">
        <f aca="false">0.5*(B278-B277)*(Y278+Y277)</f>
        <v>2.19858252849137E-012</v>
      </c>
      <c r="BC278" s="37" t="n">
        <f aca="false">0.5*(B278-B277)*(Z278+Z277)</f>
        <v>3.14399302840751E-010</v>
      </c>
      <c r="BD278" s="37" t="n">
        <f aca="false">0.5*(B278-B277)*(AA278+AA277)</f>
        <v>1.86510466964316E-009</v>
      </c>
      <c r="BE278" s="37" t="n">
        <f aca="false">IF(B278&gt;2000,AK278,-999)</f>
        <v>0.246415483272143</v>
      </c>
      <c r="BF278" s="37" t="n">
        <f aca="false">IF(AND(B278&lt;1000,AK278&gt;=-3),B278,1000000000)</f>
        <v>1000000000</v>
      </c>
    </row>
    <row r="279" customFormat="false" ht="15" hidden="false" customHeight="false" outlineLevel="0" collapsed="false">
      <c r="A279" s="5" t="n">
        <v>240</v>
      </c>
      <c r="B279" s="47" t="n">
        <f aca="false">20*10^(A279/100)</f>
        <v>5023.77286301916</v>
      </c>
      <c r="C279" s="37" t="n">
        <f aca="false">2*PI()*B279</f>
        <v>31565.2958395295</v>
      </c>
      <c r="D279" s="37" t="n">
        <f aca="false">SQRT(L_Rp0^2+L_Rp1^2*C279)</f>
        <v>108214557.314221</v>
      </c>
      <c r="E279" s="5" t="str">
        <f aca="false">COMPLEX(D279,C279*L_Mp)</f>
        <v>108214557.314221+466305250.853592i</v>
      </c>
      <c r="F279" s="5" t="str">
        <f aca="false">IMDIV(1,E279)</f>
        <v>4.72241308099807e-10-2.03492586489535e-09i</v>
      </c>
      <c r="G279" s="5" t="str">
        <f aca="false">COMPLEX(0,C279*L_Cf)</f>
        <v>3.33777052337205e-11i</v>
      </c>
      <c r="H279" s="5" t="str">
        <f aca="false">COMPLEX(0,C279*L_Cbv)</f>
        <v>3.33777052337205e-10i</v>
      </c>
      <c r="I279" s="5" t="str">
        <f aca="false">COMPLEX(L_Rsq+L_Rh,C279*(L_Md+L_Mh)-1/(C279*L_Cd))</f>
        <v>552400610.124532-36376151360.4913i</v>
      </c>
      <c r="J279" s="5" t="str">
        <f aca="false">IMDIV(1,I279)</f>
        <v>4.17369311251249e-13+2.74842007069413e-11i</v>
      </c>
      <c r="K279" s="5" t="str">
        <f aca="false">IMSUM(F279,G279,H279)</f>
        <v>4.72241308099807e-10-1.66777110732442e-09i</v>
      </c>
      <c r="L279" s="5" t="str">
        <f aca="false">IMSUM(IMPRODUCT(IMSUM(F279,G279),H279),IMPRODUCT(IMSUM(J279,L_Yv),K279))</f>
        <v>7.15049782335464e-19+1.66570868010305e-19i</v>
      </c>
      <c r="M279" s="37" t="n">
        <f aca="false">IMABS(IMDIV(IMPRODUCT(J279,F279,H279),L279))^2</f>
        <v>6.81451509055244E-022</v>
      </c>
      <c r="N279" s="5" t="str">
        <f aca="false">IMDIV(IMPRODUCT(L_Yv,K279,E279),H279)</f>
        <v>0.000238072026091291-0.00496615212379244i</v>
      </c>
      <c r="O279" s="37" t="n">
        <f aca="false">IMABS(IMSUM(1,IMPRODUCT(E279,G279),N279))^2</f>
        <v>0.969584469656497</v>
      </c>
      <c r="P279" s="37" t="n">
        <f aca="false">IMABS(N279)^2</f>
        <v>2.47193452062554E-005</v>
      </c>
      <c r="Q279" s="37" t="n">
        <f aca="false">p_Rb^2/(1+(C279*p_Rb*L_Ctot)^2)</f>
        <v>165444657165510</v>
      </c>
      <c r="R279" s="37" t="n">
        <f aca="false">M279*L_Kt^2*Q279</f>
        <v>2.26269037466177E-005</v>
      </c>
      <c r="S279" s="37" t="n">
        <f aca="false">L_kT4*D279</f>
        <v>1.7818197763906E-012</v>
      </c>
      <c r="T279" s="37" t="n">
        <f aca="false">L_kT4*L_Rsq*O279</f>
        <v>5.00838022374336E-012</v>
      </c>
      <c r="U279" s="37" t="n">
        <f aca="false">L_kT4*L_Rh*O279</f>
        <v>3.81059023489356E-012</v>
      </c>
      <c r="V279" s="37" t="n">
        <f aca="false">L_kT4*p_Rv*P279</f>
        <v>2.0350967208616E-013</v>
      </c>
      <c r="W279" s="37" t="n">
        <f aca="false">L_kT4/p_Rb*Q279/R279</f>
        <v>1.20394238739943E-013</v>
      </c>
      <c r="X279" s="37" t="n">
        <f aca="false">p_en^2*(1+p_fc/B279)/R279</f>
        <v>2.88479341569341E-012</v>
      </c>
      <c r="Y279" s="37" t="n">
        <f aca="false">p_in^2*Q279/R279</f>
        <v>1.82796394745614E-014</v>
      </c>
      <c r="Z279" s="37" t="n">
        <f aca="false">p_eo^2/L_G^2/R279</f>
        <v>2.80178536172547E-012</v>
      </c>
      <c r="AA279" s="37" t="n">
        <f aca="false">SUM(S279:Z279)</f>
        <v>1.66295525627471E-011</v>
      </c>
      <c r="AB279" s="47" t="n">
        <f aca="false">10*LOG10(AA279/L_PREF^2)</f>
        <v>-13.8117942714417</v>
      </c>
      <c r="AC279" s="47" t="n">
        <f aca="false">10*LOG10(S279/L_PREF^2)</f>
        <v>-23.5119621647407</v>
      </c>
      <c r="AD279" s="47" t="n">
        <f aca="false">10*LOG10(T279/L_PREF^2)</f>
        <v>-19.023626993194</v>
      </c>
      <c r="AE279" s="47" t="n">
        <f aca="false">10*LOG10(U279/L_PREF^2)</f>
        <v>-20.2106774113688</v>
      </c>
      <c r="AF279" s="47" t="n">
        <f aca="false">10*LOG10(V279/L_PREF^2)</f>
        <v>-32.9347493681425</v>
      </c>
      <c r="AG279" s="47" t="n">
        <f aca="false">10*LOG10(W279/L_PREF^2)</f>
        <v>-35.214542863274</v>
      </c>
      <c r="AH279" s="47" t="n">
        <f aca="false">10*LOG10(X279/L_PREF^2)</f>
        <v>-21.4194527319037</v>
      </c>
      <c r="AI279" s="47" t="n">
        <f aca="false">10*LOG10(Y279/L_PREF^2)</f>
        <v>-43.4009236534331</v>
      </c>
      <c r="AJ279" s="47" t="n">
        <f aca="false">10*LOG10(Z279/L_PREF^2)</f>
        <v>-21.5462512939629</v>
      </c>
      <c r="AK279" s="47" t="n">
        <f aca="false">10*LOG10(R279/$R$6)</f>
        <v>0.258542247536939</v>
      </c>
      <c r="AL279" s="37" t="n">
        <f aca="false">(12194^2*B279^4/((B279^2+20.6^2)*SQRT((B279^2+107.7^2)*(B279^2+737.9^2))*(B279^2+12194^2))*1.2589254)^2</f>
        <v>1.13329257671679</v>
      </c>
      <c r="AM279" s="37" t="n">
        <f aca="false">0.5*(B279-B278)*(S279*AL279+S278*AL278)</f>
        <v>2.3165904146116E-010</v>
      </c>
      <c r="AN279" s="37" t="n">
        <f aca="false">0.5*(B279-B278)*(T279*AL279+T278*AL278)</f>
        <v>6.53487774547993E-010</v>
      </c>
      <c r="AO279" s="37" t="n">
        <f aca="false">0.5*(B279-B278)*(U279*AL279+U278*AL278)</f>
        <v>4.97201494509078E-010</v>
      </c>
      <c r="AP279" s="37" t="n">
        <f aca="false">0.5*(B279-B278)*(V279*AL279+V278*AL278)</f>
        <v>2.74224991875261E-011</v>
      </c>
      <c r="AQ279" s="37" t="n">
        <f aca="false">0.5*(B279-B278)*(W279*AL279+W278*AL278)</f>
        <v>1.60929400852931E-011</v>
      </c>
      <c r="AR279" s="37" t="n">
        <f aca="false">0.5*(B279-B278)*(X279*AL279+X278*AL278)</f>
        <v>3.76750949542729E-010</v>
      </c>
      <c r="AS279" s="37" t="n">
        <f aca="false">0.5*(B279-B278)*(Y279*AL279+Y278*AL278)</f>
        <v>2.44341544847758E-012</v>
      </c>
      <c r="AT279" s="37" t="n">
        <f aca="false">0.5*(B279-B278)*(Z279*AL279+Z278*AL278)</f>
        <v>3.65826413963793E-010</v>
      </c>
      <c r="AU279" s="37" t="n">
        <f aca="false">0.5*(B279-B278)*(AA279*AL279+AA278*AL278)</f>
        <v>2.17088452874605E-009</v>
      </c>
      <c r="AV279" s="37" t="n">
        <f aca="false">0.5*(B279-B278)*(S279+S278)</f>
        <v>2.03180603525318E-010</v>
      </c>
      <c r="AW279" s="37" t="n">
        <f aca="false">0.5*(B279-B278)*(T279+T278)</f>
        <v>5.7314051482165E-010</v>
      </c>
      <c r="AX279" s="37" t="n">
        <f aca="false">0.5*(B279-B278)*(U279+U278)</f>
        <v>4.36069857206025E-010</v>
      </c>
      <c r="AY279" s="37" t="n">
        <f aca="false">0.5*(B279-B278)*(V279+V278)</f>
        <v>2.40462898066725E-011</v>
      </c>
      <c r="AZ279" s="37" t="n">
        <f aca="false">0.5*(B279-B278)*(W279+W278)</f>
        <v>1.41122682396805E-011</v>
      </c>
      <c r="BA279" s="37" t="n">
        <f aca="false">0.5*(B279-B278)*(X279+X278)</f>
        <v>3.30427056110664E-010</v>
      </c>
      <c r="BB279" s="37" t="n">
        <f aca="false">0.5*(B279-B278)*(Y279+Y278)</f>
        <v>2.14268704457597E-012</v>
      </c>
      <c r="BC279" s="37" t="n">
        <f aca="false">0.5*(B279-B278)*(Z279+Z278)</f>
        <v>3.20846201349065E-010</v>
      </c>
      <c r="BD279" s="37" t="n">
        <f aca="false">0.5*(B279-B278)*(AA279+AA278)</f>
        <v>1.90396547810365E-009</v>
      </c>
      <c r="BE279" s="37" t="n">
        <f aca="false">IF(B279&gt;2000,AK279,-999)</f>
        <v>0.258542247536939</v>
      </c>
      <c r="BF279" s="37" t="n">
        <f aca="false">IF(AND(B279&lt;1000,AK279&gt;=-3),B279,1000000000)</f>
        <v>1000000000</v>
      </c>
    </row>
    <row r="280" customFormat="false" ht="15" hidden="false" customHeight="false" outlineLevel="0" collapsed="false">
      <c r="A280" s="5" t="n">
        <v>241</v>
      </c>
      <c r="B280" s="47" t="n">
        <f aca="false">20*10^(A280/100)</f>
        <v>5140.79156553773</v>
      </c>
      <c r="C280" s="37" t="n">
        <f aca="false">2*PI()*B280</f>
        <v>32300.5460318594</v>
      </c>
      <c r="D280" s="37" t="n">
        <f aca="false">SQRT(L_Rp0^2+L_Rp1^2*C280)</f>
        <v>108840772.454943</v>
      </c>
      <c r="E280" s="5" t="str">
        <f aca="false">COMPLEX(D280,C280*L_Mp)</f>
        <v>108840772.454943+477166895.4622i</v>
      </c>
      <c r="F280" s="5" t="str">
        <f aca="false">IMDIV(1,E280)</f>
        <v>4.54384421656595e-10-1.9920586645783e-09i</v>
      </c>
      <c r="G280" s="5" t="str">
        <f aca="false">COMPLEX(0,C280*L_Cf)</f>
        <v>3.41551718640789e-11i</v>
      </c>
      <c r="H280" s="5" t="str">
        <f aca="false">COMPLEX(0,C280*L_Cbv)</f>
        <v>3.41551718640789e-10i</v>
      </c>
      <c r="I280" s="5" t="str">
        <f aca="false">COMPLEX(L_Rsq+L_Rh,C280*(L_Md+L_Mh)-1/(C280*L_Cd))</f>
        <v>552400610.124532-35542651295.3789i</v>
      </c>
      <c r="J280" s="5" t="str">
        <f aca="false">IMDIV(1,I280)</f>
        <v>4.3716925999824e-13+2.81284167330543e-11i</v>
      </c>
      <c r="K280" s="5" t="str">
        <f aca="false">IMSUM(F280,G280,H280)</f>
        <v>4.54384421656595e-10-1.61635177407343e-09i</v>
      </c>
      <c r="L280" s="5" t="str">
        <f aca="false">IMSUM(IMPRODUCT(IMSUM(F280,G280),H280),IMPRODUCT(IMSUM(J280,L_Yv),K280))</f>
        <v>7.15298130902378e-19+1.6403757165266e-19i</v>
      </c>
      <c r="M280" s="37" t="n">
        <f aca="false">IMABS(IMDIV(IMPRODUCT(J280,F280,H280),L280))^2</f>
        <v>7.15659349724113E-022</v>
      </c>
      <c r="N280" s="5" t="str">
        <f aca="false">IMDIV(IMPRODUCT(L_Yv,K280,E280),H280)</f>
        <v>0.000239449699400878-0.00480586139469668i</v>
      </c>
      <c r="O280" s="37" t="n">
        <f aca="false">IMABS(IMSUM(1,IMPRODUCT(E280,G280),N280))^2</f>
        <v>0.968142517297446</v>
      </c>
      <c r="P280" s="37" t="n">
        <f aca="false">IMABS(N280)^2</f>
        <v>2.31536399035791E-005</v>
      </c>
      <c r="Q280" s="37" t="n">
        <f aca="false">p_Rb^2/(1+(C280*p_Rb*L_Ctot)^2)</f>
        <v>157998420991096</v>
      </c>
      <c r="R280" s="37" t="n">
        <f aca="false">M280*L_Kt^2*Q280</f>
        <v>2.26932407889927E-005</v>
      </c>
      <c r="S280" s="37" t="n">
        <f aca="false">L_kT4*D280</f>
        <v>1.7921307969197E-012</v>
      </c>
      <c r="T280" s="37" t="n">
        <f aca="false">L_kT4*L_Rsq*O280</f>
        <v>5.00093183125703E-012</v>
      </c>
      <c r="U280" s="37" t="n">
        <f aca="false">L_kT4*L_Rh*O280</f>
        <v>3.80492317879836E-012</v>
      </c>
      <c r="V280" s="37" t="n">
        <f aca="false">L_kT4*p_Rv*P280</f>
        <v>1.90619517833588E-013</v>
      </c>
      <c r="W280" s="37" t="n">
        <f aca="false">L_kT4/p_Rb*Q280/R280</f>
        <v>1.14639507892294E-013</v>
      </c>
      <c r="X280" s="37" t="n">
        <f aca="false">p_en^2*(1+p_fc/B280)/R280</f>
        <v>2.8750827204737E-012</v>
      </c>
      <c r="Y280" s="37" t="n">
        <f aca="false">p_in^2*Q280/R280</f>
        <v>1.7405889980656E-014</v>
      </c>
      <c r="Z280" s="37" t="n">
        <f aca="false">p_eo^2/L_G^2/R280</f>
        <v>2.79359516289073E-012</v>
      </c>
      <c r="AA280" s="37" t="n">
        <f aca="false">SUM(S280:Z280)</f>
        <v>1.65893286060461E-011</v>
      </c>
      <c r="AB280" s="47" t="n">
        <f aca="false">10*LOG10(AA280/L_PREF^2)</f>
        <v>-13.8223118146935</v>
      </c>
      <c r="AC280" s="47" t="n">
        <f aca="false">10*LOG10(S280/L_PREF^2)</f>
        <v>-23.4869028828561</v>
      </c>
      <c r="AD280" s="47" t="n">
        <f aca="false">10*LOG10(T280/L_PREF^2)</f>
        <v>-19.0300905669845</v>
      </c>
      <c r="AE280" s="47" t="n">
        <f aca="false">10*LOG10(U280/L_PREF^2)</f>
        <v>-20.2171409851592</v>
      </c>
      <c r="AF280" s="47" t="n">
        <f aca="false">10*LOG10(V280/L_PREF^2)</f>
        <v>-33.2189262465078</v>
      </c>
      <c r="AG280" s="47" t="n">
        <f aca="false">10*LOG10(W280/L_PREF^2)</f>
        <v>-35.4272567821048</v>
      </c>
      <c r="AH280" s="47" t="n">
        <f aca="false">10*LOG10(X280/L_PREF^2)</f>
        <v>-21.4340964681416</v>
      </c>
      <c r="AI280" s="47" t="n">
        <f aca="false">10*LOG10(Y280/L_PREF^2)</f>
        <v>-43.613637572264</v>
      </c>
      <c r="AJ280" s="47" t="n">
        <f aca="false">10*LOG10(Z280/L_PREF^2)</f>
        <v>-21.5589652128261</v>
      </c>
      <c r="AK280" s="47" t="n">
        <f aca="false">10*LOG10(R280/$R$6)</f>
        <v>0.271256166400134</v>
      </c>
      <c r="AL280" s="37" t="n">
        <f aca="false">(12194^2*B280^4/((B280^2+20.6^2)*SQRT((B280^2+107.7^2)*(B280^2+737.9^2))*(B280^2+12194^2))*1.2589254)^2</f>
        <v>1.11903840189762</v>
      </c>
      <c r="AM280" s="37" t="n">
        <f aca="false">0.5*(B280-B279)*(S280*AL280+S279*AL279)</f>
        <v>2.35487635873857E-010</v>
      </c>
      <c r="AN280" s="37" t="n">
        <f aca="false">0.5*(B280-B279)*(T280*AL280+T279*AL279)</f>
        <v>6.59528810480608E-010</v>
      </c>
      <c r="AO280" s="37" t="n">
        <f aca="false">0.5*(B280-B279)*(U280*AL280+U279*AL279)</f>
        <v>5.01797773446594E-010</v>
      </c>
      <c r="AP280" s="37" t="n">
        <f aca="false">0.5*(B280-B279)*(V280*AL280+V279*AL279)</f>
        <v>2.59750252938329E-011</v>
      </c>
      <c r="AQ280" s="37" t="n">
        <f aca="false">0.5*(B280-B279)*(W280*AL280+W279*AL279)</f>
        <v>1.54890582011644E-011</v>
      </c>
      <c r="AR280" s="37" t="n">
        <f aca="false">0.5*(B280-B279)*(X280*AL280+X279*AL279)</f>
        <v>3.7952927004822E-010</v>
      </c>
      <c r="AS280" s="37" t="n">
        <f aca="false">0.5*(B280-B279)*(Y280*AL280+Y279*AL279)</f>
        <v>2.35172714808528E-012</v>
      </c>
      <c r="AT280" s="37" t="n">
        <f aca="false">0.5*(B280-B279)*(Z280*AL280+Z279*AL279)</f>
        <v>3.68689820754293E-010</v>
      </c>
      <c r="AU280" s="37" t="n">
        <f aca="false">0.5*(B280-B279)*(AA280*AL280+AA279*AL279)</f>
        <v>2.18884912124665E-009</v>
      </c>
      <c r="AV280" s="37" t="n">
        <f aca="false">0.5*(B280-B279)*(S280+S279)</f>
        <v>2.09109529477135E-010</v>
      </c>
      <c r="AW280" s="37" t="n">
        <f aca="false">0.5*(B280-B279)*(T280+T279)</f>
        <v>5.85638354889812E-010</v>
      </c>
      <c r="AX280" s="37" t="n">
        <f aca="false">0.5*(B280-B279)*(U280+U279)</f>
        <v>4.45578749341496E-010</v>
      </c>
      <c r="AY280" s="37" t="n">
        <f aca="false">0.5*(B280-B279)*(V280+V279)</f>
        <v>2.30602432145519E-011</v>
      </c>
      <c r="AZ280" s="37" t="n">
        <f aca="false">0.5*(B280-B279)*(W280+W279)</f>
        <v>1.37516720394913E-011</v>
      </c>
      <c r="BA280" s="37" t="n">
        <f aca="false">0.5*(B280-B279)*(X280+X279)</f>
        <v>3.37006616060974E-010</v>
      </c>
      <c r="BB280" s="37" t="n">
        <f aca="false">0.5*(B280-B279)*(Y280+Y279)</f>
        <v>2.08793717776887E-012</v>
      </c>
      <c r="BC280" s="37" t="n">
        <f aca="false">0.5*(B280-B279)*(Z280+Z279)</f>
        <v>3.27382084544131E-010</v>
      </c>
      <c r="BD280" s="37" t="n">
        <f aca="false">0.5*(B280-B279)*(AA280+AA279)</f>
        <v>1.94361518674536E-009</v>
      </c>
      <c r="BE280" s="37" t="n">
        <f aca="false">IF(B280&gt;2000,AK280,-999)</f>
        <v>0.271256166400134</v>
      </c>
      <c r="BF280" s="37" t="n">
        <f aca="false">IF(AND(B280&lt;1000,AK280&gt;=-3),B280,1000000000)</f>
        <v>1000000000</v>
      </c>
    </row>
    <row r="281" customFormat="false" ht="15" hidden="false" customHeight="false" outlineLevel="0" collapsed="false">
      <c r="A281" s="5" t="n">
        <v>242</v>
      </c>
      <c r="B281" s="47" t="n">
        <f aca="false">20*10^(A281/100)</f>
        <v>5260.53598379076</v>
      </c>
      <c r="C281" s="37" t="n">
        <f aca="false">2*PI()*B281</f>
        <v>33052.9224012436</v>
      </c>
      <c r="D281" s="37" t="n">
        <f aca="false">SQRT(L_Rp0^2+L_Rp1^2*C281)</f>
        <v>109477865.99871</v>
      </c>
      <c r="E281" s="5" t="str">
        <f aca="false">COMPLEX(D281,C281*L_Mp)</f>
        <v>109477865.99871+488281540.274832i</v>
      </c>
      <c r="F281" s="5" t="str">
        <f aca="false">IMDIV(1,E281)</f>
        <v>4.37204476869931e-10-1.94997293227854e-09i</v>
      </c>
      <c r="G281" s="5" t="str">
        <f aca="false">COMPLEX(0,C281*L_Cf)</f>
        <v>3.49507480186567e-11i</v>
      </c>
      <c r="H281" s="5" t="str">
        <f aca="false">COMPLEX(0,C281*L_Cbv)</f>
        <v>3.49507480186567e-10i</v>
      </c>
      <c r="I281" s="5" t="str">
        <f aca="false">COMPLEX(L_Rsq+L_Rh,C281*(L_Md+L_Mh)-1/(C281*L_Cd))</f>
        <v>552400610.124532-34727996414.446i</v>
      </c>
      <c r="J281" s="5" t="str">
        <f aca="false">IMDIV(1,I281)</f>
        <v>4.57914951299054e-13+2.87879276296414e-11i</v>
      </c>
      <c r="K281" s="5" t="str">
        <f aca="false">IMSUM(F281,G281,H281)</f>
        <v>4.37204476869931e-10-1.56551470407332e-09i</v>
      </c>
      <c r="L281" s="5" t="str">
        <f aca="false">IMSUM(IMPRODUCT(IMSUM(F281,G281),H281),IMPRODUCT(IMSUM(J281,L_Yv),K281))</f>
        <v>7.15457113546522e-19+1.61544543878962e-19i</v>
      </c>
      <c r="M281" s="37" t="n">
        <f aca="false">IMABS(IMDIV(IMPRODUCT(J281,F281,H281),L281))^2</f>
        <v>7.51691062312634E-022</v>
      </c>
      <c r="N281" s="5" t="str">
        <f aca="false">IMDIV(IMPRODUCT(L_Yv,K281,E281),H281)</f>
        <v>0.000240851305197163-0.00464811879692547i</v>
      </c>
      <c r="O281" s="37" t="n">
        <f aca="false">IMABS(IMSUM(1,IMPRODUCT(E281,G281),N281))^2</f>
        <v>0.96663384685857</v>
      </c>
      <c r="P281" s="37" t="n">
        <f aca="false">IMABS(N281)^2</f>
        <v>2.16630177015471E-005</v>
      </c>
      <c r="Q281" s="37" t="n">
        <f aca="false">p_Rb^2/(1+(C281*p_Rb*L_Ctot)^2)</f>
        <v>150887320650664</v>
      </c>
      <c r="R281" s="37" t="n">
        <f aca="false">M281*L_Kt^2*Q281</f>
        <v>2.27630031383693E-005</v>
      </c>
      <c r="S281" s="37" t="n">
        <f aca="false">L_kT4*D281</f>
        <v>1.80262093709925E-012</v>
      </c>
      <c r="T281" s="37" t="n">
        <f aca="false">L_kT4*L_Rsq*O281</f>
        <v>4.99313880710423E-012</v>
      </c>
      <c r="U281" s="37" t="n">
        <f aca="false">L_kT4*L_Rh*O281</f>
        <v>3.79899391216717E-012</v>
      </c>
      <c r="V281" s="37" t="n">
        <f aca="false">L_kT4*p_Rv*P281</f>
        <v>1.78347508481854E-013</v>
      </c>
      <c r="W281" s="37" t="n">
        <f aca="false">L_kT4/p_Rb*Q281/R281</f>
        <v>1.09144354355472E-013</v>
      </c>
      <c r="X281" s="37" t="n">
        <f aca="false">p_en^2*(1+p_fc/B281)/R281</f>
        <v>2.86502644979637E-012</v>
      </c>
      <c r="Y281" s="37" t="n">
        <f aca="false">p_in^2*Q281/R281</f>
        <v>1.65715525027021E-014</v>
      </c>
      <c r="Z281" s="37" t="n">
        <f aca="false">p_eo^2/L_G^2/R281</f>
        <v>2.78503356139264E-012</v>
      </c>
      <c r="AA281" s="37" t="n">
        <f aca="false">SUM(S281:Z281)</f>
        <v>1.65488770828997E-011</v>
      </c>
      <c r="AB281" s="47" t="n">
        <f aca="false">10*LOG10(AA281/L_PREF^2)</f>
        <v>-13.8329146108604</v>
      </c>
      <c r="AC281" s="47" t="n">
        <f aca="false">10*LOG10(S281/L_PREF^2)</f>
        <v>-23.4615558032042</v>
      </c>
      <c r="AD281" s="47" t="n">
        <f aca="false">10*LOG10(T281/L_PREF^2)</f>
        <v>-19.0368635190584</v>
      </c>
      <c r="AE281" s="47" t="n">
        <f aca="false">10*LOG10(U281/L_PREF^2)</f>
        <v>-20.2239139372331</v>
      </c>
      <c r="AF281" s="47" t="n">
        <f aca="false">10*LOG10(V281/L_PREF^2)</f>
        <v>-33.5079294471353</v>
      </c>
      <c r="AG281" s="47" t="n">
        <f aca="false">10*LOG10(W281/L_PREF^2)</f>
        <v>-35.640587151919</v>
      </c>
      <c r="AH281" s="47" t="n">
        <f aca="false">10*LOG10(X281/L_PREF^2)</f>
        <v>-21.4493135561876</v>
      </c>
      <c r="AI281" s="47" t="n">
        <f aca="false">10*LOG10(Y281/L_PREF^2)</f>
        <v>-43.8269679420781</v>
      </c>
      <c r="AJ281" s="47" t="n">
        <f aca="false">10*LOG10(Z281/L_PREF^2)</f>
        <v>-21.5722955826712</v>
      </c>
      <c r="AK281" s="47" t="n">
        <f aca="false">10*LOG10(R281/$R$6)</f>
        <v>0.284586536245168</v>
      </c>
      <c r="AL281" s="37" t="n">
        <f aca="false">(12194^2*B281^4/((B281^2+20.6^2)*SQRT((B281^2+107.7^2)*(B281^2+737.9^2))*(B281^2+12194^2))*1.2589254)^2</f>
        <v>1.10431567338424</v>
      </c>
      <c r="AM281" s="37" t="n">
        <f aca="false">0.5*(B281-B280)*(S281*AL281+S280*AL280)</f>
        <v>2.39256875820672E-010</v>
      </c>
      <c r="AN281" s="37" t="n">
        <f aca="false">0.5*(B281-B280)*(T281*AL281+T280*AL280)</f>
        <v>6.65194385721339E-010</v>
      </c>
      <c r="AO281" s="37" t="n">
        <f aca="false">0.5*(B281-B280)*(U281*AL281+U280*AL280)</f>
        <v>5.06108385804863E-010</v>
      </c>
      <c r="AP281" s="37" t="n">
        <f aca="false">0.5*(B281-B280)*(V281*AL281+V280*AL280)</f>
        <v>2.45633227675016E-011</v>
      </c>
      <c r="AQ281" s="37" t="n">
        <f aca="false">0.5*(B281-B280)*(W281*AL281+W280*AL280)</f>
        <v>1.4897153580316E-011</v>
      </c>
      <c r="AR281" s="37" t="n">
        <f aca="false">0.5*(B281-B280)*(X281*AL281+X280*AL280)</f>
        <v>3.82057833280409E-010</v>
      </c>
      <c r="AS281" s="37" t="n">
        <f aca="false">0.5*(B281-B280)*(Y281*AL281+Y280*AL280)</f>
        <v>2.26185737370342E-012</v>
      </c>
      <c r="AT281" s="37" t="n">
        <f aca="false">0.5*(B281-B280)*(Z281*AL281+Z280*AL280)</f>
        <v>3.71309268552456E-010</v>
      </c>
      <c r="AU281" s="37" t="n">
        <f aca="false">0.5*(B281-B280)*(AA281*AL281+AA280*AL280)</f>
        <v>2.20564908290126E-009</v>
      </c>
      <c r="AV281" s="37" t="n">
        <f aca="false">0.5*(B281-B280)*(S281+S280)</f>
        <v>2.15225727577093E-010</v>
      </c>
      <c r="AW281" s="37" t="n">
        <f aca="false">0.5*(B281-B280)*(T281+T280)</f>
        <v>5.98367087285151E-010</v>
      </c>
      <c r="AX281" s="37" t="n">
        <f aca="false">0.5*(B281-B280)*(U281+U280)</f>
        <v>4.55263314250986E-010</v>
      </c>
      <c r="AY281" s="37" t="n">
        <f aca="false">0.5*(B281-B280)*(V281+V280)</f>
        <v>2.20908709603473E-011</v>
      </c>
      <c r="AZ281" s="37" t="n">
        <f aca="false">0.5*(B281-B280)*(W281+W280)</f>
        <v>1.3398434199638E-011</v>
      </c>
      <c r="BA281" s="37" t="n">
        <f aca="false">0.5*(B281-B280)*(X281+X280)</f>
        <v>3.43673016651448E-010</v>
      </c>
      <c r="BB281" s="37" t="n">
        <f aca="false">0.5*(B281-B280)*(Y281+Y280)</f>
        <v>2.03430454194782E-012</v>
      </c>
      <c r="BC281" s="37" t="n">
        <f aca="false">0.5*(B281-B280)*(Z281+Z280)</f>
        <v>3.3400482561949E-010</v>
      </c>
      <c r="BD281" s="37" t="n">
        <f aca="false">0.5*(B281-B280)*(AA281+AA280)</f>
        <v>1.9840575810861E-009</v>
      </c>
      <c r="BE281" s="37" t="n">
        <f aca="false">IF(B281&gt;2000,AK281,-999)</f>
        <v>0.284586536245168</v>
      </c>
      <c r="BF281" s="37" t="n">
        <f aca="false">IF(AND(B281&lt;1000,AK281&gt;=-3),B281,1000000000)</f>
        <v>1000000000</v>
      </c>
    </row>
    <row r="282" customFormat="false" ht="15" hidden="false" customHeight="false" outlineLevel="0" collapsed="false">
      <c r="A282" s="5" t="n">
        <v>243</v>
      </c>
      <c r="B282" s="47" t="n">
        <f aca="false">20*10^(A282/100)</f>
        <v>5383.06960785383</v>
      </c>
      <c r="C282" s="37" t="n">
        <f aca="false">2*PI()*B282</f>
        <v>33822.8238675922</v>
      </c>
      <c r="D282" s="37" t="n">
        <f aca="false">SQRT(L_Rp0^2+L_Rp1^2*C282)</f>
        <v>110125983.976895</v>
      </c>
      <c r="E282" s="5" t="str">
        <f aca="false">COMPLEX(D282,C282*L_Mp)</f>
        <v>110125983.976895+499655078.423289i</v>
      </c>
      <c r="F282" s="5" t="str">
        <f aca="false">IMDIV(1,E282)</f>
        <v>4.2067671901229e-10-1.90866180204154e-09i</v>
      </c>
      <c r="G282" s="5" t="str">
        <f aca="false">COMPLEX(0,C282*L_Cf)</f>
        <v>3.57648555224619e-11i</v>
      </c>
      <c r="H282" s="5" t="str">
        <f aca="false">COMPLEX(0,C282*L_Cbv)</f>
        <v>3.57648555224619e-10i</v>
      </c>
      <c r="I282" s="5" t="str">
        <f aca="false">COMPLEX(L_Rsq+L_Rh,C282*(L_Md+L_Mh)-1/(C282*L_Cd))</f>
        <v>552400610.124532-33931754776.8914i</v>
      </c>
      <c r="J282" s="5" t="str">
        <f aca="false">IMDIV(1,I282)</f>
        <v>4.79652181665193e-13+2.94631104820742e-11i</v>
      </c>
      <c r="K282" s="5" t="str">
        <f aca="false">IMSUM(F282,G282,H282)</f>
        <v>4.2067671901229e-10-1.51524839129446e-09i</v>
      </c>
      <c r="L282" s="5" t="str">
        <f aca="false">IMSUM(IMPRODUCT(IMSUM(F282,G282),H282),IMPRODUCT(IMSUM(J282,L_Yv),K282))</f>
        <v>7.15525949711718e-19+1.59091576441637e-19i</v>
      </c>
      <c r="M282" s="37" t="n">
        <f aca="false">IMABS(IMDIV(IMPRODUCT(J282,F282,H282),L282))^2</f>
        <v>7.89654568486867E-022</v>
      </c>
      <c r="N282" s="5" t="str">
        <f aca="false">IMDIV(IMPRODUCT(L_Yv,K282,E282),H282)</f>
        <v>0.000242277164749166-0.00449284069326552i</v>
      </c>
      <c r="O282" s="37" t="n">
        <f aca="false">IMABS(IMSUM(1,IMPRODUCT(E282,G282),N282))^2</f>
        <v>0.965055417931232</v>
      </c>
      <c r="P282" s="37" t="n">
        <f aca="false">IMABS(N282)^2</f>
        <v>2.02443157196215E-005</v>
      </c>
      <c r="Q282" s="37" t="n">
        <f aca="false">p_Rb^2/(1+(C282*p_Rb*L_Ctot)^2)</f>
        <v>144096272547001</v>
      </c>
      <c r="R282" s="37" t="n">
        <f aca="false">M282*L_Kt^2*Q282</f>
        <v>2.28363833121472E-005</v>
      </c>
      <c r="S282" s="37" t="n">
        <f aca="false">L_kT4*D282</f>
        <v>1.81329260142636E-012</v>
      </c>
      <c r="T282" s="37" t="n">
        <f aca="false">L_kT4*L_Rsq*O282</f>
        <v>4.98498544608034E-012</v>
      </c>
      <c r="U282" s="37" t="n">
        <f aca="false">L_kT4*L_Rh*O282</f>
        <v>3.7927904858075E-012</v>
      </c>
      <c r="V282" s="37" t="n">
        <f aca="false">L_kT4*p_Rv*P282</f>
        <v>1.66667604636481E-013</v>
      </c>
      <c r="W282" s="37" t="n">
        <f aca="false">L_kT4/p_Rb*Q282/R282</f>
        <v>1.03897120266273E-013</v>
      </c>
      <c r="X282" s="37" t="n">
        <f aca="false">p_en^2*(1+p_fc/B282)/R282</f>
        <v>2.85460757257633E-012</v>
      </c>
      <c r="Y282" s="37" t="n">
        <f aca="false">p_in^2*Q282/R282</f>
        <v>1.57748570096861E-014</v>
      </c>
      <c r="Z282" s="37" t="n">
        <f aca="false">p_eo^2/L_G^2/R282</f>
        <v>2.77608441021057E-012</v>
      </c>
      <c r="AA282" s="37" t="n">
        <f aca="false">SUM(S282:Z282)</f>
        <v>1.65081000980135E-011</v>
      </c>
      <c r="AB282" s="47" t="n">
        <f aca="false">10*LOG10(AA282/L_PREF^2)</f>
        <v>-13.8436289773979</v>
      </c>
      <c r="AC282" s="47" t="n">
        <f aca="false">10*LOG10(S282/L_PREF^2)</f>
        <v>-23.4359210177653</v>
      </c>
      <c r="AD282" s="47" t="n">
        <f aca="false">10*LOG10(T282/L_PREF^2)</f>
        <v>-19.0439609662336</v>
      </c>
      <c r="AE282" s="47" t="n">
        <f aca="false">10*LOG10(U282/L_PREF^2)</f>
        <v>-20.2310113844083</v>
      </c>
      <c r="AF282" s="47" t="n">
        <f aca="false">10*LOG10(V282/L_PREF^2)</f>
        <v>-33.802087975878</v>
      </c>
      <c r="AG282" s="47" t="n">
        <f aca="false">10*LOG10(W282/L_PREF^2)</f>
        <v>-35.8545648101621</v>
      </c>
      <c r="AH282" s="47" t="n">
        <f aca="false">10*LOG10(X282/L_PREF^2)</f>
        <v>-21.4651357779292</v>
      </c>
      <c r="AI282" s="47" t="n">
        <f aca="false">10*LOG10(Y282/L_PREF^2)</f>
        <v>-44.0409456003212</v>
      </c>
      <c r="AJ282" s="47" t="n">
        <f aca="false">10*LOG10(Z282/L_PREF^2)</f>
        <v>-21.5862732409438</v>
      </c>
      <c r="AK282" s="47" t="n">
        <f aca="false">10*LOG10(R282/$R$6)</f>
        <v>0.298564194517768</v>
      </c>
      <c r="AL282" s="37" t="n">
        <f aca="false">(12194^2*B282^4/((B282^2+20.6^2)*SQRT((B282^2+107.7^2)*(B282^2+737.9^2))*(B282^2+12194^2))*1.2589254)^2</f>
        <v>1.08913056027426</v>
      </c>
      <c r="AM282" s="37" t="n">
        <f aca="false">0.5*(B282-B281)*(S282*AL282+S281*AL281)</f>
        <v>2.42958134503655E-010</v>
      </c>
      <c r="AN282" s="37" t="n">
        <f aca="false">0.5*(B282-B281)*(T282*AL282+T281*AL281)</f>
        <v>6.70461192078739E-010</v>
      </c>
      <c r="AO282" s="37" t="n">
        <f aca="false">0.5*(B282-B281)*(U282*AL282+U281*AL281)</f>
        <v>5.10115597713305E-010</v>
      </c>
      <c r="AP282" s="37" t="n">
        <f aca="false">0.5*(B282-B281)*(V282*AL282+V281*AL281)</f>
        <v>2.31879401748539E-011</v>
      </c>
      <c r="AQ282" s="37" t="n">
        <f aca="false">0.5*(B282-B281)*(W282*AL282+W281*AL281)</f>
        <v>1.43172789455338E-011</v>
      </c>
      <c r="AR282" s="37" t="n">
        <f aca="false">0.5*(B282-B281)*(X282*AL282+X281*AL281)</f>
        <v>3.84322665694309E-010</v>
      </c>
      <c r="AS282" s="37" t="n">
        <f aca="false">0.5*(B282-B281)*(Y282*AL282+Y281*AL281)</f>
        <v>2.17381413031236E-012</v>
      </c>
      <c r="AT282" s="37" t="n">
        <f aca="false">0.5*(B282-B281)*(Z282*AL282+Z281*AL281)</f>
        <v>3.7367085596996E-010</v>
      </c>
      <c r="AU282" s="37" t="n">
        <f aca="false">0.5*(B282-B281)*(AA282*AL282+AA281*AL281)</f>
        <v>2.22120747921067E-009</v>
      </c>
      <c r="AV282" s="37" t="n">
        <f aca="false">0.5*(B282-B281)*(S282+S281)</f>
        <v>2.2153549508713E-010</v>
      </c>
      <c r="AW282" s="37" t="n">
        <f aca="false">0.5*(B282-B281)*(T282+T281)</f>
        <v>6.11327863047158E-010</v>
      </c>
      <c r="AX282" s="37" t="n">
        <f aca="false">0.5*(B282-B281)*(U282+U281)</f>
        <v>4.65124427694652E-010</v>
      </c>
      <c r="AY282" s="37" t="n">
        <f aca="false">0.5*(B282-B281)*(V282+V281)</f>
        <v>2.11379760834598E-011</v>
      </c>
      <c r="AZ282" s="37" t="n">
        <f aca="false">0.5*(B282-B281)*(W282+W281)</f>
        <v>1.30523719805714E-011</v>
      </c>
      <c r="BA282" s="37" t="n">
        <f aca="false">0.5*(B282-B281)*(X282+X281)</f>
        <v>3.50423742537879E-010</v>
      </c>
      <c r="BB282" s="37" t="n">
        <f aca="false">0.5*(B282-B281)*(Y282+Y281)</f>
        <v>1.98176139149053E-012</v>
      </c>
      <c r="BC282" s="37" t="n">
        <f aca="false">0.5*(B282-B281)*(Z282+Z281)</f>
        <v>3.40711969451404E-010</v>
      </c>
      <c r="BD282" s="37" t="n">
        <f aca="false">0.5*(B282-B281)*(AA282+AA281)</f>
        <v>2.02529560727374E-009</v>
      </c>
      <c r="BE282" s="37" t="n">
        <f aca="false">IF(B282&gt;2000,AK282,-999)</f>
        <v>0.298564194517768</v>
      </c>
      <c r="BF282" s="37" t="n">
        <f aca="false">IF(AND(B282&lt;1000,AK282&gt;=-3),B282,1000000000)</f>
        <v>1000000000</v>
      </c>
    </row>
    <row r="283" customFormat="false" ht="15" hidden="false" customHeight="false" outlineLevel="0" collapsed="false">
      <c r="A283" s="5" t="n">
        <v>244</v>
      </c>
      <c r="B283" s="47" t="n">
        <f aca="false">20*10^(A283/100)</f>
        <v>5508.45740667633</v>
      </c>
      <c r="C283" s="37" t="n">
        <f aca="false">2*PI()*B283</f>
        <v>34610.6586428533</v>
      </c>
      <c r="D283" s="37" t="n">
        <f aca="false">SQRT(L_Rp0^2+L_Rp1^2*C283)</f>
        <v>110785273.494087</v>
      </c>
      <c r="E283" s="5" t="str">
        <f aca="false">COMPLEX(D283,C283*L_Mp)</f>
        <v>110785273.494087+511293540.308042i</v>
      </c>
      <c r="F283" s="5" t="str">
        <f aca="false">IMDIV(1,E283)</f>
        <v>4.04777184802626e-10-1.86811796664205e-09i</v>
      </c>
      <c r="G283" s="5" t="str">
        <f aca="false">COMPLEX(0,C283*L_Cf)</f>
        <v>3.65979260260688e-11i</v>
      </c>
      <c r="H283" s="5" t="str">
        <f aca="false">COMPLEX(0,C283*L_Cbv)</f>
        <v>3.65979260260688e-10i</v>
      </c>
      <c r="I283" s="5" t="str">
        <f aca="false">COMPLEX(L_Rsq+L_Rh,C283*(L_Md+L_Mh)-1/(C283*L_Cd))</f>
        <v>552400610.124532-33153504204.8594i</v>
      </c>
      <c r="J283" s="5" t="str">
        <f aca="false">IMDIV(1,I283)</f>
        <v>5.02429025528039e-13+3.01543526657801e-11i</v>
      </c>
      <c r="K283" s="5" t="str">
        <f aca="false">IMSUM(F283,G283,H283)</f>
        <v>4.04777184802626e-10-1.46554078035529e-09i</v>
      </c>
      <c r="L283" s="5" t="str">
        <f aca="false">IMSUM(IMPRODUCT(IMSUM(F283,G283),H283),IMPRODUCT(IMSUM(J283,L_Yv),K283))</f>
        <v>7.155037093303e-19+1.56678436859213e-19i</v>
      </c>
      <c r="M283" s="37" t="n">
        <f aca="false">IMABS(IMDIV(IMPRODUCT(J283,F283,H283),L283))^2</f>
        <v>8.29665237443642E-022</v>
      </c>
      <c r="N283" s="5" t="str">
        <f aca="false">IMDIV(IMPRODUCT(L_Yv,K283,E283),H283)</f>
        <v>0.000243727601686993-0.00433994475321093i</v>
      </c>
      <c r="O283" s="37" t="n">
        <f aca="false">IMABS(IMSUM(1,IMPRODUCT(E283,G283),N283))^2</f>
        <v>0.963404057888685</v>
      </c>
      <c r="P283" s="37" t="n">
        <f aca="false">IMABS(N283)^2</f>
        <v>1.88945236047472E-005</v>
      </c>
      <c r="Q283" s="37" t="n">
        <f aca="false">p_Rb^2/(1+(C283*p_Rb*L_Ctot)^2)</f>
        <v>137610871956603</v>
      </c>
      <c r="R283" s="37" t="n">
        <f aca="false">M283*L_Kt^2*Q283</f>
        <v>2.29135861852081E-005</v>
      </c>
      <c r="S283" s="37" t="n">
        <f aca="false">L_kT4*D283</f>
        <v>1.82414821206929E-012</v>
      </c>
      <c r="T283" s="37" t="n">
        <f aca="false">L_kT4*L_Rsq*O283</f>
        <v>4.97645536000924E-012</v>
      </c>
      <c r="U283" s="37" t="n">
        <f aca="false">L_kT4*L_Rh*O283</f>
        <v>3.78630043089289E-012</v>
      </c>
      <c r="V283" s="37" t="n">
        <f aca="false">L_kT4*p_Rv*P283</f>
        <v>1.5555502263277E-013</v>
      </c>
      <c r="W283" s="37" t="n">
        <f aca="false">L_kT4/p_Rb*Q283/R283</f>
        <v>9.88866737669778E-014</v>
      </c>
      <c r="X283" s="37" t="n">
        <f aca="false">p_en^2*(1+p_fc/B283)/R283</f>
        <v>2.84380843961168E-012</v>
      </c>
      <c r="Y283" s="37" t="n">
        <f aca="false">p_in^2*Q283/R283</f>
        <v>1.50141133348038E-014</v>
      </c>
      <c r="Z283" s="37" t="n">
        <f aca="false">p_eo^2/L_G^2/R283</f>
        <v>2.76673093360523E-012</v>
      </c>
      <c r="AA283" s="37" t="n">
        <f aca="false">SUM(S283:Z283)</f>
        <v>1.64668991859229E-011</v>
      </c>
      <c r="AB283" s="47" t="n">
        <f aca="false">10*LOG10(AA283/L_PREF^2)</f>
        <v>-13.8544816466748</v>
      </c>
      <c r="AC283" s="47" t="n">
        <f aca="false">10*LOG10(S283/L_PREF^2)</f>
        <v>-23.4099986946888</v>
      </c>
      <c r="AD283" s="47" t="n">
        <f aca="false">10*LOG10(T283/L_PREF^2)</f>
        <v>-19.0513987863009</v>
      </c>
      <c r="AE283" s="47" t="n">
        <f aca="false">10*LOG10(U283/L_PREF^2)</f>
        <v>-20.2384492044756</v>
      </c>
      <c r="AF283" s="47" t="n">
        <f aca="false">10*LOG10(V283/L_PREF^2)</f>
        <v>-34.1017595295505</v>
      </c>
      <c r="AG283" s="47" t="n">
        <f aca="false">10*LOG10(W283/L_PREF^2)</f>
        <v>-36.0692222247516</v>
      </c>
      <c r="AH283" s="47" t="n">
        <f aca="false">10*LOG10(X283/L_PREF^2)</f>
        <v>-21.48159652583</v>
      </c>
      <c r="AI283" s="47" t="n">
        <f aca="false">10*LOG10(Y283/L_PREF^2)</f>
        <v>-44.2556030149108</v>
      </c>
      <c r="AJ283" s="47" t="n">
        <f aca="false">10*LOG10(Z283/L_PREF^2)</f>
        <v>-21.6009306555615</v>
      </c>
      <c r="AK283" s="47" t="n">
        <f aca="false">10*LOG10(R283/$R$6)</f>
        <v>0.313221609135458</v>
      </c>
      <c r="AL283" s="37" t="n">
        <f aca="false">(12194^2*B283^4/((B283^2+20.6^2)*SQRT((B283^2+107.7^2)*(B283^2+737.9^2))*(B283^2+12194^2))*1.2589254)^2</f>
        <v>1.07349033300678</v>
      </c>
      <c r="AM283" s="37" t="n">
        <f aca="false">0.5*(B283-B282)*(S283*AL283+S282*AL282)</f>
        <v>2.46582495397191E-010</v>
      </c>
      <c r="AN283" s="37" t="n">
        <f aca="false">0.5*(B283-B282)*(T283*AL283+T282*AL282)</f>
        <v>6.75305877584168E-010</v>
      </c>
      <c r="AO283" s="37" t="n">
        <f aca="false">0.5*(B283-B282)*(U283*AL283+U282*AL282)</f>
        <v>5.13801641993768E-010</v>
      </c>
      <c r="AP283" s="37" t="n">
        <f aca="false">0.5*(B283-B282)*(V283*AL283+V282*AL282)</f>
        <v>2.18494254717345E-011</v>
      </c>
      <c r="AQ283" s="37" t="n">
        <f aca="false">0.5*(B283-B282)*(W283*AL283+W282*AL282)</f>
        <v>1.37494879270757E-011</v>
      </c>
      <c r="AR283" s="37" t="n">
        <f aca="false">0.5*(B283-B282)*(X283*AL283+X282*AL282)</f>
        <v>3.86309853241646E-010</v>
      </c>
      <c r="AS283" s="37" t="n">
        <f aca="false">0.5*(B283-B282)*(Y283*AL283+Y282*AL282)</f>
        <v>2.08760556067534E-012</v>
      </c>
      <c r="AT283" s="37" t="n">
        <f aca="false">0.5*(B283-B282)*(Z283*AL283+Z282*AL282)</f>
        <v>3.75760731125765E-010</v>
      </c>
      <c r="AU283" s="37" t="n">
        <f aca="false">0.5*(B283-B282)*(AA283*AL283+AA282*AL282)</f>
        <v>2.23544711830202E-009</v>
      </c>
      <c r="AV283" s="37" t="n">
        <f aca="false">0.5*(B283-B282)*(S283+S282)</f>
        <v>2.2804534847567E-010</v>
      </c>
      <c r="AW283" s="37" t="n">
        <f aca="false">0.5*(B283-B282)*(T283+T282)</f>
        <v>6.24521567888099E-010</v>
      </c>
      <c r="AX283" s="37" t="n">
        <f aca="false">0.5*(B283-B282)*(U283+U282)</f>
        <v>4.75162763560331E-010</v>
      </c>
      <c r="AY283" s="37" t="n">
        <f aca="false">0.5*(B283-B282)*(V283+V282)</f>
        <v>2.0201392982047E-011</v>
      </c>
      <c r="AZ283" s="37" t="n">
        <f aca="false">0.5*(B283-B282)*(W283+W282)</f>
        <v>1.27133067853522E-011</v>
      </c>
      <c r="BA283" s="37" t="n">
        <f aca="false">0.5*(B283-B282)*(X283+X282)</f>
        <v>3.5725592027157E-010</v>
      </c>
      <c r="BB283" s="37" t="n">
        <f aca="false">0.5*(B283-B282)*(Y283+Y282)</f>
        <v>1.9302806097534E-012</v>
      </c>
      <c r="BC283" s="37" t="n">
        <f aca="false">0.5*(B283-B282)*(Z283+Z282)</f>
        <v>3.47500707620319E-010</v>
      </c>
      <c r="BD283" s="37" t="n">
        <f aca="false">0.5*(B283-B282)*(AA283+AA282)</f>
        <v>2.06733128819314E-009</v>
      </c>
      <c r="BE283" s="37" t="n">
        <f aca="false">IF(B283&gt;2000,AK283,-999)</f>
        <v>0.313221609135458</v>
      </c>
      <c r="BF283" s="37" t="n">
        <f aca="false">IF(AND(B283&lt;1000,AK283&gt;=-3),B283,1000000000)</f>
        <v>1000000000</v>
      </c>
    </row>
    <row r="284" customFormat="false" ht="15" hidden="false" customHeight="false" outlineLevel="0" collapsed="false">
      <c r="A284" s="5" t="n">
        <v>245</v>
      </c>
      <c r="B284" s="47" t="n">
        <f aca="false">20*10^(A284/100)</f>
        <v>5636.76586252891</v>
      </c>
      <c r="C284" s="37" t="n">
        <f aca="false">2*PI()*B284</f>
        <v>35416.8444474531</v>
      </c>
      <c r="D284" s="37" t="n">
        <f aca="false">SQRT(L_Rp0^2+L_Rp1^2*C284)</f>
        <v>111455882.729902</v>
      </c>
      <c r="E284" s="5" t="str">
        <f aca="false">COMPLEX(D284,C284*L_Mp)</f>
        <v>111455882.729902+523203096.795637i</v>
      </c>
      <c r="F284" s="5" t="str">
        <f aca="false">IMDIV(1,E284)</f>
        <v>3.89482687904403e-10-1.82833371795818e-09i</v>
      </c>
      <c r="G284" s="5" t="str">
        <f aca="false">COMPLEX(0,C284*L_Cf)</f>
        <v>3.74504012344857e-11i</v>
      </c>
      <c r="H284" s="5" t="str">
        <f aca="false">COMPLEX(0,C284*L_Cbv)</f>
        <v>3.74504012344857e-10i</v>
      </c>
      <c r="I284" s="5" t="str">
        <f aca="false">COMPLEX(L_Rsq+L_Rh,C284*(L_Md+L_Mh)-1/(C284*L_Cd))</f>
        <v>552400610.124532-32392832059.5953i</v>
      </c>
      <c r="J284" s="5" t="str">
        <f aca="false">IMDIV(1,I284)</f>
        <v>5.26295954342685e-13+3.08620521958216e-11i</v>
      </c>
      <c r="K284" s="5" t="str">
        <f aca="false">IMSUM(F284,G284,H284)</f>
        <v>3.89482687904403e-10-1.41637930437884e-09i</v>
      </c>
      <c r="L284" s="5" t="str">
        <f aca="false">IMSUM(IMPRODUCT(IMSUM(F284,G284),H284),IMPRODUCT(IMSUM(J284,L_Yv),K284))</f>
        <v>7.15389308314048e-19+1.54304871096067e-19i</v>
      </c>
      <c r="M284" s="37" t="n">
        <f aca="false">IMABS(IMDIV(IMPRODUCT(J284,F284,H284),L284))^2</f>
        <v>8.71846503607372E-022</v>
      </c>
      <c r="N284" s="5" t="str">
        <f aca="false">IMDIV(IMPRODUCT(L_Yv,K284,E284),H284)</f>
        <v>0.000245202942005781-0.00418934990931043i</v>
      </c>
      <c r="O284" s="37" t="n">
        <f aca="false">IMABS(IMSUM(1,IMPRODUCT(E284,G284),N284))^2</f>
        <v>0.961676456680952</v>
      </c>
      <c r="P284" s="37" t="n">
        <f aca="false">IMABS(N284)^2</f>
        <v>1.76107771454076E-005</v>
      </c>
      <c r="Q284" s="37" t="n">
        <f aca="false">p_Rb^2/(1+(C284*p_Rb*L_Ctot)^2)</f>
        <v>131417362475315</v>
      </c>
      <c r="R284" s="37" t="n">
        <f aca="false">M284*L_Kt^2*Q284</f>
        <v>2.29948299383217E-005</v>
      </c>
      <c r="S284" s="37" t="n">
        <f aca="false">L_kT4*D284</f>
        <v>1.83519020889728E-012</v>
      </c>
      <c r="T284" s="37" t="n">
        <f aca="false">L_kT4*L_Rsq*O284</f>
        <v>4.96753145085629E-012</v>
      </c>
      <c r="U284" s="37" t="n">
        <f aca="false">L_kT4*L_Rh*O284</f>
        <v>3.7795107385061E-012</v>
      </c>
      <c r="V284" s="37" t="n">
        <f aca="false">L_kT4*p_Rv*P284</f>
        <v>1.44986181961543E-013</v>
      </c>
      <c r="W284" s="37" t="n">
        <f aca="false">L_kT4/p_Rb*Q284/R284</f>
        <v>9.41023853756702E-014</v>
      </c>
      <c r="X284" s="37" t="n">
        <f aca="false">p_en^2*(1+p_fc/B284)/R284</f>
        <v>2.83261076599645E-012</v>
      </c>
      <c r="Y284" s="37" t="n">
        <f aca="false">p_in^2*Q284/R284</f>
        <v>1.42877075877286E-014</v>
      </c>
      <c r="Z284" s="37" t="n">
        <f aca="false">p_eo^2/L_G^2/R284</f>
        <v>2.75695570997868E-012</v>
      </c>
      <c r="AA284" s="37" t="n">
        <f aca="false">SUM(S284:Z284)</f>
        <v>1.64251751491597E-011</v>
      </c>
      <c r="AB284" s="47" t="n">
        <f aca="false">10*LOG10(AA284/L_PREF^2)</f>
        <v>-13.8654998199063</v>
      </c>
      <c r="AC284" s="47" t="n">
        <f aca="false">10*LOG10(S284/L_PREF^2)</f>
        <v>-23.3837890781154</v>
      </c>
      <c r="AD284" s="47" t="n">
        <f aca="false">10*LOG10(T284/L_PREF^2)</f>
        <v>-19.0591936589536</v>
      </c>
      <c r="AE284" s="47" t="n">
        <f aca="false">10*LOG10(U284/L_PREF^2)</f>
        <v>-20.2462440771283</v>
      </c>
      <c r="AF284" s="47" t="n">
        <f aca="false">10*LOG10(V284/L_PREF^2)</f>
        <v>-34.4073337794687</v>
      </c>
      <c r="AG284" s="47" t="n">
        <f aca="false">10*LOG10(W284/L_PREF^2)</f>
        <v>-36.2845935894895</v>
      </c>
      <c r="AH284" s="47" t="n">
        <f aca="false">10*LOG10(X284/L_PREF^2)</f>
        <v>-21.4987308987268</v>
      </c>
      <c r="AI284" s="47" t="n">
        <f aca="false">10*LOG10(Y284/L_PREF^2)</f>
        <v>-44.4709743796486</v>
      </c>
      <c r="AJ284" s="47" t="n">
        <f aca="false">10*LOG10(Z284/L_PREF^2)</f>
        <v>-21.6163020203262</v>
      </c>
      <c r="AK284" s="47" t="n">
        <f aca="false">10*LOG10(R284/$R$6)</f>
        <v>0.328592973900221</v>
      </c>
      <c r="AL284" s="37" t="n">
        <f aca="false">(12194^2*B284^4/((B284^2+20.6^2)*SQRT((B284^2+107.7^2)*(B284^2+737.9^2))*(B284^2+12194^2))*1.2589254)^2</f>
        <v>1.0574034215715</v>
      </c>
      <c r="AM284" s="37" t="n">
        <f aca="false">0.5*(B284-B283)*(S284*AL284+S283*AL283)</f>
        <v>2.5012077505097E-010</v>
      </c>
      <c r="AN284" s="37" t="n">
        <f aca="false">0.5*(B284-B283)*(T284*AL284+T283*AL283)</f>
        <v>6.79705157883114E-010</v>
      </c>
      <c r="AO284" s="37" t="n">
        <f aca="false">0.5*(B284-B283)*(U284*AL284+U283*AL283)</f>
        <v>5.17148802911834E-010</v>
      </c>
      <c r="AP284" s="37" t="n">
        <f aca="false">0.5*(B284-B283)*(V284*AL284+V283*AL283)</f>
        <v>2.05483232090452E-011</v>
      </c>
      <c r="AQ284" s="37" t="n">
        <f aca="false">0.5*(B284-B283)*(W284*AL284+W283*AL283)</f>
        <v>1.31938348661501E-011</v>
      </c>
      <c r="AR284" s="37" t="n">
        <f aca="false">0.5*(B284-B283)*(X284*AL284+X283*AL283)</f>
        <v>3.88005616358289E-010</v>
      </c>
      <c r="AS284" s="37" t="n">
        <f aca="false">0.5*(B284-B283)*(Y284*AL284+Y283*AL283)</f>
        <v>2.00323991550026E-012</v>
      </c>
      <c r="AT284" s="37" t="n">
        <f aca="false">0.5*(B284-B283)*(Z284*AL284+Z283*AL283)</f>
        <v>3.77565165473516E-010</v>
      </c>
      <c r="AU284" s="37" t="n">
        <f aca="false">0.5*(B284-B283)*(AA284*AL284+AA283*AL283)</f>
        <v>2.24829091566842E-009</v>
      </c>
      <c r="AV284" s="37" t="n">
        <f aca="false">0.5*(B284-B283)*(S284+S283)</f>
        <v>2.34762031118114E-010</v>
      </c>
      <c r="AW284" s="37" t="n">
        <f aca="false">0.5*(B284-B283)*(T284+T283)</f>
        <v>6.37948796360275E-010</v>
      </c>
      <c r="AX284" s="37" t="n">
        <f aca="false">0.5*(B284-B283)*(U284+U283)</f>
        <v>4.85378774208883E-010</v>
      </c>
      <c r="AY284" s="37" t="n">
        <f aca="false">0.5*(B284-B283)*(V284+V283)</f>
        <v>1.92809889407849E-011</v>
      </c>
      <c r="AZ284" s="37" t="n">
        <f aca="false">0.5*(B284-B283)*(W284+W283)</f>
        <v>1.23810640875174E-011</v>
      </c>
      <c r="BA284" s="37" t="n">
        <f aca="false">0.5*(B284-B283)*(X284+X283)</f>
        <v>3.64166291521746E-010</v>
      </c>
      <c r="BB284" s="37" t="n">
        <f aca="false">0.5*(B284-B283)*(Y284+Y283)</f>
        <v>1.87983569811943E-012</v>
      </c>
      <c r="BC284" s="37" t="n">
        <f aca="false">0.5*(B284-B283)*(Z284+Z283)</f>
        <v>3.54367851925877E-010</v>
      </c>
      <c r="BD284" s="37" t="n">
        <f aca="false">0.5*(B284-B283)*(AA284+AA283)</f>
        <v>2.11016563386132E-009</v>
      </c>
      <c r="BE284" s="37" t="n">
        <f aca="false">IF(B284&gt;2000,AK284,-999)</f>
        <v>0.328592973900221</v>
      </c>
      <c r="BF284" s="37" t="n">
        <f aca="false">IF(AND(B284&lt;1000,AK284&gt;=-3),B284,1000000000)</f>
        <v>1000000000</v>
      </c>
    </row>
    <row r="285" customFormat="false" ht="15" hidden="false" customHeight="false" outlineLevel="0" collapsed="false">
      <c r="A285" s="5" t="n">
        <v>246</v>
      </c>
      <c r="B285" s="47" t="n">
        <f aca="false">20*10^(A285/100)</f>
        <v>5768.06300625321</v>
      </c>
      <c r="C285" s="37" t="n">
        <f aca="false">2*PI()*B285</f>
        <v>36241.8087317763</v>
      </c>
      <c r="D285" s="37" t="n">
        <f aca="false">SQRT(L_Rp0^2+L_Rp1^2*C285)</f>
        <v>112137960.941337</v>
      </c>
      <c r="E285" s="5" t="str">
        <f aca="false">COMPLEX(D285,C285*L_Mp)</f>
        <v>112137960.941337+535390062.490564i</v>
      </c>
      <c r="F285" s="5" t="str">
        <f aca="false">IMDIV(1,E285)</f>
        <v>3.747708036503e-10-1.78930098515826e-09i</v>
      </c>
      <c r="G285" s="5" t="str">
        <f aca="false">COMPLEX(0,C285*L_Cf)</f>
        <v>3.83227331413517e-11i</v>
      </c>
      <c r="H285" s="5" t="str">
        <f aca="false">COMPLEX(0,C285*L_Cbv)</f>
        <v>3.83227331413517e-10i</v>
      </c>
      <c r="I285" s="5" t="str">
        <f aca="false">COMPLEX(L_Rsq+L_Rh,C285*(L_Md+L_Mh)-1/(C285*L_Cd))</f>
        <v>552400610.124532-31649335022.659i</v>
      </c>
      <c r="J285" s="5" t="str">
        <f aca="false">IMDIV(1,I285)</f>
        <v>5.51305962469957e-13+3.15866180927418e-11i</v>
      </c>
      <c r="K285" s="5" t="str">
        <f aca="false">IMSUM(F285,G285,H285)</f>
        <v>3.747708036503e-10-1.36775092060339e-09i</v>
      </c>
      <c r="L285" s="5" t="str">
        <f aca="false">IMSUM(IMPRODUCT(IMSUM(F285,G285),H285),IMPRODUCT(IMSUM(J285,L_Yv),K285))</f>
        <v>7.15181503844553e-19+1.51970606142907e-19i</v>
      </c>
      <c r="M285" s="37" t="n">
        <f aca="false">IMABS(IMDIV(IMPRODUCT(J285,F285,H285),L285))^2</f>
        <v>9.16330545583882E-022</v>
      </c>
      <c r="N285" s="5" t="str">
        <f aca="false">IMDIV(IMPRODUCT(L_Yv,K285,E285),H285)</f>
        <v>0.000246703514070943-0.00404097631418443i</v>
      </c>
      <c r="O285" s="37" t="n">
        <f aca="false">IMABS(IMSUM(1,IMPRODUCT(E285,G285),N285))^2</f>
        <v>0.959869161485218</v>
      </c>
      <c r="P285" s="37" t="n">
        <f aca="false">IMABS(N285)^2</f>
        <v>1.63903521956545E-005</v>
      </c>
      <c r="Q285" s="37" t="n">
        <f aca="false">p_Rb^2/(1+(C285*p_Rb*L_Ctot)^2)</f>
        <v>125502606839160</v>
      </c>
      <c r="R285" s="37" t="n">
        <f aca="false">M285*L_Kt^2*Q285</f>
        <v>2.30803470944415E-005</v>
      </c>
      <c r="S285" s="37" t="n">
        <f aca="false">L_kT4*D285</f>
        <v>1.84642104951931E-012</v>
      </c>
      <c r="T285" s="37" t="n">
        <f aca="false">L_kT4*L_Rsq*O285</f>
        <v>4.958195883095E-012</v>
      </c>
      <c r="U285" s="37" t="n">
        <f aca="false">L_kT4*L_Rh*O285</f>
        <v>3.77240783861449E-012</v>
      </c>
      <c r="V285" s="37" t="n">
        <f aca="false">L_kT4*p_Rv*P285</f>
        <v>1.34938655246832E-013</v>
      </c>
      <c r="W285" s="37" t="n">
        <f aca="false">L_kT4/p_Rb*Q285/R285</f>
        <v>8.95341054232937E-014</v>
      </c>
      <c r="X285" s="37" t="n">
        <f aca="false">p_en^2*(1+p_fc/B285)/R285</f>
        <v>2.82099561393202E-012</v>
      </c>
      <c r="Y285" s="37" t="n">
        <f aca="false">p_in^2*Q285/R285</f>
        <v>1.35940987288472E-014</v>
      </c>
      <c r="Z285" s="37" t="n">
        <f aca="false">p_eo^2/L_G^2/R285</f>
        <v>2.74674065511399E-012</v>
      </c>
      <c r="AA285" s="37" t="n">
        <f aca="false">SUM(S285:Z285)</f>
        <v>1.63828278996738E-011</v>
      </c>
      <c r="AB285" s="47" t="n">
        <f aca="false">10*LOG10(AA285/L_PREF^2)</f>
        <v>-13.8767112227837</v>
      </c>
      <c r="AC285" s="47" t="n">
        <f aca="false">10*LOG10(S285/L_PREF^2)</f>
        <v>-23.357292487919</v>
      </c>
      <c r="AD285" s="47" t="n">
        <f aca="false">10*LOG10(T285/L_PREF^2)</f>
        <v>-19.0673631091577</v>
      </c>
      <c r="AE285" s="47" t="n">
        <f aca="false">10*LOG10(U285/L_PREF^2)</f>
        <v>-20.2544135273324</v>
      </c>
      <c r="AF285" s="47" t="n">
        <f aca="false">10*LOG10(V285/L_PREF^2)</f>
        <v>-34.7192361351958</v>
      </c>
      <c r="AG285" s="47" t="n">
        <f aca="false">10*LOG10(W285/L_PREF^2)</f>
        <v>-36.500714925962</v>
      </c>
      <c r="AH285" s="47" t="n">
        <f aca="false">10*LOG10(X285/L_PREF^2)</f>
        <v>-21.5165758041067</v>
      </c>
      <c r="AI285" s="47" t="n">
        <f aca="false">10*LOG10(Y285/L_PREF^2)</f>
        <v>-44.6870957161212</v>
      </c>
      <c r="AJ285" s="47" t="n">
        <f aca="false">10*LOG10(Z285/L_PREF^2)</f>
        <v>-21.6324233568245</v>
      </c>
      <c r="AK285" s="47" t="n">
        <f aca="false">10*LOG10(R285/$R$6)</f>
        <v>0.344714310398452</v>
      </c>
      <c r="AL285" s="37" t="n">
        <f aca="false">(12194^2*B285^4/((B285^2+20.6^2)*SQRT((B285^2+107.7^2)*(B285^2+737.9^2))*(B285^2+12194^2))*1.2589254)^2</f>
        <v>1.04087946964525</v>
      </c>
      <c r="AM285" s="37" t="n">
        <f aca="false">0.5*(B285-B284)*(S285*AL285+S284*AL284)</f>
        <v>2.53563549693357E-010</v>
      </c>
      <c r="AN285" s="37" t="n">
        <f aca="false">0.5*(B285-B284)*(T285*AL285+T284*AL284)</f>
        <v>6.83635936389072E-010</v>
      </c>
      <c r="AO285" s="37" t="n">
        <f aca="false">0.5*(B285-B284)*(U285*AL285+U284*AL284)</f>
        <v>5.20139507595021E-010</v>
      </c>
      <c r="AP285" s="37" t="n">
        <f aca="false">0.5*(B285-B284)*(V285*AL285+V284*AL284)</f>
        <v>1.92851713610258E-011</v>
      </c>
      <c r="AQ285" s="37" t="n">
        <f aca="false">0.5*(B285-B284)*(W285*AL285+W284*AL284)</f>
        <v>1.26503745265723E-011</v>
      </c>
      <c r="AR285" s="37" t="n">
        <f aca="false">0.5*(B285-B284)*(X285*AL285+X284*AL284)</f>
        <v>3.89396390375694E-010</v>
      </c>
      <c r="AS285" s="37" t="n">
        <f aca="false">0.5*(B285-B284)*(Y285*AL285+Y284*AL284)</f>
        <v>1.92072550966011E-012</v>
      </c>
      <c r="AT285" s="37" t="n">
        <f aca="false">0.5*(B285-B284)*(Z285*AL285+Z284*AL284)</f>
        <v>3.79070633039017E-010</v>
      </c>
      <c r="AU285" s="37" t="n">
        <f aca="false">0.5*(B285-B284)*(AA285*AL285+AA284*AL284)</f>
        <v>2.25966228848942E-009</v>
      </c>
      <c r="AV285" s="37" t="n">
        <f aca="false">0.5*(B285-B284)*(S285+S284)</f>
        <v>2.41692521266664E-010</v>
      </c>
      <c r="AW285" s="37" t="n">
        <f aca="false">0.5*(B285-B284)*(T285+T284)</f>
        <v>6.51609824167014E-010</v>
      </c>
      <c r="AX285" s="37" t="n">
        <f aca="false">0.5*(B285-B284)*(U285+U284)</f>
        <v>4.95772669407212E-010</v>
      </c>
      <c r="AY285" s="37" t="n">
        <f aca="false">0.5*(B285-B284)*(V285+V284)</f>
        <v>1.83766657914748E-011</v>
      </c>
      <c r="AZ285" s="37" t="n">
        <f aca="false">0.5*(B285-B284)*(W285+W284)</f>
        <v>1.2055473362729E-011</v>
      </c>
      <c r="BA285" s="37" t="n">
        <f aca="false">0.5*(B285-B284)*(X285+X284)</f>
        <v>3.71151184713047E-010</v>
      </c>
      <c r="BB285" s="37" t="n">
        <f aca="false">0.5*(B285-B284)*(Y285+Y284)</f>
        <v>1.83040076562029E-012</v>
      </c>
      <c r="BC285" s="37" t="n">
        <f aca="false">0.5*(B285-B284)*(Z285+Z284)</f>
        <v>3.61309806331243E-010</v>
      </c>
      <c r="BD285" s="37" t="n">
        <f aca="false">0.5*(B285-B284)*(AA285+AA284)</f>
        <v>2.15379854580501E-009</v>
      </c>
      <c r="BE285" s="37" t="n">
        <f aca="false">IF(B285&gt;2000,AK285,-999)</f>
        <v>0.344714310398452</v>
      </c>
      <c r="BF285" s="37" t="n">
        <f aca="false">IF(AND(B285&lt;1000,AK285&gt;=-3),B285,1000000000)</f>
        <v>1000000000</v>
      </c>
    </row>
    <row r="286" customFormat="false" ht="15" hidden="false" customHeight="false" outlineLevel="0" collapsed="false">
      <c r="A286" s="5" t="n">
        <v>247</v>
      </c>
      <c r="B286" s="47" t="n">
        <f aca="false">20*10^(A286/100)</f>
        <v>5902.41845333277</v>
      </c>
      <c r="C286" s="37" t="n">
        <f aca="false">2*PI()*B286</f>
        <v>37085.9889028061</v>
      </c>
      <c r="D286" s="37" t="n">
        <f aca="false">SQRT(L_Rp0^2+L_Rp1^2*C286)</f>
        <v>112831658.465683</v>
      </c>
      <c r="E286" s="5" t="str">
        <f aca="false">COMPLEX(D286,C286*L_Mp)</f>
        <v>112831658.465683+547860899.083349i</v>
      </c>
      <c r="F286" s="5" t="str">
        <f aca="false">IMDIV(1,E286)</f>
        <v>3.6061985311816e-10-1.7510113707733e-09i</v>
      </c>
      <c r="G286" s="5" t="str">
        <f aca="false">COMPLEX(0,C286*L_Cf)</f>
        <v>3.92153842685906e-11i</v>
      </c>
      <c r="H286" s="5" t="str">
        <f aca="false">COMPLEX(0,C286*L_Cbv)</f>
        <v>3.92153842685906e-10i</v>
      </c>
      <c r="I286" s="5" t="str">
        <f aca="false">COMPLEX(L_Rsq+L_Rh,C286*(L_Md+L_Mh)-1/(C286*L_Cd))</f>
        <v>552400610.124532-30922618882.0802i</v>
      </c>
      <c r="J286" s="5" t="str">
        <f aca="false">IMDIV(1,I286)</f>
        <v>5.77514700273232e-13+3.23284707656677e-11i</v>
      </c>
      <c r="K286" s="5" t="str">
        <f aca="false">IMSUM(F286,G286,H286)</f>
        <v>3.6061985311816e-10-1.3196421438188e-09i</v>
      </c>
      <c r="L286" s="5" t="str">
        <f aca="false">IMSUM(IMPRODUCT(IMSUM(F286,G286),H286),IMPRODUCT(IMSUM(J286,L_Yv),K286))</f>
        <v>7.14878889442346e-19+1.4967535250337e-19i</v>
      </c>
      <c r="M286" s="37" t="n">
        <f aca="false">IMABS(IMDIV(IMPRODUCT(J286,F286,H286),L286))^2</f>
        <v>9.63259033454248E-022</v>
      </c>
      <c r="N286" s="5" t="str">
        <f aca="false">IMDIV(IMPRODUCT(L_Yv,K286,E286),H286)</f>
        <v>0.000248229648624505-0.00389474529818889i</v>
      </c>
      <c r="O286" s="37" t="n">
        <f aca="false">IMABS(IMSUM(1,IMPRODUCT(E286,G286),N286))^2</f>
        <v>0.957978571214613</v>
      </c>
      <c r="P286" s="37" t="n">
        <f aca="false">IMABS(N286)^2</f>
        <v>1.52306588962207E-005</v>
      </c>
      <c r="Q286" s="37" t="n">
        <f aca="false">p_Rb^2/(1+(C286*p_Rb*L_Ctot)^2)</f>
        <v>119854059058438</v>
      </c>
      <c r="R286" s="37" t="n">
        <f aca="false">M286*L_Kt^2*Q286</f>
        <v>2.31703856525431E-005</v>
      </c>
      <c r="S286" s="37" t="n">
        <f aca="false">L_kT4*D286</f>
        <v>1.85784320933209E-012</v>
      </c>
      <c r="T286" s="37" t="n">
        <f aca="false">L_kT4*L_Rsq*O286</f>
        <v>4.94843005534215E-012</v>
      </c>
      <c r="U286" s="37" t="n">
        <f aca="false">L_kT4*L_Rh*O286</f>
        <v>3.76497757848882E-012</v>
      </c>
      <c r="V286" s="37" t="n">
        <f aca="false">L_kT4*p_Rv*P286</f>
        <v>1.25391120669396E-013</v>
      </c>
      <c r="W286" s="37" t="n">
        <f aca="false">L_kT4/p_Rb*Q286/R286</f>
        <v>8.51721425094617E-014</v>
      </c>
      <c r="X286" s="37" t="n">
        <f aca="false">p_en^2*(1+p_fc/B286)/R286</f>
        <v>2.80894337606772E-012</v>
      </c>
      <c r="Y286" s="37" t="n">
        <f aca="false">p_in^2*Q286/R286</f>
        <v>1.29318152981717E-014</v>
      </c>
      <c r="Z286" s="37" t="n">
        <f aca="false">p_eo^2/L_G^2/R286</f>
        <v>2.73606700592342E-012</v>
      </c>
      <c r="AA286" s="37" t="n">
        <f aca="false">SUM(S286:Z286)</f>
        <v>1.63397563036312E-011</v>
      </c>
      <c r="AB286" s="47" t="n">
        <f aca="false">10*LOG10(AA286/L_PREF^2)</f>
        <v>-13.8881441629053</v>
      </c>
      <c r="AC286" s="47" t="n">
        <f aca="false">10*LOG10(S286/L_PREF^2)</f>
        <v>-23.3305093193683</v>
      </c>
      <c r="AD286" s="47" t="n">
        <f aca="false">10*LOG10(T286/L_PREF^2)</f>
        <v>-19.075925553131</v>
      </c>
      <c r="AE286" s="47" t="n">
        <f aca="false">10*LOG10(U286/L_PREF^2)</f>
        <v>-20.2629759713057</v>
      </c>
      <c r="AF286" s="47" t="n">
        <f aca="false">10*LOG10(V286/L_PREF^2)</f>
        <v>-35.0379320747136</v>
      </c>
      <c r="AG286" s="47" t="n">
        <f aca="false">10*LOG10(W286/L_PREF^2)</f>
        <v>-36.7176241924584</v>
      </c>
      <c r="AH286" s="47" t="n">
        <f aca="false">10*LOG10(X286/L_PREF^2)</f>
        <v>-21.5351700673984</v>
      </c>
      <c r="AI286" s="47" t="n">
        <f aca="false">10*LOG10(Y286/L_PREF^2)</f>
        <v>-44.9040049826176</v>
      </c>
      <c r="AJ286" s="47" t="n">
        <f aca="false">10*LOG10(Z286/L_PREF^2)</f>
        <v>-21.6493326233454</v>
      </c>
      <c r="AK286" s="47" t="n">
        <f aca="false">10*LOG10(R286/$R$6)</f>
        <v>0.361623576919389</v>
      </c>
      <c r="AL286" s="37" t="n">
        <f aca="false">(12194^2*B286^4/((B286^2+20.6^2)*SQRT((B286^2+107.7^2)*(B286^2+737.9^2))*(B286^2+12194^2))*1.2589254)^2</f>
        <v>1.0239293838205</v>
      </c>
      <c r="AM286" s="37" t="n">
        <f aca="false">0.5*(B286-B285)*(S286*AL286+S285*AL285)</f>
        <v>2.56901185746249E-010</v>
      </c>
      <c r="AN286" s="37" t="n">
        <f aca="false">0.5*(B286-B285)*(T286*AL286+T285*AL285)</f>
        <v>6.87075432877554E-010</v>
      </c>
      <c r="AO286" s="37" t="n">
        <f aca="false">0.5*(B286-B285)*(U286*AL286+U285*AL285)</f>
        <v>5.22756423872628E-010</v>
      </c>
      <c r="AP286" s="37" t="n">
        <f aca="false">0.5*(B286-B285)*(V286*AL286+V285*AL285)</f>
        <v>1.80604977884754E-011</v>
      </c>
      <c r="AQ286" s="37" t="n">
        <f aca="false">0.5*(B286-B285)*(W286*AL286+W285*AL285)</f>
        <v>1.21191617162378E-011</v>
      </c>
      <c r="AR286" s="37" t="n">
        <f aca="false">0.5*(B286-B285)*(X286*AL286+X285*AL285)</f>
        <v>3.90468911099515E-010</v>
      </c>
      <c r="AS286" s="37" t="n">
        <f aca="false">0.5*(B286-B285)*(Y286*AL286+Y285*AL285)</f>
        <v>1.84007066472057E-012</v>
      </c>
      <c r="AT286" s="37" t="n">
        <f aca="false">0.5*(B286-B285)*(Z286*AL286+Z285*AL285)</f>
        <v>3.80263894820508E-010</v>
      </c>
      <c r="AU286" s="37" t="n">
        <f aca="false">0.5*(B286-B285)*(AA286*AL286+AA285*AL285)</f>
        <v>2.26948557858589E-009</v>
      </c>
      <c r="AV286" s="37" t="n">
        <f aca="false">0.5*(B286-B285)*(S286+S285)</f>
        <v>2.48844040299414E-010</v>
      </c>
      <c r="AW286" s="37" t="n">
        <f aca="false">0.5*(B286-B285)*(T286+T285)</f>
        <v>6.65504578504361E-010</v>
      </c>
      <c r="AX286" s="37" t="n">
        <f aca="false">0.5*(B286-B285)*(U286+U285)</f>
        <v>5.06344393762949E-010</v>
      </c>
      <c r="AY286" s="37" t="n">
        <f aca="false">0.5*(B286-B285)*(V286+V285)</f>
        <v>1.74883617156737E-011</v>
      </c>
      <c r="AZ286" s="37" t="n">
        <f aca="false">0.5*(B286-B285)*(W286+W285)</f>
        <v>1.17363680242992E-011</v>
      </c>
      <c r="BA286" s="37" t="n">
        <f aca="false">0.5*(B286-B285)*(X286+X285)</f>
        <v>3.7820648501604E-010</v>
      </c>
      <c r="BB286" s="37" t="n">
        <f aca="false">0.5*(B286-B285)*(Y286+Y285)</f>
        <v>1.78195051914709E-012</v>
      </c>
      <c r="BC286" s="37" t="n">
        <f aca="false">0.5*(B286-B285)*(Z286+Z285)</f>
        <v>3.68322537274968E-010</v>
      </c>
      <c r="BD286" s="37" t="n">
        <f aca="false">0.5*(B286-B285)*(AA286+AA285)</f>
        <v>2.19822871511685E-009</v>
      </c>
      <c r="BE286" s="37" t="n">
        <f aca="false">IF(B286&gt;2000,AK286,-999)</f>
        <v>0.361623576919389</v>
      </c>
      <c r="BF286" s="37" t="n">
        <f aca="false">IF(AND(B286&lt;1000,AK286&gt;=-3),B286,1000000000)</f>
        <v>1000000000</v>
      </c>
    </row>
    <row r="287" customFormat="false" ht="15" hidden="false" customHeight="false" outlineLevel="0" collapsed="false">
      <c r="A287" s="5" t="n">
        <v>248</v>
      </c>
      <c r="B287" s="47" t="n">
        <f aca="false">20*10^(A287/100)</f>
        <v>6039.90344080403</v>
      </c>
      <c r="C287" s="37" t="n">
        <f aca="false">2*PI()*B287</f>
        <v>37949.8325560433</v>
      </c>
      <c r="D287" s="37" t="n">
        <f aca="false">SQRT(L_Rp0^2+L_Rp1^2*C287)</f>
        <v>113537126.724022</v>
      </c>
      <c r="E287" s="5" t="str">
        <f aca="false">COMPLEX(D287,C287*L_Mp)</f>
        <v>113537126.724022+560622218.776624i</v>
      </c>
      <c r="F287" s="5" t="str">
        <f aca="false">IMDIV(1,E287)</f>
        <v>3.47008886672729e-10-1.71345618472931e-09i</v>
      </c>
      <c r="G287" s="5" t="str">
        <f aca="false">COMPLEX(0,C287*L_Cf)</f>
        <v>4.01288279116457e-11i</v>
      </c>
      <c r="H287" s="5" t="str">
        <f aca="false">COMPLEX(0,C287*L_Cbv)</f>
        <v>4.01288279116457e-10i</v>
      </c>
      <c r="I287" s="5" t="str">
        <f aca="false">COMPLEX(L_Rsq+L_Rh,C287*(L_Md+L_Mh)-1/(C287*L_Cd))</f>
        <v>552400610.124532-30212298323.342i</v>
      </c>
      <c r="J287" s="5" t="str">
        <f aca="false">IMDIV(1,I287)</f>
        <v>6.0498061489924e-13+3.3088042413737e-11i</v>
      </c>
      <c r="K287" s="5" t="str">
        <f aca="false">IMSUM(F287,G287,H287)</f>
        <v>3.47008886672729e-10-1.27203907770121e-09i</v>
      </c>
      <c r="L287" s="5" t="str">
        <f aca="false">IMSUM(IMPRODUCT(IMSUM(F287,G287),H287),IMPRODUCT(IMSUM(J287,L_Yv),K287))</f>
        <v>7.14479889793737e-19+1.47418806592382e-19i</v>
      </c>
      <c r="M287" s="37" t="n">
        <f aca="false">IMABS(IMDIV(IMPRODUCT(J287,F287,H287),L287))^2</f>
        <v>1.01278395242491E-021</v>
      </c>
      <c r="N287" s="5" t="str">
        <f aca="false">IMDIV(IMPRODUCT(L_Yv,K287,E287),H287)</f>
        <v>0.000249781678792849-0.00375057932770349i</v>
      </c>
      <c r="O287" s="37" t="n">
        <f aca="false">IMABS(IMSUM(1,IMPRODUCT(E287,G287),N287))^2</f>
        <v>0.956000930889198</v>
      </c>
      <c r="P287" s="37" t="n">
        <f aca="false">IMABS(N287)^2</f>
        <v>1.41292361804573E-005</v>
      </c>
      <c r="Q287" s="37" t="n">
        <f aca="false">p_Rb^2/(1+(C287*p_Rb*L_Ctot)^2)</f>
        <v>114459737806001</v>
      </c>
      <c r="R287" s="37" t="n">
        <f aca="false">M287*L_Kt^2*Q287</f>
        <v>2.32652103298745E-005</v>
      </c>
      <c r="S287" s="37" t="n">
        <f aca="false">L_kT4*D287</f>
        <v>1.86945918157762E-012</v>
      </c>
      <c r="T287" s="37" t="n">
        <f aca="false">L_kT4*L_Rsq*O287</f>
        <v>4.93821457128124E-012</v>
      </c>
      <c r="U287" s="37" t="n">
        <f aca="false">L_kT4*L_Rh*O287</f>
        <v>3.75720520058056E-012</v>
      </c>
      <c r="V287" s="37" t="n">
        <f aca="false">L_kT4*p_Rv*P287</f>
        <v>1.16323316735151E-013</v>
      </c>
      <c r="W287" s="37" t="n">
        <f aca="false">L_kT4/p_Rb*Q287/R287</f>
        <v>8.10072429311862E-014</v>
      </c>
      <c r="X287" s="37" t="n">
        <f aca="false">p_en^2*(1+p_fc/B287)/R287</f>
        <v>2.79643375951784E-012</v>
      </c>
      <c r="Y287" s="37" t="n">
        <f aca="false">p_in^2*Q287/R287</f>
        <v>1.22994522919727E-014</v>
      </c>
      <c r="Z287" s="37" t="n">
        <f aca="false">p_eo^2/L_G^2/R287</f>
        <v>2.72491530485065E-012</v>
      </c>
      <c r="AA287" s="37" t="n">
        <f aca="false">SUM(S287:Z287)</f>
        <v>1.62958580297662E-011</v>
      </c>
      <c r="AB287" s="47" t="n">
        <f aca="false">10*LOG10(AA287/L_PREF^2)</f>
        <v>-13.8998275891205</v>
      </c>
      <c r="AC287" s="47" t="n">
        <f aca="false">10*LOG10(S287/L_PREF^2)</f>
        <v>-23.3034400427106</v>
      </c>
      <c r="AD287" s="47" t="n">
        <f aca="false">10*LOG10(T287/L_PREF^2)</f>
        <v>-19.0849003471163</v>
      </c>
      <c r="AE287" s="47" t="n">
        <f aca="false">10*LOG10(U287/L_PREF^2)</f>
        <v>-20.271950765291</v>
      </c>
      <c r="AF287" s="47" t="n">
        <f aca="false">10*LOG10(V287/L_PREF^2)</f>
        <v>-35.3639321456646</v>
      </c>
      <c r="AG287" s="47" t="n">
        <f aca="false">10*LOG10(W287/L_PREF^2)</f>
        <v>-36.9353614004908</v>
      </c>
      <c r="AH287" s="47" t="n">
        <f aca="false">10*LOG10(X287/L_PREF^2)</f>
        <v>-21.5545545488579</v>
      </c>
      <c r="AI287" s="47" t="n">
        <f aca="false">10*LOG10(Y287/L_PREF^2)</f>
        <v>-45.12174219065</v>
      </c>
      <c r="AJ287" s="47" t="n">
        <f aca="false">10*LOG10(Z287/L_PREF^2)</f>
        <v>-21.6670698314012</v>
      </c>
      <c r="AK287" s="47" t="n">
        <f aca="false">10*LOG10(R287/$R$6)</f>
        <v>0.379360784975212</v>
      </c>
      <c r="AL287" s="37" t="n">
        <f aca="false">(12194^2*B287^4/((B287^2+20.6^2)*SQRT((B287^2+107.7^2)*(B287^2+737.9^2))*(B287^2+12194^2))*1.2589254)^2</f>
        <v>1.00656537706746</v>
      </c>
      <c r="AM287" s="37" t="n">
        <f aca="false">0.5*(B287-B286)*(S287*AL287+S286*AL286)</f>
        <v>2.60123874324483E-010</v>
      </c>
      <c r="AN287" s="37" t="n">
        <f aca="false">0.5*(B287-B286)*(T287*AL287+T286*AL286)</f>
        <v>6.90001320053999E-010</v>
      </c>
      <c r="AO287" s="37" t="n">
        <f aca="false">0.5*(B287-B286)*(U287*AL287+U286*AL286)</f>
        <v>5.24982564182445E-010</v>
      </c>
      <c r="AP287" s="37" t="n">
        <f aca="false">0.5*(B287-B286)*(V287*AL287+V286*AL286)</f>
        <v>1.68748163536795E-011</v>
      </c>
      <c r="AQ287" s="37" t="n">
        <f aca="false">0.5*(B287-B286)*(W287*AL287+W286*AL286)</f>
        <v>1.16002508207427E-011</v>
      </c>
      <c r="AR287" s="37" t="n">
        <f aca="false">0.5*(B287-B286)*(X287*AL287+X286*AL286)</f>
        <v>3.91210305203085E-010</v>
      </c>
      <c r="AS287" s="37" t="n">
        <f aca="false">0.5*(B287-B286)*(Y287*AL287+Y286*AL286)</f>
        <v>1.76128363812904E-012</v>
      </c>
      <c r="AT287" s="37" t="n">
        <f aca="false">0.5*(B287-B286)*(Z287*AL287+Z286*AL286)</f>
        <v>3.81132088010114E-010</v>
      </c>
      <c r="AU287" s="37" t="n">
        <f aca="false">0.5*(B287-B286)*(AA287*AL287+AA286*AL286)</f>
        <v>2.27768650258668E-009</v>
      </c>
      <c r="AV287" s="37" t="n">
        <f aca="false">0.5*(B287-B286)*(S287+S286)</f>
        <v>2.56224061257906E-010</v>
      </c>
      <c r="AW287" s="37" t="n">
        <f aca="false">0.5*(B287-B286)*(T287+T286)</f>
        <v>6.79632606312049E-010</v>
      </c>
      <c r="AX287" s="37" t="n">
        <f aca="false">0.5*(B287-B286)*(U287+U286)</f>
        <v>5.17093602568434E-010</v>
      </c>
      <c r="AY287" s="37" t="n">
        <f aca="false">0.5*(B287-B286)*(V287+V286)</f>
        <v>1.66160531990932E-011</v>
      </c>
      <c r="AZ287" s="37" t="n">
        <f aca="false">0.5*(B287-B286)*(W287+W286)</f>
        <v>1.14235853626444E-011</v>
      </c>
      <c r="BA287" s="37" t="n">
        <f aca="false">0.5*(B287-B286)*(X287+X286)</f>
        <v>3.85327602628829E-010</v>
      </c>
      <c r="BB287" s="37" t="n">
        <f aca="false">0.5*(B287-B286)*(Y287+Y286)</f>
        <v>1.73446025425748E-012</v>
      </c>
      <c r="BC287" s="37" t="n">
        <f aca="false">0.5*(B287-B286)*(Z287+Z286)</f>
        <v>3.75401542288768E-010</v>
      </c>
      <c r="BD287" s="37" t="n">
        <f aca="false">0.5*(B287-B286)*(AA287+AA286)</f>
        <v>2.24345351387198E-009</v>
      </c>
      <c r="BE287" s="37" t="n">
        <f aca="false">IF(B287&gt;2000,AK287,-999)</f>
        <v>0.379360784975212</v>
      </c>
      <c r="BF287" s="37" t="n">
        <f aca="false">IF(AND(B287&lt;1000,AK287&gt;=-3),B287,1000000000)</f>
        <v>1000000000</v>
      </c>
    </row>
    <row r="288" customFormat="false" ht="15" hidden="false" customHeight="false" outlineLevel="0" collapsed="false">
      <c r="A288" s="5" t="n">
        <v>249</v>
      </c>
      <c r="B288" s="47" t="n">
        <f aca="false">20*10^(A288/100)</f>
        <v>6180.59086502718</v>
      </c>
      <c r="C288" s="37" t="n">
        <f aca="false">2*PI()*B288</f>
        <v>38833.7977128272</v>
      </c>
      <c r="D288" s="37" t="n">
        <f aca="false">SQRT(L_Rp0^2+L_Rp1^2*C288)</f>
        <v>114254518.225321</v>
      </c>
      <c r="E288" s="5" t="str">
        <f aca="false">COMPLEX(D288,C288*L_Mp)</f>
        <v>114254518.225321+573680787.791008i</v>
      </c>
      <c r="F288" s="5" t="str">
        <f aca="false">IMDIV(1,E288)</f>
        <v>3.33917667077971e-10-1.67662647641511e-09i</v>
      </c>
      <c r="G288" s="5" t="str">
        <f aca="false">COMPLEX(0,C288*L_Cf)</f>
        <v>4.10635483904274e-11i</v>
      </c>
      <c r="H288" s="5" t="str">
        <f aca="false">COMPLEX(0,C288*L_Cbv)</f>
        <v>4.10635483904274e-10i</v>
      </c>
      <c r="I288" s="5" t="str">
        <f aca="false">COMPLEX(L_Rsq+L_Rh,C288*(L_Md+L_Mh)-1/(C288*L_Cd))</f>
        <v>552400610.124532-29517996725.0817i</v>
      </c>
      <c r="J288" s="5" t="str">
        <f aca="false">IMDIV(1,I288)</f>
        <v>6.33765099247443e-13+3.38657774469867e-11i</v>
      </c>
      <c r="K288" s="5" t="str">
        <f aca="false">IMSUM(F288,G288,H288)</f>
        <v>3.33917667077971e-10-1.22492744412041e-09i</v>
      </c>
      <c r="L288" s="5" t="str">
        <f aca="false">IMSUM(IMPRODUCT(IMSUM(F288,G288),H288),IMPRODUCT(IMSUM(J288,L_Yv),K288))</f>
        <v>7.13982755314166e-19+1.45200653052194e-19i</v>
      </c>
      <c r="M288" s="37" t="n">
        <f aca="false">IMABS(IMDIV(IMPRODUCT(J288,F288,H288),L288))^2</f>
        <v>1.06506851192198E-021</v>
      </c>
      <c r="N288" s="5" t="str">
        <f aca="false">IMDIV(IMPRODUCT(L_Yv,K288,E288),H288)</f>
        <v>0.000251359940095705-0.00360840196402242i</v>
      </c>
      <c r="O288" s="37" t="n">
        <f aca="false">IMABS(IMSUM(1,IMPRODUCT(E288,G288),N288))^2</f>
        <v>0.953932325874313</v>
      </c>
      <c r="P288" s="37" t="n">
        <f aca="false">IMABS(N288)^2</f>
        <v>1.30837465534458E-005</v>
      </c>
      <c r="Q288" s="37" t="n">
        <f aca="false">p_Rb^2/(1+(C288*p_Rb*L_Ctot)^2)</f>
        <v>109308201003251</v>
      </c>
      <c r="R288" s="37" t="n">
        <f aca="false">M288*L_Kt^2*Q288</f>
        <v>2.33651039248895E-005</v>
      </c>
      <c r="S288" s="37" t="n">
        <f aca="false">L_kT4*D288</f>
        <v>1.8812714774106E-012</v>
      </c>
      <c r="T288" s="37" t="n">
        <f aca="false">L_kT4*L_Rsq*O288</f>
        <v>4.92752920990065E-012</v>
      </c>
      <c r="U288" s="37" t="n">
        <f aca="false">L_kT4*L_Rh*O288</f>
        <v>3.74907531987778E-012</v>
      </c>
      <c r="V288" s="37" t="n">
        <f aca="false">L_kT4*p_Rv*P288</f>
        <v>1.07715999292585E-013</v>
      </c>
      <c r="W288" s="37" t="n">
        <f aca="false">L_kT4/p_Rb*Q288/R288</f>
        <v>7.70305710407685E-014</v>
      </c>
      <c r="X288" s="37" t="n">
        <f aca="false">p_en^2*(1+p_fc/B288)/R288</f>
        <v>2.78344577072033E-012</v>
      </c>
      <c r="Y288" s="37" t="n">
        <f aca="false">p_in^2*Q288/R288</f>
        <v>1.16956681804881E-014</v>
      </c>
      <c r="Z288" s="37" t="n">
        <f aca="false">p_eo^2/L_G^2/R288</f>
        <v>2.71326538509048E-012</v>
      </c>
      <c r="AA288" s="37" t="n">
        <f aca="false">SUM(S288:Z288)</f>
        <v>1.62510294015137E-011</v>
      </c>
      <c r="AB288" s="47" t="n">
        <f aca="false">10*LOG10(AA288/L_PREF^2)</f>
        <v>-13.9117911529077</v>
      </c>
      <c r="AC288" s="47" t="n">
        <f aca="false">10*LOG10(S288/L_PREF^2)</f>
        <v>-23.276085202677</v>
      </c>
      <c r="AD288" s="47" t="n">
        <f aca="false">10*LOG10(T288/L_PREF^2)</f>
        <v>-19.0943078391457</v>
      </c>
      <c r="AE288" s="47" t="n">
        <f aca="false">10*LOG10(U288/L_PREF^2)</f>
        <v>-20.2813582573204</v>
      </c>
      <c r="AF288" s="47" t="n">
        <f aca="false">10*LOG10(V288/L_PREF^2)</f>
        <v>-35.6977977653112</v>
      </c>
      <c r="AG288" s="47" t="n">
        <f aca="false">10*LOG10(W288/L_PREF^2)</f>
        <v>-37.1539687395572</v>
      </c>
      <c r="AH288" s="47" t="n">
        <f aca="false">10*LOG10(X288/L_PREF^2)</f>
        <v>-21.5747722686925</v>
      </c>
      <c r="AI288" s="47" t="n">
        <f aca="false">10*LOG10(Y288/L_PREF^2)</f>
        <v>-45.3403495297164</v>
      </c>
      <c r="AJ288" s="47" t="n">
        <f aca="false">10*LOG10(Z288/L_PREF^2)</f>
        <v>-21.68567717049</v>
      </c>
      <c r="AK288" s="47" t="n">
        <f aca="false">10*LOG10(R288/$R$6)</f>
        <v>0.397968124063975</v>
      </c>
      <c r="AL288" s="37" t="n">
        <f aca="false">(12194^2*B288^4/((B288^2+20.6^2)*SQRT((B288^2+107.7^2)*(B288^2+737.9^2))*(B288^2+12194^2))*1.2589254)^2</f>
        <v>0.988801005557615</v>
      </c>
      <c r="AM288" s="37" t="n">
        <f aca="false">0.5*(B288-B287)*(S288*AL288+S287*AL287)</f>
        <v>2.63221669751478E-010</v>
      </c>
      <c r="AN288" s="37" t="n">
        <f aca="false">0.5*(B288-B287)*(T288*AL288+T287*AL287)</f>
        <v>6.92391867482222E-010</v>
      </c>
      <c r="AO288" s="37" t="n">
        <f aca="false">0.5*(B288-B287)*(U288*AL288+U287*AL287)</f>
        <v>5.26801395077681E-010</v>
      </c>
      <c r="AP288" s="37" t="n">
        <f aca="false">0.5*(B288-B287)*(V288*AL288+V287*AL287)</f>
        <v>1.57286227089292E-011</v>
      </c>
      <c r="AQ288" s="37" t="n">
        <f aca="false">0.5*(B288-B287)*(W288*AL288+W287*AL287)</f>
        <v>1.10936952523762E-011</v>
      </c>
      <c r="AR288" s="37" t="n">
        <f aca="false">0.5*(B288-B287)*(X288*AL288+X287*AL287)</f>
        <v>3.91608184985744E-010</v>
      </c>
      <c r="AS288" s="37" t="n">
        <f aca="false">0.5*(B288-B287)*(Y288*AL288+Y287*AL287)</f>
        <v>1.68437253955419E-012</v>
      </c>
      <c r="AT288" s="37" t="n">
        <f aca="false">0.5*(B288-B287)*(Z288*AL288+Z287*AL287)</f>
        <v>3.81662819598128E-010</v>
      </c>
      <c r="AU288" s="37" t="n">
        <f aca="false">0.5*(B288-B287)*(AA288*AL288+AA287*AL287)</f>
        <v>2.28419262739611E-009</v>
      </c>
      <c r="AV288" s="37" t="n">
        <f aca="false">0.5*(B288-B287)*(S288+S287)</f>
        <v>2.63840317683928E-010</v>
      </c>
      <c r="AW288" s="37" t="n">
        <f aca="false">0.5*(B288-B287)*(T288+T287)</f>
        <v>6.93993040310028E-010</v>
      </c>
      <c r="AX288" s="37" t="n">
        <f aca="false">0.5*(B288-B287)*(U288+U287)</f>
        <v>5.28019635959851E-010</v>
      </c>
      <c r="AY288" s="37" t="n">
        <f aca="false">0.5*(B288-B287)*(V288+V287)</f>
        <v>1.57597571483294E-011</v>
      </c>
      <c r="AZ288" s="37" t="n">
        <f aca="false">0.5*(B288-B287)*(W288+W287)</f>
        <v>1.11169664887859E-011</v>
      </c>
      <c r="BA288" s="37" t="n">
        <f aca="false">0.5*(B288-B287)*(X288+X287)</f>
        <v>3.92509439292349E-010</v>
      </c>
      <c r="BB288" s="37" t="n">
        <f aca="false">0.5*(B288-B287)*(Y288+Y287)</f>
        <v>1.68790584659736E-012</v>
      </c>
      <c r="BC288" s="37" t="n">
        <f aca="false">0.5*(B288-B287)*(Z288+Z287)</f>
        <v>3.8254181686395E-010</v>
      </c>
      <c r="BD288" s="37" t="n">
        <f aca="false">0.5*(B288-B287)*(AA288+AA287)</f>
        <v>2.28946887959382E-009</v>
      </c>
      <c r="BE288" s="37" t="n">
        <f aca="false">IF(B288&gt;2000,AK288,-999)</f>
        <v>0.397968124063975</v>
      </c>
      <c r="BF288" s="37" t="n">
        <f aca="false">IF(AND(B288&lt;1000,AK288&gt;=-3),B288,1000000000)</f>
        <v>1000000000</v>
      </c>
    </row>
    <row r="289" customFormat="false" ht="15" hidden="false" customHeight="false" outlineLevel="0" collapsed="false">
      <c r="A289" s="5" t="n">
        <v>250</v>
      </c>
      <c r="B289" s="47" t="n">
        <f aca="false">20*10^(A289/100)</f>
        <v>6324.55532033676</v>
      </c>
      <c r="C289" s="37" t="n">
        <f aca="false">2*PI()*B289</f>
        <v>39738.3530631844</v>
      </c>
      <c r="D289" s="37" t="n">
        <f aca="false">SQRT(L_Rp0^2+L_Rp1^2*C289)</f>
        <v>114983986.571142</v>
      </c>
      <c r="E289" s="5" t="str">
        <f aca="false">COMPLEX(D289,C289*L_Mp)</f>
        <v>114983986.571142+587043529.952641i</v>
      </c>
      <c r="F289" s="5" t="str">
        <f aca="false">IMDIV(1,E289)</f>
        <v>3.21326652275762e-10-1.64051306486159e-09i</v>
      </c>
      <c r="G289" s="5" t="str">
        <f aca="false">COMPLEX(0,C289*L_Cf)</f>
        <v>4.2020041306106e-11i</v>
      </c>
      <c r="H289" s="5" t="str">
        <f aca="false">COMPLEX(0,C289*L_Cbv)</f>
        <v>4.2020041306106e-10i</v>
      </c>
      <c r="I289" s="5" t="str">
        <f aca="false">COMPLEX(L_Rsq+L_Rh,C289*(L_Md+L_Mh)-1/(C289*L_Cd))</f>
        <v>552400610.124532-28839345959.4021i</v>
      </c>
      <c r="J289" s="5" t="str">
        <f aca="false">IMDIV(1,I289)</f>
        <v>6.63932649670981e-13+3.4662132927926e-11i</v>
      </c>
      <c r="K289" s="5" t="str">
        <f aca="false">IMSUM(F289,G289,H289)</f>
        <v>3.21326652275762e-10-1.17829261049442e-09i</v>
      </c>
      <c r="L289" s="5" t="str">
        <f aca="false">IMSUM(IMPRODUCT(IMSUM(F289,G289),H289),IMPRODUCT(IMSUM(J289,L_Yv),K289))</f>
        <v>7.13385556426393e-19+1.43020566992309e-19i</v>
      </c>
      <c r="M289" s="37" t="n">
        <f aca="false">IMABS(IMDIV(IMPRODUCT(J289,F289,H289),L289))^2</f>
        <v>1.12028815045027E-021</v>
      </c>
      <c r="N289" s="5" t="str">
        <f aca="false">IMDIV(IMPRODUCT(L_Yv,K289,E289),H289)</f>
        <v>0.000252964770456515-0.00346813782282552i</v>
      </c>
      <c r="O289" s="37" t="n">
        <f aca="false">IMABS(IMSUM(1,IMPRODUCT(E289,G289),N289))^2</f>
        <v>0.951768675992732</v>
      </c>
      <c r="P289" s="37" t="n">
        <f aca="false">IMABS(N289)^2</f>
        <v>1.20919711332051E-005</v>
      </c>
      <c r="Q289" s="37" t="n">
        <f aca="false">p_Rb^2/(1+(C289*p_Rb*L_Ctot)^2)</f>
        <v>104388521549959</v>
      </c>
      <c r="R289" s="37" t="n">
        <f aca="false">M289*L_Kt^2*Q289</f>
        <v>2.34703688147311E-005</v>
      </c>
      <c r="S289" s="37" t="n">
        <f aca="false">L_kT4*D289</f>
        <v>1.89328262597595E-012</v>
      </c>
      <c r="T289" s="37" t="n">
        <f aca="false">L_kT4*L_Rsq*O289</f>
        <v>4.91635289508008E-012</v>
      </c>
      <c r="U289" s="37" t="n">
        <f aca="false">L_kT4*L_Rh*O289</f>
        <v>3.74057190076526E-012</v>
      </c>
      <c r="V289" s="37" t="n">
        <f aca="false">L_kT4*p_Rv*P289</f>
        <v>9.95509007079663E-014</v>
      </c>
      <c r="W289" s="37" t="n">
        <f aca="false">L_kT4/p_Rb*Q289/R289</f>
        <v>7.32336904910727E-014</v>
      </c>
      <c r="X289" s="37" t="n">
        <f aca="false">p_en^2*(1+p_fc/B289)/R289</f>
        <v>2.76995770132293E-012</v>
      </c>
      <c r="Y289" s="37" t="n">
        <f aca="false">p_in^2*Q289/R289</f>
        <v>1.11191820603646E-014</v>
      </c>
      <c r="Z289" s="37" t="n">
        <f aca="false">p_eo^2/L_G^2/R289</f>
        <v>2.70109635680946E-012</v>
      </c>
      <c r="AA289" s="37" t="n">
        <f aca="false">SUM(S289:Z289)</f>
        <v>1.62051652532131E-011</v>
      </c>
      <c r="AB289" s="47" t="n">
        <f aca="false">10*LOG10(AA289/L_PREF^2)</f>
        <v>-13.9240652719129</v>
      </c>
      <c r="AC289" s="47" t="n">
        <f aca="false">10*LOG10(S289/L_PREF^2)</f>
        <v>-23.2484454179105</v>
      </c>
      <c r="AD289" s="47" t="n">
        <f aca="false">10*LOG10(T289/L_PREF^2)</f>
        <v>-19.1041694240131</v>
      </c>
      <c r="AE289" s="47" t="n">
        <f aca="false">10*LOG10(U289/L_PREF^2)</f>
        <v>-20.2912198421879</v>
      </c>
      <c r="AF289" s="47" t="n">
        <f aca="false">10*LOG10(V289/L_PREF^2)</f>
        <v>-36.0401479757498</v>
      </c>
      <c r="AG289" s="47" t="n">
        <f aca="false">10*LOG10(W289/L_PREF^2)</f>
        <v>-37.3734907108537</v>
      </c>
      <c r="AH289" s="47" t="n">
        <f aca="false">10*LOG10(X289/L_PREF^2)</f>
        <v>-21.5958685411272</v>
      </c>
      <c r="AI289" s="47" t="n">
        <f aca="false">10*LOG10(Y289/L_PREF^2)</f>
        <v>-45.5598715010129</v>
      </c>
      <c r="AJ289" s="47" t="n">
        <f aca="false">10*LOG10(Z289/L_PREF^2)</f>
        <v>-21.7051991418079</v>
      </c>
      <c r="AK289" s="47" t="n">
        <f aca="false">10*LOG10(R289/$R$6)</f>
        <v>0.417490095381848</v>
      </c>
      <c r="AL289" s="37" t="n">
        <f aca="false">(12194^2*B289^4/((B289^2+20.6^2)*SQRT((B289^2+107.7^2)*(B289^2+737.9^2))*(B289^2+12194^2))*1.2589254)^2</f>
        <v>0.970651197975253</v>
      </c>
      <c r="AM289" s="37" t="n">
        <f aca="false">0.5*(B289-B288)*(S289*AL289+S288*AL288)</f>
        <v>2.66184532073217E-010</v>
      </c>
      <c r="AN289" s="37" t="n">
        <f aca="false">0.5*(B289-B288)*(T289*AL289+T288*AL288)</f>
        <v>6.9422609209795E-010</v>
      </c>
      <c r="AO289" s="37" t="n">
        <f aca="false">0.5*(B289-B288)*(U289*AL289+U288*AL288)</f>
        <v>5.28196951744118E-010</v>
      </c>
      <c r="AP289" s="37" t="n">
        <f aca="false">0.5*(B289-B288)*(V289*AL289+V288*AL288)</f>
        <v>1.46223897857042E-011</v>
      </c>
      <c r="AQ289" s="37" t="n">
        <f aca="false">0.5*(B289-B288)*(W289*AL289+W288*AL288)</f>
        <v>1.05995468185253E-011</v>
      </c>
      <c r="AR289" s="37" t="n">
        <f aca="false">0.5*(B289-B288)*(X289*AL289+X288*AL288)</f>
        <v>3.91650746939604E-010</v>
      </c>
      <c r="AS289" s="37" t="n">
        <f aca="false">0.5*(B289-B288)*(Y289*AL289+Y288*AL288)</f>
        <v>1.60934523499002E-012</v>
      </c>
      <c r="AT289" s="37" t="n">
        <f aca="false">0.5*(B289-B288)*(Z289*AL289+Z288*AL288)</f>
        <v>3.81844263816414E-010</v>
      </c>
      <c r="AU289" s="37" t="n">
        <f aca="false">0.5*(B289-B288)*(AA289*AL289+AA288*AL288)</f>
        <v>2.28893386851052E-009</v>
      </c>
      <c r="AV289" s="37" t="n">
        <f aca="false">0.5*(B289-B288)*(S289+S288)</f>
        <v>2.71700812765283E-010</v>
      </c>
      <c r="AW289" s="37" t="n">
        <f aca="false">0.5*(B289-B288)*(T289+T288)</f>
        <v>7.08584562687611E-010</v>
      </c>
      <c r="AX289" s="37" t="n">
        <f aca="false">0.5*(B289-B288)*(U289+U288)</f>
        <v>5.39121491290373E-010</v>
      </c>
      <c r="AY289" s="37" t="n">
        <f aca="false">0.5*(B289-B288)*(V289+V288)</f>
        <v>1.49195331811418E-011</v>
      </c>
      <c r="AZ289" s="37" t="n">
        <f aca="false">0.5*(B289-B288)*(W289+W288)</f>
        <v>1.08163562819635E-011</v>
      </c>
      <c r="BA289" s="37" t="n">
        <f aca="false">0.5*(B289-B288)*(X289+X288)</f>
        <v>3.99746352983505E-010</v>
      </c>
      <c r="BB289" s="37" t="n">
        <f aca="false">0.5*(B289-B288)*(Y289+Y288)</f>
        <v>1.64226374394694E-012</v>
      </c>
      <c r="BC289" s="37" t="n">
        <f aca="false">0.5*(B289-B288)*(Z289+Z288)</f>
        <v>3.89737819510814E-010</v>
      </c>
      <c r="BD289" s="37" t="n">
        <f aca="false">0.5*(B289-B288)*(AA289+AA288)</f>
        <v>2.33626919244464E-009</v>
      </c>
      <c r="BE289" s="37" t="n">
        <f aca="false">IF(B289&gt;2000,AK289,-999)</f>
        <v>0.417490095381848</v>
      </c>
      <c r="BF289" s="37" t="n">
        <f aca="false">IF(AND(B289&lt;1000,AK289&gt;=-3),B289,1000000000)</f>
        <v>1000000000</v>
      </c>
    </row>
    <row r="290" customFormat="false" ht="15" hidden="false" customHeight="false" outlineLevel="0" collapsed="false">
      <c r="A290" s="5" t="n">
        <v>251</v>
      </c>
      <c r="B290" s="47" t="n">
        <f aca="false">20*10^(A290/100)</f>
        <v>6471.87313859256</v>
      </c>
      <c r="C290" s="37" t="n">
        <f aca="false">2*PI()*B290</f>
        <v>40663.978214335</v>
      </c>
      <c r="D290" s="37" t="n">
        <f aca="false">SQRT(L_Rp0^2+L_Rp1^2*C290)</f>
        <v>115725686.460979</v>
      </c>
      <c r="E290" s="5" t="str">
        <f aca="false">COMPLEX(D290,C290*L_Mp)</f>
        <v>115725686.460979+600717530.364294i</v>
      </c>
      <c r="F290" s="5" t="str">
        <f aca="false">IMDIV(1,E290)</f>
        <v>3.0921697791811e-10-1.60510656710868e-09i</v>
      </c>
      <c r="G290" s="5" t="str">
        <f aca="false">COMPLEX(0,C290*L_Cf)</f>
        <v>4.2998813803886e-11i</v>
      </c>
      <c r="H290" s="5" t="str">
        <f aca="false">COMPLEX(0,C290*L_Cbv)</f>
        <v>4.2998813803886e-10i</v>
      </c>
      <c r="I290" s="5" t="str">
        <f aca="false">COMPLEX(L_Rsq+L_Rh,C290*(L_Md+L_Mh)-1/(C290*L_Cd))</f>
        <v>552400610.124532-28175986196.684i</v>
      </c>
      <c r="J290" s="5" t="str">
        <f aca="false">IMDIV(1,I290)</f>
        <v>6.95551032994261e-13+3.54775790351092e-11i</v>
      </c>
      <c r="K290" s="5" t="str">
        <f aca="false">IMSUM(F290,G290,H290)</f>
        <v>3.0921697791811e-10-1.13211961526593e-09i</v>
      </c>
      <c r="L290" s="5" t="str">
        <f aca="false">IMSUM(IMPRODUCT(IMSUM(F290,G290),H290),IMPRODUCT(IMSUM(J290,L_Yv),K290))</f>
        <v>7.12686177531635e-19+1.40878216159695e-19i</v>
      </c>
      <c r="M290" s="37" t="n">
        <f aca="false">IMABS(IMDIV(IMPRODUCT(J290,F290,H290),L290))^2</f>
        <v>1.17863164795853E-021</v>
      </c>
      <c r="N290" s="5" t="str">
        <f aca="false">IMDIV(IMPRODUCT(L_Yv,K290,E290),H290)</f>
        <v>0.000254596510214157-0.00332971253420851i</v>
      </c>
      <c r="O290" s="37" t="n">
        <f aca="false">IMABS(IMSUM(1,IMPRODUCT(E290,G290),N290))^2</f>
        <v>0.949505729518597</v>
      </c>
      <c r="P290" s="37" t="n">
        <f aca="false">IMABS(N290)^2</f>
        <v>1.11518049434785E-005</v>
      </c>
      <c r="Q290" s="37" t="n">
        <f aca="false">p_Rb^2/(1+(C290*p_Rb*L_Ctot)^2)</f>
        <v>99690264146418.7</v>
      </c>
      <c r="R290" s="37" t="n">
        <f aca="false">M290*L_Kt^2*Q290</f>
        <v>2.35813286029774E-005</v>
      </c>
      <c r="S290" s="37" t="n">
        <f aca="false">L_kT4*D290</f>
        <v>1.90549517449676E-012</v>
      </c>
      <c r="T290" s="37" t="n">
        <f aca="false">L_kT4*L_Rsq*O290</f>
        <v>4.90466366456624E-012</v>
      </c>
      <c r="U290" s="37" t="n">
        <f aca="false">L_kT4*L_Rh*O290</f>
        <v>3.73167823341982E-012</v>
      </c>
      <c r="V290" s="37" t="n">
        <f aca="false">L_kT4*p_Rv*P290</f>
        <v>9.18106911117457E-014</v>
      </c>
      <c r="W290" s="37" t="n">
        <f aca="false">L_kT4/p_Rb*Q290/R290</f>
        <v>6.96085463282741E-014</v>
      </c>
      <c r="X290" s="37" t="n">
        <f aca="false">p_en^2*(1+p_fc/B290)/R290</f>
        <v>2.75594711530371E-012</v>
      </c>
      <c r="Y290" s="37" t="n">
        <f aca="false">p_in^2*Q290/R290</f>
        <v>1.05687709357724E-014</v>
      </c>
      <c r="Z290" s="37" t="n">
        <f aca="false">p_eo^2/L_G^2/R290</f>
        <v>2.68838659457212E-012</v>
      </c>
      <c r="AA290" s="37" t="n">
        <f aca="false">SUM(S290:Z290)</f>
        <v>1.61581587907344E-011</v>
      </c>
      <c r="AB290" s="47" t="n">
        <f aca="false">10*LOG10(AA290/L_PREF^2)</f>
        <v>-13.936681195788</v>
      </c>
      <c r="AC290" s="47" t="n">
        <f aca="false">10*LOG10(S290/L_PREF^2)</f>
        <v>-23.2205213803194</v>
      </c>
      <c r="AD290" s="47" t="n">
        <f aca="false">10*LOG10(T290/L_PREF^2)</f>
        <v>-19.114507601688</v>
      </c>
      <c r="AE290" s="47" t="n">
        <f aca="false">10*LOG10(U290/L_PREF^2)</f>
        <v>-20.3015580198627</v>
      </c>
      <c r="AF290" s="47" t="n">
        <f aca="false">10*LOG10(V290/L_PREF^2)</f>
        <v>-36.3916673474014</v>
      </c>
      <c r="AG290" s="47" t="n">
        <f aca="false">10*LOG10(W290/L_PREF^2)</f>
        <v>-37.5939742707157</v>
      </c>
      <c r="AH290" s="47" t="n">
        <f aca="false">10*LOG10(X290/L_PREF^2)</f>
        <v>-21.6178911181957</v>
      </c>
      <c r="AI290" s="47" t="n">
        <f aca="false">10*LOG10(Y290/L_PREF^2)</f>
        <v>-45.7803550608749</v>
      </c>
      <c r="AJ290" s="47" t="n">
        <f aca="false">10*LOG10(Z290/L_PREF^2)</f>
        <v>-21.7256827016903</v>
      </c>
      <c r="AK290" s="47" t="n">
        <f aca="false">10*LOG10(R290/$R$6)</f>
        <v>0.437973655264279</v>
      </c>
      <c r="AL290" s="37" t="n">
        <f aca="false">(12194^2*B290^4/((B290^2+20.6^2)*SQRT((B290^2+107.7^2)*(B290^2+737.9^2))*(B290^2+12194^2))*1.2589254)^2</f>
        <v>0.952132276455387</v>
      </c>
      <c r="AM290" s="37" t="n">
        <f aca="false">0.5*(B290-B289)*(S290*AL290+S289*AL289)</f>
        <v>2.69002373500614E-010</v>
      </c>
      <c r="AN290" s="37" t="n">
        <f aca="false">0.5*(B290-B289)*(T290*AL290+T289*AL289)</f>
        <v>6.95483914371809E-010</v>
      </c>
      <c r="AO290" s="37" t="n">
        <f aca="false">0.5*(B290-B289)*(U290*AL290+U289*AL289)</f>
        <v>5.29153956815593E-010</v>
      </c>
      <c r="AP290" s="37" t="n">
        <f aca="false">0.5*(B290-B289)*(V290*AL290+V289*AL289)</f>
        <v>1.35565630172192E-011</v>
      </c>
      <c r="AQ290" s="37" t="n">
        <f aca="false">0.5*(B290-B289)*(W290*AL290+W289*AL289)</f>
        <v>1.01178550145504E-011</v>
      </c>
      <c r="AR290" s="37" t="n">
        <f aca="false">0.5*(B290-B289)*(X290*AL290+X289*AL289)</f>
        <v>3.91326873463111E-010</v>
      </c>
      <c r="AS290" s="37" t="n">
        <f aca="false">0.5*(B290-B289)*(Y290*AL290+Y289*AL289)</f>
        <v>1.53620923939198E-012</v>
      </c>
      <c r="AT290" s="37" t="n">
        <f aca="false">0.5*(B290-B289)*(Z290*AL290+Z289*AL289)</f>
        <v>3.81665262772849E-010</v>
      </c>
      <c r="AU290" s="37" t="n">
        <f aca="false">0.5*(B290-B289)*(AA290*AL290+AA289*AL289)</f>
        <v>2.29184300819514E-009</v>
      </c>
      <c r="AV290" s="37" t="n">
        <f aca="false">0.5*(B290-B289)*(S290+S289)</f>
        <v>2.79813828802109E-010</v>
      </c>
      <c r="AW290" s="37" t="n">
        <f aca="false">0.5*(B290-B289)*(T290+T289)</f>
        <v>7.23405366310605E-010</v>
      </c>
      <c r="AX290" s="37" t="n">
        <f aca="false">0.5*(B290-B289)*(U290+U289)</f>
        <v>5.50397793614889E-010</v>
      </c>
      <c r="AY290" s="37" t="n">
        <f aca="false">0.5*(B290-B289)*(V290+V289)</f>
        <v>1.40954861024188E-011</v>
      </c>
      <c r="AZ290" s="37" t="n">
        <f aca="false">0.5*(B290-B289)*(W290+W289)</f>
        <v>1.05216033415025E-011</v>
      </c>
      <c r="BA290" s="37" t="n">
        <f aca="false">0.5*(B290-B289)*(X290+X289)</f>
        <v>4.07032120737335E-010</v>
      </c>
      <c r="BB290" s="37" t="n">
        <f aca="false">0.5*(B290-B289)*(Y290+Y289)</f>
        <v>1.59751095891266E-012</v>
      </c>
      <c r="BC290" s="37" t="n">
        <f aca="false">0.5*(B290-B289)*(Z290+Z289)</f>
        <v>3.96983434962191E-010</v>
      </c>
      <c r="BD290" s="37" t="n">
        <f aca="false">0.5*(B290-B289)*(AA290+AA289)</f>
        <v>2.38384714482996E-009</v>
      </c>
      <c r="BE290" s="37" t="n">
        <f aca="false">IF(B290&gt;2000,AK290,-999)</f>
        <v>0.437973655264279</v>
      </c>
      <c r="BF290" s="37" t="n">
        <f aca="false">IF(AND(B290&lt;1000,AK290&gt;=-3),B290,1000000000)</f>
        <v>1000000000</v>
      </c>
    </row>
    <row r="291" customFormat="false" ht="15" hidden="false" customHeight="false" outlineLevel="0" collapsed="false">
      <c r="A291" s="5" t="n">
        <v>252</v>
      </c>
      <c r="B291" s="47" t="n">
        <f aca="false">20*10^(A291/100)</f>
        <v>6622.62242965182</v>
      </c>
      <c r="C291" s="37" t="n">
        <f aca="false">2*PI()*B291</f>
        <v>41611.1639449863</v>
      </c>
      <c r="D291" s="37" t="n">
        <f aca="false">SQRT(L_Rp0^2+L_Rp1^2*C291)</f>
        <v>116479773.698249</v>
      </c>
      <c r="E291" s="5" t="str">
        <f aca="false">COMPLEX(D291,C291*L_Mp)</f>
        <v>116479773.698249+614710039.161983i</v>
      </c>
      <c r="F291" s="5" t="str">
        <f aca="false">IMDIV(1,E291)</f>
        <v>2.97570439732138e-10-1.57039742483583e-09i</v>
      </c>
      <c r="G291" s="5" t="str">
        <f aca="false">COMPLEX(0,C291*L_Cf)</f>
        <v>4.40003848419016e-11i</v>
      </c>
      <c r="H291" s="5" t="str">
        <f aca="false">COMPLEX(0,C291*L_Cbv)</f>
        <v>4.40003848419016e-10i</v>
      </c>
      <c r="I291" s="5" t="str">
        <f aca="false">COMPLEX(L_Rsq+L_Rh,C291*(L_Md+L_Mh)-1/(C291*L_Cd))</f>
        <v>552400610.124532-27527565714.8006i</v>
      </c>
      <c r="J291" s="5" t="str">
        <f aca="false">IMDIV(1,I291)</f>
        <v>7.28691463477474e-13+3.63125995501133e-11i</v>
      </c>
      <c r="K291" s="5" t="str">
        <f aca="false">IMSUM(F291,G291,H291)</f>
        <v>2.97570439732138e-10-1.08639319157491e-09i</v>
      </c>
      <c r="L291" s="5" t="str">
        <f aca="false">IMSUM(IMPRODUCT(IMSUM(F291,G291),H291),IMPRODUCT(IMSUM(J291,L_Yv),K291))</f>
        <v>7.11882310651033e-19+1.38773263045994e-19i</v>
      </c>
      <c r="M291" s="37" t="n">
        <f aca="false">IMABS(IMDIV(IMPRODUCT(J291,F291,H291),L291))^2</f>
        <v>1.2403023590925E-021</v>
      </c>
      <c r="N291" s="5" t="str">
        <f aca="false">IMDIV(IMPRODUCT(L_Yv,K291,E291),H291)</f>
        <v>0.000256255502136151-0.00319305270325111i</v>
      </c>
      <c r="O291" s="37" t="n">
        <f aca="false">IMABS(IMSUM(1,IMPRODUCT(E291,G291),N291))^2</f>
        <v>0.947139057062867</v>
      </c>
      <c r="P291" s="37" t="n">
        <f aca="false">IMABS(N291)^2</f>
        <v>1.02612524481143E-005</v>
      </c>
      <c r="Q291" s="37" t="n">
        <f aca="false">p_Rb^2/(1+(C291*p_Rb*L_Ctot)^2)</f>
        <v>95203463158775.5</v>
      </c>
      <c r="R291" s="37" t="n">
        <f aca="false">M291*L_Kt^2*Q291</f>
        <v>2.36983299354624E-005</v>
      </c>
      <c r="S291" s="37" t="n">
        <f aca="false">L_kT4*D291</f>
        <v>1.91791168837288E-012</v>
      </c>
      <c r="T291" s="37" t="n">
        <f aca="false">L_kT4*L_Rsq*O291</f>
        <v>4.89243863838822E-012</v>
      </c>
      <c r="U291" s="37" t="n">
        <f aca="false">L_kT4*L_Rh*O291</f>
        <v>3.72237690977941E-012</v>
      </c>
      <c r="V291" s="37" t="n">
        <f aca="false">L_kT4*p_Rv*P291</f>
        <v>8.44789416339634E-014</v>
      </c>
      <c r="W291" s="37" t="n">
        <f aca="false">L_kT4/p_Rb*Q291/R291</f>
        <v>6.61474478940121E-014</v>
      </c>
      <c r="X291" s="37" t="n">
        <f aca="false">p_en^2*(1+p_fc/B291)/R291</f>
        <v>2.74139083755908E-012</v>
      </c>
      <c r="Y291" s="37" t="n">
        <f aca="false">p_in^2*Q291/R291</f>
        <v>1.00432671224136E-014</v>
      </c>
      <c r="Z291" s="37" t="n">
        <f aca="false">p_eo^2/L_G^2/R291</f>
        <v>2.67511372620307E-012</v>
      </c>
      <c r="AA291" s="37" t="n">
        <f aca="false">SUM(S291:Z291)</f>
        <v>1.6109901456953E-011</v>
      </c>
      <c r="AB291" s="47" t="n">
        <f aca="false">10*LOG10(AA291/L_PREF^2)</f>
        <v>-13.9496710744707</v>
      </c>
      <c r="AC291" s="47" t="n">
        <f aca="false">10*LOG10(S291/L_PREF^2)</f>
        <v>-23.1923138543562</v>
      </c>
      <c r="AD291" s="47" t="n">
        <f aca="false">10*LOG10(T291/L_PREF^2)</f>
        <v>-19.1253460394254</v>
      </c>
      <c r="AE291" s="47" t="n">
        <f aca="false">10*LOG10(U291/L_PREF^2)</f>
        <v>-20.3123964576001</v>
      </c>
      <c r="AF291" s="47" t="n">
        <f aca="false">10*LOG10(V291/L_PREF^2)</f>
        <v>-36.7531152701664</v>
      </c>
      <c r="AG291" s="47" t="n">
        <f aca="false">10*LOG10(W291/L_PREF^2)</f>
        <v>-37.8154689846475</v>
      </c>
      <c r="AH291" s="47" t="n">
        <f aca="false">10*LOG10(X291/L_PREF^2)</f>
        <v>-21.6408903441126</v>
      </c>
      <c r="AI291" s="47" t="n">
        <f aca="false">10*LOG10(Y291/L_PREF^2)</f>
        <v>-46.0018497748066</v>
      </c>
      <c r="AJ291" s="47" t="n">
        <f aca="false">10*LOG10(Z291/L_PREF^2)</f>
        <v>-21.7471774156415</v>
      </c>
      <c r="AK291" s="47" t="n">
        <f aca="false">10*LOG10(R291/$R$6)</f>
        <v>0.459468369215498</v>
      </c>
      <c r="AL291" s="37" t="n">
        <f aca="false">(12194^2*B291^4/((B291^2+20.6^2)*SQRT((B291^2+107.7^2)*(B291^2+737.9^2))*(B291^2+12194^2))*1.2589254)^2</f>
        <v>0.933261968313273</v>
      </c>
      <c r="AM291" s="37" t="n">
        <f aca="false">0.5*(B291-B290)*(S291*AL291+S290*AL290)</f>
        <v>2.71665108650402E-010</v>
      </c>
      <c r="AN291" s="37" t="n">
        <f aca="false">0.5*(B291-B290)*(T291*AL291+T290*AL290)</f>
        <v>6.96146319015119E-010</v>
      </c>
      <c r="AO291" s="37" t="n">
        <f aca="false">0.5*(B291-B290)*(U291*AL291+U290*AL290)</f>
        <v>5.29657942645858E-010</v>
      </c>
      <c r="AP291" s="37" t="n">
        <f aca="false">0.5*(B291-B290)*(V291*AL291+V290*AL290)</f>
        <v>1.25315553325964E-011</v>
      </c>
      <c r="AQ291" s="37" t="n">
        <f aca="false">0.5*(B291-B290)*(W291*AL291+W290*AL290)</f>
        <v>9.64866624711393E-012</v>
      </c>
      <c r="AR291" s="37" t="n">
        <f aca="false">0.5*(B291-B290)*(X291*AL291+X290*AL290)</f>
        <v>3.9062623694898E-010</v>
      </c>
      <c r="AS291" s="37" t="n">
        <f aca="false">0.5*(B291-B290)*(Y291*AL291+Y290*AL290)</f>
        <v>1.46497159875389E-012</v>
      </c>
      <c r="AT291" s="37" t="n">
        <f aca="false">0.5*(B291-B290)*(Z291*AL291+Z290*AL290)</f>
        <v>3.81115429518721E-010</v>
      </c>
      <c r="AU291" s="37" t="n">
        <f aca="false">0.5*(B291-B290)*(AA291*AL291+AA290*AL290)</f>
        <v>2.29285622995754E-009</v>
      </c>
      <c r="AV291" s="37" t="n">
        <f aca="false">0.5*(B291-B290)*(S291+S290)</f>
        <v>2.88187937004352E-010</v>
      </c>
      <c r="AW291" s="37" t="n">
        <f aca="false">0.5*(B291-B290)*(T291+T290)</f>
        <v>7.3845311330271E-010</v>
      </c>
      <c r="AX291" s="37" t="n">
        <f aca="false">0.5*(B291-B290)*(U291+U290)</f>
        <v>5.61846764176954E-010</v>
      </c>
      <c r="AY291" s="37" t="n">
        <f aca="false">0.5*(B291-B290)*(V291+V290)</f>
        <v>1.32877685787564E-011</v>
      </c>
      <c r="AZ291" s="37" t="n">
        <f aca="false">0.5*(B291-B290)*(W291+W290)</f>
        <v>1.02325599430273E-011</v>
      </c>
      <c r="BA291" s="37" t="n">
        <f aca="false">0.5*(B291-B290)*(X291+X290)</f>
        <v>4.14359899553612E-010</v>
      </c>
      <c r="BB291" s="37" t="n">
        <f aca="false">0.5*(B291-B290)*(Y291+Y290)</f>
        <v>1.553625062279E-012</v>
      </c>
      <c r="BC291" s="37" t="n">
        <f aca="false">0.5*(B291-B290)*(Z291+Z290)</f>
        <v>4.04271935476484E-010</v>
      </c>
      <c r="BD291" s="37" t="n">
        <f aca="false">0.5*(B291-B290)*(AA291+AA290)</f>
        <v>2.43219360309818E-009</v>
      </c>
      <c r="BE291" s="37" t="n">
        <f aca="false">IF(B291&gt;2000,AK291,-999)</f>
        <v>0.459468369215498</v>
      </c>
      <c r="BF291" s="37" t="n">
        <f aca="false">IF(AND(B291&lt;1000,AK291&gt;=-3),B291,1000000000)</f>
        <v>1000000000</v>
      </c>
    </row>
    <row r="292" customFormat="false" ht="15" hidden="false" customHeight="false" outlineLevel="0" collapsed="false">
      <c r="A292" s="5" t="n">
        <v>253</v>
      </c>
      <c r="B292" s="47" t="n">
        <f aca="false">20*10^(A292/100)</f>
        <v>6776.88312278405</v>
      </c>
      <c r="C292" s="37" t="n">
        <f aca="false">2*PI()*B292</f>
        <v>42580.41246555</v>
      </c>
      <c r="D292" s="37" t="n">
        <f aca="false">SQRT(L_Rp0^2+L_Rp1^2*C292)</f>
        <v>117246405.196937</v>
      </c>
      <c r="E292" s="5" t="str">
        <f aca="false">COMPLEX(D292,C292*L_Mp)</f>
        <v>117246405.196937+629028475.359085i</v>
      </c>
      <c r="F292" s="5" t="str">
        <f aca="false">IMDIV(1,E292)</f>
        <v>2.86369475789388e-10-1.53637592933114e-09i</v>
      </c>
      <c r="G292" s="5" t="str">
        <f aca="false">COMPLEX(0,C292*L_Cf)</f>
        <v>4.50252854663742e-11i</v>
      </c>
      <c r="H292" s="5" t="str">
        <f aca="false">COMPLEX(0,C292*L_Cbv)</f>
        <v>4.50252854663742e-10i</v>
      </c>
      <c r="I292" s="5" t="str">
        <f aca="false">COMPLEX(L_Rsq+L_Rh,C292*(L_Md+L_Mh)-1/(C292*L_Cd))</f>
        <v>552400610.124532-26893740712.6296i</v>
      </c>
      <c r="J292" s="5" t="str">
        <f aca="false">IMDIV(1,I292)</f>
        <v>7.63428790408302e-13+3.71676923694359e-11i</v>
      </c>
      <c r="K292" s="5" t="str">
        <f aca="false">IMSUM(F292,G292,H292)</f>
        <v>2.86369475789388e-10-1.04109778920102e-09i</v>
      </c>
      <c r="L292" s="5" t="str">
        <f aca="false">IMSUM(IMPRODUCT(IMSUM(F292,G292),H292),IMPRODUCT(IMSUM(J292,L_Yv),K292))</f>
        <v>7.10971448714336e-19+1.36705366938559e-19i</v>
      </c>
      <c r="M292" s="37" t="n">
        <f aca="false">IMABS(IMDIV(IMPRODUCT(J292,F292,H292),L292))^2</f>
        <v>1.30551958261681E-021</v>
      </c>
      <c r="N292" s="5" t="str">
        <f aca="false">IMDIV(IMPRODUCT(L_Yv,K292,E292),H292)</f>
        <v>0.000257942091433262-0.00305808587110202i</v>
      </c>
      <c r="O292" s="37" t="n">
        <f aca="false">IMABS(IMSUM(1,IMPRODUCT(E292,G292),N292))^2</f>
        <v>0.944664045361946</v>
      </c>
      <c r="P292" s="37" t="n">
        <f aca="false">IMABS(N292)^2</f>
        <v>9.41842331756677E-006</v>
      </c>
      <c r="Q292" s="37" t="n">
        <f aca="false">p_Rb^2/(1+(C292*p_Rb*L_Ctot)^2)</f>
        <v>90918601480585.1</v>
      </c>
      <c r="R292" s="37" t="n">
        <f aca="false">M292*L_Kt^2*Q292</f>
        <v>2.38217445044324E-005</v>
      </c>
      <c r="S292" s="37" t="n">
        <f aca="false">L_kT4*D292</f>
        <v>1.93053475129038E-012</v>
      </c>
      <c r="T292" s="37" t="n">
        <f aca="false">L_kT4*L_Rsq*O292</f>
        <v>4.87965398677265E-012</v>
      </c>
      <c r="U292" s="37" t="n">
        <f aca="false">L_kT4*L_Rh*O292</f>
        <v>3.71264979913156E-012</v>
      </c>
      <c r="V292" s="37" t="n">
        <f aca="false">L_kT4*p_Rv*P292</f>
        <v>7.75400895506574E-014</v>
      </c>
      <c r="W292" s="37" t="n">
        <f aca="false">L_kT4/p_Rb*Q292/R292</f>
        <v>6.28430525005556E-014</v>
      </c>
      <c r="X292" s="37" t="n">
        <f aca="false">p_en^2*(1+p_fc/B292)/R292</f>
        <v>2.72626494421722E-012</v>
      </c>
      <c r="Y292" s="37" t="n">
        <f aca="false">p_in^2*Q292/R292</f>
        <v>9.54155576889723E-015</v>
      </c>
      <c r="Z292" s="37" t="n">
        <f aca="false">p_eo^2/L_G^2/R292</f>
        <v>2.66125462333998E-012</v>
      </c>
      <c r="AA292" s="37" t="n">
        <f aca="false">SUM(S292:Z292)</f>
        <v>1.60602828025719E-011</v>
      </c>
      <c r="AB292" s="47" t="n">
        <f aca="false">10*LOG10(AA292/L_PREF^2)</f>
        <v>-13.9630680290615</v>
      </c>
      <c r="AC292" s="47" t="n">
        <f aca="false">10*LOG10(S292/L_PREF^2)</f>
        <v>-23.1638236762233</v>
      </c>
      <c r="AD292" s="47" t="n">
        <f aca="false">10*LOG10(T292/L_PREF^2)</f>
        <v>-19.1367096378489</v>
      </c>
      <c r="AE292" s="47" t="n">
        <f aca="false">10*LOG10(U292/L_PREF^2)</f>
        <v>-20.3237600560236</v>
      </c>
      <c r="AF292" s="47" t="n">
        <f aca="false">10*LOG10(V292/L_PREF^2)</f>
        <v>-37.1253369309198</v>
      </c>
      <c r="AG292" s="47" t="n">
        <f aca="false">10*LOG10(W292/L_PREF^2)</f>
        <v>-38.0380271928927</v>
      </c>
      <c r="AH292" s="47" t="n">
        <f aca="false">10*LOG10(X292/L_PREF^2)</f>
        <v>-21.6649193211827</v>
      </c>
      <c r="AI292" s="47" t="n">
        <f aca="false">10*LOG10(Y292/L_PREF^2)</f>
        <v>-46.2244079830519</v>
      </c>
      <c r="AJ292" s="47" t="n">
        <f aca="false">10*LOG10(Z292/L_PREF^2)</f>
        <v>-21.7697356239054</v>
      </c>
      <c r="AK292" s="47" t="n">
        <f aca="false">10*LOG10(R292/$R$6)</f>
        <v>0.482026577479365</v>
      </c>
      <c r="AL292" s="37" t="n">
        <f aca="false">(12194^2*B292^4/((B292^2+20.6^2)*SQRT((B292^2+107.7^2)*(B292^2+737.9^2))*(B292^2+12194^2))*1.2589254)^2</f>
        <v>0.914059407773492</v>
      </c>
      <c r="AM292" s="37" t="n">
        <f aca="false">0.5*(B292-B291)*(S292*AL292+S291*AL291)</f>
        <v>2.7416270839281E-010</v>
      </c>
      <c r="AN292" s="37" t="n">
        <f aca="false">0.5*(B292-B291)*(T292*AL292+T291*AL291)</f>
        <v>6.96195518957091E-010</v>
      </c>
      <c r="AO292" s="37" t="n">
        <f aca="false">0.5*(B292-B291)*(U292*AL292+U291*AL291)</f>
        <v>5.29695376069452E-010</v>
      </c>
      <c r="AP292" s="37" t="n">
        <f aca="false">0.5*(B292-B291)*(V292*AL292+V291*AL291)</f>
        <v>1.15477419666838E-011</v>
      </c>
      <c r="AQ292" s="37" t="n">
        <f aca="false">0.5*(B292-B291)*(W292*AL292+W291*AL291)</f>
        <v>9.19202299500824E-012</v>
      </c>
      <c r="AR292" s="37" t="n">
        <f aca="false">0.5*(B292-B291)*(X292*AL292+X291*AL291)</f>
        <v>3.89539405367402E-010</v>
      </c>
      <c r="AS292" s="37" t="n">
        <f aca="false">0.5*(B292-B291)*(Y292*AL292+Y291*AL291)</f>
        <v>1.39563876269507E-012</v>
      </c>
      <c r="AT292" s="37" t="n">
        <f aca="false">0.5*(B292-B291)*(Z292*AL292+Z291*AL291)</f>
        <v>3.80185252684989E-010</v>
      </c>
      <c r="AU292" s="37" t="n">
        <f aca="false">0.5*(B292-B291)*(AA292*AL292+AA291*AL291)</f>
        <v>2.29191366519613E-009</v>
      </c>
      <c r="AV292" s="37" t="n">
        <f aca="false">0.5*(B292-B291)*(S292+S291)</f>
        <v>2.96832007632352E-010</v>
      </c>
      <c r="AW292" s="37" t="n">
        <f aca="false">0.5*(B292-B291)*(T292+T291)</f>
        <v>7.53724890854816E-010</v>
      </c>
      <c r="AX292" s="37" t="n">
        <f aca="false">0.5*(B292-B291)*(U292+U291)</f>
        <v>5.7346618678661E-010</v>
      </c>
      <c r="AY292" s="37" t="n">
        <f aca="false">0.5*(B292-B291)*(V292+V291)</f>
        <v>1.24965840255757E-011</v>
      </c>
      <c r="AZ292" s="37" t="n">
        <f aca="false">0.5*(B292-B291)*(W292+W291)</f>
        <v>9.94908199916936E-012</v>
      </c>
      <c r="BA292" s="37" t="n">
        <f aca="false">0.5*(B292-B291)*(X292+X291)</f>
        <v>4.21722185352618E-010</v>
      </c>
      <c r="BB292" s="37" t="n">
        <f aca="false">0.5*(B292-B291)*(Y292+Y291)</f>
        <v>1.51058417704275E-012</v>
      </c>
      <c r="BC292" s="37" t="n">
        <f aca="false">0.5*(B292-B291)*(Z292+Z291)</f>
        <v>4.11595940204692E-010</v>
      </c>
      <c r="BD292" s="37" t="n">
        <f aca="false">0.5*(B292-B291)*(AA292+AA291)</f>
        <v>2.48129746103288E-009</v>
      </c>
      <c r="BE292" s="37" t="n">
        <f aca="false">IF(B292&gt;2000,AK292,-999)</f>
        <v>0.482026577479365</v>
      </c>
      <c r="BF292" s="37" t="n">
        <f aca="false">IF(AND(B292&lt;1000,AK292&gt;=-3),B292,1000000000)</f>
        <v>1000000000</v>
      </c>
    </row>
    <row r="293" customFormat="false" ht="15" hidden="false" customHeight="false" outlineLevel="0" collapsed="false">
      <c r="A293" s="5" t="n">
        <v>254</v>
      </c>
      <c r="B293" s="47" t="n">
        <f aca="false">20*10^(A293/100)</f>
        <v>6934.73700905063</v>
      </c>
      <c r="C293" s="37" t="n">
        <f aca="false">2*PI()*B293</f>
        <v>43572.2376844214</v>
      </c>
      <c r="D293" s="37" t="n">
        <f aca="false">SQRT(L_Rp0^2+L_Rp1^2*C293)</f>
        <v>118025738.988922</v>
      </c>
      <c r="E293" s="5" t="str">
        <f aca="false">COMPLEX(D293,C293*L_Mp)</f>
        <v>118025738.988922+643680430.779999i</v>
      </c>
      <c r="F293" s="5" t="str">
        <f aca="false">IMDIV(1,E293)</f>
        <v>2.75597148744102e-10-1.50303224487324e-09i</v>
      </c>
      <c r="G293" s="5" t="str">
        <f aca="false">COMPLEX(0,C293*L_Cf)</f>
        <v>4.60740590931812e-11i</v>
      </c>
      <c r="H293" s="5" t="str">
        <f aca="false">COMPLEX(0,C293*L_Cbv)</f>
        <v>4.60740590931812e-10i</v>
      </c>
      <c r="I293" s="5" t="str">
        <f aca="false">COMPLEX(L_Rsq+L_Rh,C293*(L_Md+L_Mh)-1/(C293*L_Cd))</f>
        <v>552400610.124532-26274175127.7652i</v>
      </c>
      <c r="J293" s="5" t="str">
        <f aca="false">IMDIV(1,I293)</f>
        <v>7.99841697055023e-13+3.80433700429386e-11i</v>
      </c>
      <c r="K293" s="5" t="str">
        <f aca="false">IMSUM(F293,G293,H293)</f>
        <v>2.75597148744102e-10-9.96217594848247e-10i</v>
      </c>
      <c r="L293" s="5" t="str">
        <f aca="false">IMSUM(IMPRODUCT(IMSUM(F293,G293),H293),IMPRODUCT(IMSUM(J293,L_Yv),K293))</f>
        <v>7.09950878471987e-19+1.34674185922535e-19i</v>
      </c>
      <c r="M293" s="37" t="n">
        <f aca="false">IMABS(IMDIV(IMPRODUCT(J293,F293,H293),L293))^2</f>
        <v>1.37452008448795E-021</v>
      </c>
      <c r="N293" s="5" t="str">
        <f aca="false">IMDIV(IMPRODUCT(L_Yv,K293,E293),H293)</f>
        <v>0.000259656625775632-0.00292474047656032i</v>
      </c>
      <c r="O293" s="37" t="n">
        <f aca="false">IMABS(IMSUM(1,IMPRODUCT(E293,G293),N293))^2</f>
        <v>0.942075890983265</v>
      </c>
      <c r="P293" s="37" t="n">
        <f aca="false">IMABS(N293)^2</f>
        <v>8.62152841853949E-006</v>
      </c>
      <c r="Q293" s="37" t="n">
        <f aca="false">p_Rb^2/(1+(C293*p_Rb*L_Ctot)^2)</f>
        <v>86826590345751.6</v>
      </c>
      <c r="R293" s="37" t="n">
        <f aca="false">M293*L_Kt^2*Q293</f>
        <v>2.39519712640973E-005</v>
      </c>
      <c r="S293" s="37" t="n">
        <f aca="false">L_kT4*D293</f>
        <v>1.9433669653421E-012</v>
      </c>
      <c r="T293" s="37" t="n">
        <f aca="false">L_kT4*L_Rsq*O293</f>
        <v>4.86628489762999E-012</v>
      </c>
      <c r="U293" s="37" t="n">
        <f aca="false">L_kT4*L_Rh*O293</f>
        <v>3.70247802337562E-012</v>
      </c>
      <c r="V293" s="37" t="n">
        <f aca="false">L_kT4*p_Rv*P293</f>
        <v>7.09794052673562E-014</v>
      </c>
      <c r="W293" s="37" t="n">
        <f aca="false">L_kT4/p_Rb*Q293/R293</f>
        <v>5.96883498442693E-014</v>
      </c>
      <c r="X293" s="37" t="n">
        <f aca="false">p_en^2*(1+p_fc/B293)/R293</f>
        <v>2.71054475496622E-012</v>
      </c>
      <c r="Y293" s="37" t="n">
        <f aca="false">p_in^2*Q293/R293</f>
        <v>9.06257249021295E-015</v>
      </c>
      <c r="Z293" s="37" t="n">
        <f aca="false">p_eo^2/L_G^2/R293</f>
        <v>2.64678539396343E-012</v>
      </c>
      <c r="AA293" s="37" t="n">
        <f aca="false">SUM(S293:Z293)</f>
        <v>1.60091903628792E-011</v>
      </c>
      <c r="AB293" s="47" t="n">
        <f aca="false">10*LOG10(AA293/L_PREF^2)</f>
        <v>-13.9769062254577</v>
      </c>
      <c r="AC293" s="47" t="n">
        <f aca="false">10*LOG10(S293/L_PREF^2)</f>
        <v>-23.1350517530091</v>
      </c>
      <c r="AD293" s="47" t="n">
        <f aca="false">10*LOG10(T293/L_PREF^2)</f>
        <v>-19.1486246013089</v>
      </c>
      <c r="AE293" s="47" t="n">
        <f aca="false">10*LOG10(U293/L_PREF^2)</f>
        <v>-20.3356750194836</v>
      </c>
      <c r="AF293" s="47" t="n">
        <f aca="false">10*LOG10(V293/L_PREF^2)</f>
        <v>-37.509276352314</v>
      </c>
      <c r="AG293" s="47" t="n">
        <f aca="false">10*LOG10(W293/L_PREF^2)</f>
        <v>-38.2617041886005</v>
      </c>
      <c r="AH293" s="47" t="n">
        <f aca="false">10*LOG10(X293/L_PREF^2)</f>
        <v>-21.6900340882981</v>
      </c>
      <c r="AI293" s="47" t="n">
        <f aca="false">10*LOG10(Y293/L_PREF^2)</f>
        <v>-46.4480849787597</v>
      </c>
      <c r="AJ293" s="47" t="n">
        <f aca="false">10*LOG10(Z293/L_PREF^2)</f>
        <v>-21.7934126196309</v>
      </c>
      <c r="AK293" s="47" t="n">
        <f aca="false">10*LOG10(R293/$R$6)</f>
        <v>0.505703573204935</v>
      </c>
      <c r="AL293" s="37" t="n">
        <f aca="false">(12194^2*B293^4/((B293^2+20.6^2)*SQRT((B293^2+107.7^2)*(B293^2+737.9^2))*(B293^2+12194^2))*1.2589254)^2</f>
        <v>0.894545126966425</v>
      </c>
      <c r="AM293" s="37" t="n">
        <f aca="false">0.5*(B293-B292)*(S293*AL293+S292*AL292)</f>
        <v>2.76485257047391E-010</v>
      </c>
      <c r="AN293" s="37" t="n">
        <f aca="false">0.5*(B293-B292)*(T293*AL293+T292*AL292)</f>
        <v>6.95615121156847E-010</v>
      </c>
      <c r="AO293" s="37" t="n">
        <f aca="false">0.5*(B293-B292)*(U293*AL293+U292*AL292)</f>
        <v>5.29253784558592E-010</v>
      </c>
      <c r="AP293" s="37" t="n">
        <f aca="false">0.5*(B293-B292)*(V293*AL293+V292*AL292)</f>
        <v>1.0605455135133E-011</v>
      </c>
      <c r="AQ293" s="37" t="n">
        <f aca="false">0.5*(B293-B292)*(W293*AL293+W292*AL292)</f>
        <v>8.74796291553789E-012</v>
      </c>
      <c r="AR293" s="37" t="n">
        <f aca="false">0.5*(B293-B292)*(X293*AL293+X292*AL292)</f>
        <v>3.88057948359898E-010</v>
      </c>
      <c r="AS293" s="37" t="n">
        <f aca="false">0.5*(B293-B292)*(Y293*AL293+Y292*AL292)</f>
        <v>1.32821644878106E-012</v>
      </c>
      <c r="AT293" s="37" t="n">
        <f aca="false">0.5*(B293-B292)*(Z293*AL293+Z292*AL292)</f>
        <v>3.78866201718157E-010</v>
      </c>
      <c r="AU293" s="37" t="n">
        <f aca="false">0.5*(B293-B292)*(AA293*AL293+AA292*AL292)</f>
        <v>2.28895994734034E-009</v>
      </c>
      <c r="AV293" s="37" t="n">
        <f aca="false">0.5*(B293-B292)*(S293+S292)</f>
        <v>3.05755220492617E-010</v>
      </c>
      <c r="AW293" s="37" t="n">
        <f aca="false">0.5*(B293-B292)*(T293+T292)</f>
        <v>7.69217164109794E-010</v>
      </c>
      <c r="AX293" s="37" t="n">
        <f aca="false">0.5*(B293-B292)*(U293+U292)</f>
        <v>5.85253371973121E-010</v>
      </c>
      <c r="AY293" s="37" t="n">
        <f aca="false">0.5*(B293-B292)*(V293+V292)</f>
        <v>1.17221897216867E-011</v>
      </c>
      <c r="AZ293" s="37" t="n">
        <f aca="false">0.5*(B293-B292)*(W293+W292)</f>
        <v>9.67102902491261E-012</v>
      </c>
      <c r="BA293" s="37" t="n">
        <f aca="false">0.5*(B293-B292)*(X293+X292)</f>
        <v>4.29110769953986E-010</v>
      </c>
      <c r="BB293" s="37" t="n">
        <f aca="false">0.5*(B293-B292)*(Y293+Y292)</f>
        <v>1.46836697315127E-012</v>
      </c>
      <c r="BC293" s="37" t="n">
        <f aca="false">0.5*(B293-B292)*(Z293+Z292)</f>
        <v>4.18947372594949E-010</v>
      </c>
      <c r="BD293" s="37" t="n">
        <f aca="false">0.5*(B293-B292)*(AA293+AA292)</f>
        <v>2.53114548484422E-009</v>
      </c>
      <c r="BE293" s="37" t="n">
        <f aca="false">IF(B293&gt;2000,AK293,-999)</f>
        <v>0.505703573204935</v>
      </c>
      <c r="BF293" s="37" t="n">
        <f aca="false">IF(AND(B293&lt;1000,AK293&gt;=-3),B293,1000000000)</f>
        <v>1000000000</v>
      </c>
    </row>
    <row r="294" customFormat="false" ht="15" hidden="false" customHeight="false" outlineLevel="0" collapsed="false">
      <c r="A294" s="5" t="n">
        <v>255</v>
      </c>
      <c r="B294" s="47" t="n">
        <f aca="false">20*10^(A294/100)</f>
        <v>7096.26778467151</v>
      </c>
      <c r="C294" s="37" t="n">
        <f aca="false">2*PI()*B294</f>
        <v>44587.1654804598</v>
      </c>
      <c r="D294" s="37" t="n">
        <f aca="false">SQRT(L_Rp0^2+L_Rp1^2*C294)</f>
        <v>118817934.231983</v>
      </c>
      <c r="E294" s="5" t="str">
        <f aca="false">COMPLEX(D294,C294*L_Mp)</f>
        <v>118817934.231983+658673674.08543i</v>
      </c>
      <c r="F294" s="5" t="str">
        <f aca="false">IMDIV(1,E294)</f>
        <v>2.6523712809845e-10-1.4703564305989e-09i</v>
      </c>
      <c r="G294" s="5" t="str">
        <f aca="false">COMPLEX(0,C294*L_Cf)</f>
        <v>4.71472617959816e-11i</v>
      </c>
      <c r="H294" s="5" t="str">
        <f aca="false">COMPLEX(0,C294*L_Cbv)</f>
        <v>4.71472617959817e-10i</v>
      </c>
      <c r="I294" s="5" t="str">
        <f aca="false">COMPLEX(L_Rsq+L_Rh,C294*(L_Md+L_Mh)-1/(C294*L_Cd))</f>
        <v>552400610.124532-25668540458.3334i</v>
      </c>
      <c r="J294" s="5" t="str">
        <f aca="false">IMDIV(1,I294)</f>
        <v>8.38012911774329e-13+3.8940160340583e-11i</v>
      </c>
      <c r="K294" s="5" t="str">
        <f aca="false">IMSUM(F294,G294,H294)</f>
        <v>2.6523712809845e-10-9.51736550843102e-10i</v>
      </c>
      <c r="L294" s="5" t="str">
        <f aca="false">IMSUM(IMPRODUCT(IMSUM(F294,G294),H294),IMPRODUCT(IMSUM(J294,L_Yv),K294))</f>
        <v>7.08817673005977e-19+1.32679378841249e-19i</v>
      </c>
      <c r="M294" s="37" t="n">
        <f aca="false">IMABS(IMDIV(IMPRODUCT(J294,F294,H294),L294))^2</f>
        <v>1.44755979462042E-021</v>
      </c>
      <c r="N294" s="5" t="str">
        <f aca="false">IMDIV(IMPRODUCT(L_Yv,K294,E294),H294)</f>
        <v>0.000261399455310365-0.00279294581813283i</v>
      </c>
      <c r="O294" s="37" t="n">
        <f aca="false">IMABS(IMSUM(1,IMPRODUCT(E294,G294),N294))^2</f>
        <v>0.939369593964117</v>
      </c>
      <c r="P294" s="37" t="n">
        <f aca="false">IMABS(N294)^2</f>
        <v>7.86887601826222E-006</v>
      </c>
      <c r="Q294" s="37" t="n">
        <f aca="false">p_Rb^2/(1+(C294*p_Rb*L_Ctot)^2)</f>
        <v>82918750050037.3</v>
      </c>
      <c r="R294" s="37" t="n">
        <f aca="false">M294*L_Kt^2*Q294</f>
        <v>2.40894388839009E-005</v>
      </c>
      <c r="S294" s="37" t="n">
        <f aca="false">L_kT4*D294</f>
        <v>1.95641095115956E-012</v>
      </c>
      <c r="T294" s="37" t="n">
        <f aca="false">L_kT4*L_Rsq*O294</f>
        <v>4.85230554369595E-012</v>
      </c>
      <c r="U294" s="37" t="n">
        <f aca="false">L_kT4*L_Rh*O294</f>
        <v>3.69184193202244E-012</v>
      </c>
      <c r="V294" s="37" t="n">
        <f aca="false">L_kT4*p_Rv*P294</f>
        <v>6.4782961069614E-014</v>
      </c>
      <c r="W294" s="37" t="n">
        <f aca="false">L_kT4/p_Rb*Q294/R294</f>
        <v>5.66766471242071E-014</v>
      </c>
      <c r="X294" s="37" t="n">
        <f aca="false">p_en^2*(1+p_fc/B294)/R294</f>
        <v>2.69420482771721E-012</v>
      </c>
      <c r="Y294" s="37" t="n">
        <f aca="false">p_in^2*Q294/R294</f>
        <v>8.60530110826411E-015</v>
      </c>
      <c r="Z294" s="37" t="n">
        <f aca="false">p_eo^2/L_G^2/R294</f>
        <v>2.63168137722013E-012</v>
      </c>
      <c r="AA294" s="37" t="n">
        <f aca="false">SUM(S294:Z294)</f>
        <v>1.59565095411174E-011</v>
      </c>
      <c r="AB294" s="47" t="n">
        <f aca="false">10*LOG10(AA294/L_PREF^2)</f>
        <v>-13.9912209509137</v>
      </c>
      <c r="AC294" s="47" t="n">
        <f aca="false">10*LOG10(S294/L_PREF^2)</f>
        <v>-23.1059990617542</v>
      </c>
      <c r="AD294" s="47" t="n">
        <f aca="false">10*LOG10(T294/L_PREF^2)</f>
        <v>-19.1611185128446</v>
      </c>
      <c r="AE294" s="47" t="n">
        <f aca="false">10*LOG10(U294/L_PREF^2)</f>
        <v>-20.3481689310193</v>
      </c>
      <c r="AF294" s="47" t="n">
        <f aca="false">10*LOG10(V294/L_PREF^2)</f>
        <v>-37.9059919666887</v>
      </c>
      <c r="AG294" s="47" t="n">
        <f aca="false">10*LOG10(W294/L_PREF^2)</f>
        <v>-38.4865584097564</v>
      </c>
      <c r="AH294" s="47" t="n">
        <f aca="false">10*LOG10(X294/L_PREF^2)</f>
        <v>-21.7162938131969</v>
      </c>
      <c r="AI294" s="47" t="n">
        <f aca="false">10*LOG10(Y294/L_PREF^2)</f>
        <v>-46.6729391999156</v>
      </c>
      <c r="AJ294" s="47" t="n">
        <f aca="false">10*LOG10(Z294/L_PREF^2)</f>
        <v>-21.8182668408038</v>
      </c>
      <c r="AK294" s="47" t="n">
        <f aca="false">10*LOG10(R294/$R$6)</f>
        <v>0.530557794377834</v>
      </c>
      <c r="AL294" s="37" t="n">
        <f aca="false">(12194^2*B294^4/((B294^2+20.6^2)*SQRT((B294^2+107.7^2)*(B294^2+737.9^2))*(B294^2+12194^2))*1.2589254)^2</f>
        <v>0.874741035537632</v>
      </c>
      <c r="AM294" s="37" t="n">
        <f aca="false">0.5*(B294-B293)*(S294*AL294+S293*AL293)</f>
        <v>2.78623012598752E-010</v>
      </c>
      <c r="AN294" s="37" t="n">
        <f aca="false">0.5*(B294-B293)*(T294*AL294+T293*AL293)</f>
        <v>6.9439029265555E-010</v>
      </c>
      <c r="AO294" s="37" t="n">
        <f aca="false">0.5*(B294-B293)*(U294*AL294+U293*AL293)</f>
        <v>5.28321882562746E-010</v>
      </c>
      <c r="AP294" s="37" t="n">
        <f aca="false">0.5*(B294-B293)*(V294*AL294+V293*AL293)</f>
        <v>9.70497862975234E-012</v>
      </c>
      <c r="AQ294" s="37" t="n">
        <f aca="false">0.5*(B294-B293)*(W294*AL294+W293*AL293)</f>
        <v>8.31651790552321E-012</v>
      </c>
      <c r="AR294" s="37" t="n">
        <f aca="false">0.5*(B294-B293)*(X294*AL294+X293*AL293)</f>
        <v>3.86174542759054E-010</v>
      </c>
      <c r="AS294" s="37" t="n">
        <f aca="false">0.5*(B294-B293)*(Y294*AL294+Y293*AL293)</f>
        <v>1.26270949995436E-012</v>
      </c>
      <c r="AT294" s="37" t="n">
        <f aca="false">0.5*(B294-B293)*(Z294*AL294+Z293*AL293)</f>
        <v>3.77150831646702E-010</v>
      </c>
      <c r="AU294" s="37" t="n">
        <f aca="false">0.5*(B294-B293)*(AA294*AL294+AA293*AL293)</f>
        <v>2.28394476825803E-009</v>
      </c>
      <c r="AV294" s="37" t="n">
        <f aca="false">0.5*(B294-B293)*(S294+S293)</f>
        <v>3.14967075800835E-010</v>
      </c>
      <c r="AW294" s="37" t="n">
        <f aca="false">0.5*(B294-B293)*(T294+T293)</f>
        <v>7.84925725964495E-010</v>
      </c>
      <c r="AX294" s="37" t="n">
        <f aca="false">0.5*(B294-B293)*(U294+U293)</f>
        <v>5.97205118792177E-010</v>
      </c>
      <c r="AY294" s="37" t="n">
        <f aca="false">0.5*(B294-B293)*(V294+V293)</f>
        <v>1.0964900167268E-011</v>
      </c>
      <c r="AZ294" s="37" t="n">
        <f aca="false">0.5*(B294-B293)*(W294+W293)</f>
        <v>9.39826410771932E-012</v>
      </c>
      <c r="BA294" s="37" t="n">
        <f aca="false">0.5*(B294-B293)*(X294+X293)</f>
        <v>4.36516696063725E-010</v>
      </c>
      <c r="BB294" s="37" t="n">
        <f aca="false">0.5*(B294-B293)*(Y294+Y293)</f>
        <v>1.42695266296678E-012</v>
      </c>
      <c r="BC294" s="37" t="n">
        <f aca="false">0.5*(B294-B293)*(Z294+Z293)</f>
        <v>4.26317415819146E-010</v>
      </c>
      <c r="BD294" s="37" t="n">
        <f aca="false">0.5*(B294-B293)*(AA294+AA293)</f>
        <v>2.58172214937833E-009</v>
      </c>
      <c r="BE294" s="37" t="n">
        <f aca="false">IF(B294&gt;2000,AK294,-999)</f>
        <v>0.530557794377834</v>
      </c>
      <c r="BF294" s="37" t="n">
        <f aca="false">IF(AND(B294&lt;1000,AK294&gt;=-3),B294,1000000000)</f>
        <v>1000000000</v>
      </c>
    </row>
    <row r="295" customFormat="false" ht="15" hidden="false" customHeight="false" outlineLevel="0" collapsed="false">
      <c r="A295" s="5" t="n">
        <v>256</v>
      </c>
      <c r="B295" s="47" t="n">
        <f aca="false">20*10^(A295/100)</f>
        <v>7261.56109540203</v>
      </c>
      <c r="C295" s="37" t="n">
        <f aca="false">2*PI()*B295</f>
        <v>45625.7339818169</v>
      </c>
      <c r="D295" s="37" t="n">
        <f aca="false">SQRT(L_Rp0^2+L_Rp1^2*C295)</f>
        <v>119623151.218508</v>
      </c>
      <c r="E295" s="5" t="str">
        <f aca="false">COMPLEX(D295,C295*L_Mp)</f>
        <v>119623151.218508+674016154.891438i</v>
      </c>
      <c r="F295" s="5" t="str">
        <f aca="false">IMDIV(1,E295)</f>
        <v>2.55273672546681e-10-1.43833846092753e-09i</v>
      </c>
      <c r="G295" s="5" t="str">
        <f aca="false">COMPLEX(0,C295*L_Cf)</f>
        <v>4.82454626010542e-11i</v>
      </c>
      <c r="H295" s="5" t="str">
        <f aca="false">COMPLEX(0,C295*L_Cbv)</f>
        <v>4.82454626010542e-10i</v>
      </c>
      <c r="I295" s="5" t="str">
        <f aca="false">COMPLEX(L_Rsq+L_Rh,C295*(L_Md+L_Mh)-1/(C295*L_Cd))</f>
        <v>552400610.124532-25076515588.8158i</v>
      </c>
      <c r="J295" s="5" t="str">
        <f aca="false">IMDIV(1,I295)</f>
        <v>8.78029432131709e-13+3.98586068493411e-11i</v>
      </c>
      <c r="K295" s="5" t="str">
        <f aca="false">IMSUM(F295,G295,H295)</f>
        <v>2.55273672546681e-10-9.07638372315934e-10i</v>
      </c>
      <c r="L295" s="5" t="str">
        <f aca="false">IMSUM(IMPRODUCT(IMSUM(F295,G295),H295),IMPRODUCT(IMSUM(J295,L_Yv),K295))</f>
        <v>7.07568683813829e-19+1.30720607222615e-19i</v>
      </c>
      <c r="M295" s="37" t="n">
        <f aca="false">IMABS(IMDIV(IMPRODUCT(J295,F295,H295),L295))^2</f>
        <v>1.52491570036903E-021</v>
      </c>
      <c r="N295" s="5" t="str">
        <f aca="false">IMDIV(IMPRODUCT(L_Yv,K295,E295),H295)</f>
        <v>0.000263170932680717-0.00266263201654711i</v>
      </c>
      <c r="O295" s="37" t="n">
        <f aca="false">IMABS(IMSUM(1,IMPRODUCT(E295,G295),N295))^2</f>
        <v>0.936539951402684</v>
      </c>
      <c r="P295" s="37" t="n">
        <f aca="false">IMABS(N295)^2</f>
        <v>7.15886819534977E-006</v>
      </c>
      <c r="Q295" s="37" t="n">
        <f aca="false">p_Rb^2/(1+(C295*p_Rb*L_Ctot)^2)</f>
        <v>79186791540245.6</v>
      </c>
      <c r="R295" s="37" t="n">
        <f aca="false">M295*L_Kt^2*Q295</f>
        <v>2.42346084696038E-005</v>
      </c>
      <c r="S295" s="37" t="n">
        <f aca="false">L_kT4*D295</f>
        <v>1.96966934805629E-012</v>
      </c>
      <c r="T295" s="37" t="n">
        <f aca="false">L_kT4*L_Rsq*O295</f>
        <v>4.83768904942602E-012</v>
      </c>
      <c r="U295" s="37" t="n">
        <f aca="false">L_kT4*L_Rh*O295</f>
        <v>3.68072107700642E-012</v>
      </c>
      <c r="V295" s="37" t="n">
        <f aca="false">L_kT4*p_Rv*P295</f>
        <v>5.89376015742922E-014</v>
      </c>
      <c r="W295" s="37" t="n">
        <f aca="false">L_kT4/p_Rb*Q295/R295</f>
        <v>5.38015548341704E-014</v>
      </c>
      <c r="X295" s="37" t="n">
        <f aca="false">p_en^2*(1+p_fc/B295)/R295</f>
        <v>2.67721895595901E-012</v>
      </c>
      <c r="Y295" s="37" t="n">
        <f aca="false">p_in^2*Q295/R295</f>
        <v>8.16877149465457E-015</v>
      </c>
      <c r="Z295" s="37" t="n">
        <f aca="false">p_eo^2/L_G^2/R295</f>
        <v>2.61591714089206E-012</v>
      </c>
      <c r="AA295" s="37" t="n">
        <f aca="false">SUM(S295:Z295)</f>
        <v>1.59021234992429E-011</v>
      </c>
      <c r="AB295" s="47" t="n">
        <f aca="false">10*LOG10(AA295/L_PREF^2)</f>
        <v>-14.0060486937066</v>
      </c>
      <c r="AC295" s="47" t="n">
        <f aca="false">10*LOG10(S295/L_PREF^2)</f>
        <v>-23.0766666484512</v>
      </c>
      <c r="AD295" s="47" t="n">
        <f aca="false">10*LOG10(T295/L_PREF^2)</f>
        <v>-19.1742204141091</v>
      </c>
      <c r="AE295" s="47" t="n">
        <f aca="false">10*LOG10(U295/L_PREF^2)</f>
        <v>-20.3612708322838</v>
      </c>
      <c r="AF295" s="47" t="n">
        <f aca="false">10*LOG10(V295/L_PREF^2)</f>
        <v>-38.3166753277374</v>
      </c>
      <c r="AG295" s="47" t="n">
        <f aca="false">10*LOG10(W295/L_PREF^2)</f>
        <v>-38.7126516461802</v>
      </c>
      <c r="AH295" s="47" t="n">
        <f aca="false">10*LOG10(X295/L_PREF^2)</f>
        <v>-21.743760999781</v>
      </c>
      <c r="AI295" s="47" t="n">
        <f aca="false">10*LOG10(Y295/L_PREF^2)</f>
        <v>-46.8990324363394</v>
      </c>
      <c r="AJ295" s="47" t="n">
        <f aca="false">10*LOG10(Z295/L_PREF^2)</f>
        <v>-21.8443600772438</v>
      </c>
      <c r="AK295" s="47" t="n">
        <f aca="false">10*LOG10(R295/$R$6)</f>
        <v>0.556651030817808</v>
      </c>
      <c r="AL295" s="37" t="n">
        <f aca="false">(12194^2*B295^4/((B295^2+20.6^2)*SQRT((B295^2+107.7^2)*(B295^2+737.9^2))*(B295^2+12194^2))*1.2589254)^2</f>
        <v>0.854670388311436</v>
      </c>
      <c r="AM295" s="37" t="n">
        <f aca="false">0.5*(B295-B294)*(S295*AL295+S294*AL294)</f>
        <v>2.80566469534128E-010</v>
      </c>
      <c r="AN295" s="37" t="n">
        <f aca="false">0.5*(B295-B294)*(T295*AL295+T294*AL294)</f>
        <v>6.92507925130594E-010</v>
      </c>
      <c r="AO295" s="37" t="n">
        <f aca="false">0.5*(B295-B294)*(U295*AL295+U294*AL294)</f>
        <v>5.2688969670851E-010</v>
      </c>
      <c r="AP295" s="37" t="n">
        <f aca="false">0.5*(B295-B294)*(V295*AL295+V294*AL294)</f>
        <v>8.84654239426881E-012</v>
      </c>
      <c r="AQ295" s="37" t="n">
        <f aca="false">0.5*(B295-B294)*(W295*AL295+W294*AL294)</f>
        <v>7.89771312701304E-012</v>
      </c>
      <c r="AR295" s="37" t="n">
        <f aca="false">0.5*(B295-B294)*(X295*AL295+X294*AL294)</f>
        <v>3.8388307635963E-010</v>
      </c>
      <c r="AS295" s="37" t="n">
        <f aca="false">0.5*(B295-B294)*(Y295*AL295+Y294*AL294)</f>
        <v>1.19912173660693E-012</v>
      </c>
      <c r="AT295" s="37" t="n">
        <f aca="false">0.5*(B295-B294)*(Z295*AL295+Z294*AL294)</f>
        <v>3.75032886219206E-010</v>
      </c>
      <c r="AU295" s="37" t="n">
        <f aca="false">0.5*(B295-B294)*(AA295*AL295+AA294*AL294)</f>
        <v>2.27682343120996E-009</v>
      </c>
      <c r="AV295" s="37" t="n">
        <f aca="false">0.5*(B295-B294)*(S295+S294)</f>
        <v>3.24477405425632E-010</v>
      </c>
      <c r="AW295" s="37" t="n">
        <f aca="false">0.5*(B295-B294)*(T295+T294)</f>
        <v>8.00845643628992E-010</v>
      </c>
      <c r="AX295" s="37" t="n">
        <f aca="false">0.5*(B295-B294)*(U295+U294)</f>
        <v>6.09317674165878E-010</v>
      </c>
      <c r="AY295" s="37" t="n">
        <f aca="false">0.5*(B295-B294)*(V295+V294)</f>
        <v>1.02250907024271E-011</v>
      </c>
      <c r="AZ295" s="37" t="n">
        <f aca="false">0.5*(B295-B294)*(W295+W294)</f>
        <v>9.13065388262771E-012</v>
      </c>
      <c r="BA295" s="37" t="n">
        <f aca="false">0.5*(B295-B294)*(X295+X294)</f>
        <v>4.43930210270254E-010</v>
      </c>
      <c r="BB295" s="37" t="n">
        <f aca="false">0.5*(B295-B294)*(Y295+Y294)</f>
        <v>1.38632099748528E-012</v>
      </c>
      <c r="BC295" s="37" t="n">
        <f aca="false">0.5*(B295-B294)*(Z295+Z294)</f>
        <v>4.33696466221671E-010</v>
      </c>
      <c r="BD295" s="37" t="n">
        <f aca="false">0.5*(B295-B294)*(AA295+AA294)</f>
        <v>2.63300946529497E-009</v>
      </c>
      <c r="BE295" s="37" t="n">
        <f aca="false">IF(B295&gt;2000,AK295,-999)</f>
        <v>0.556651030817808</v>
      </c>
      <c r="BF295" s="37" t="n">
        <f aca="false">IF(AND(B295&lt;1000,AK295&gt;=-3),B295,1000000000)</f>
        <v>1000000000</v>
      </c>
    </row>
    <row r="296" customFormat="false" ht="15" hidden="false" customHeight="false" outlineLevel="0" collapsed="false">
      <c r="A296" s="5" t="n">
        <v>257</v>
      </c>
      <c r="B296" s="47" t="n">
        <f aca="false">20*10^(A296/100)</f>
        <v>7430.70458194345</v>
      </c>
      <c r="C296" s="37" t="n">
        <f aca="false">2*PI()*B296</f>
        <v>46688.4938512591</v>
      </c>
      <c r="D296" s="37" t="n">
        <f aca="false">SQRT(L_Rp0^2+L_Rp1^2*C296)</f>
        <v>120441551.384905</v>
      </c>
      <c r="E296" s="5" t="str">
        <f aca="false">COMPLEX(D296,C296*L_Mp)</f>
        <v>120441551.384905+689716007.984428i</v>
      </c>
      <c r="F296" s="5" t="str">
        <f aca="false">IMDIV(1,E296)</f>
        <v>2.45691612444411e-10-1.40696824461242e-09i</v>
      </c>
      <c r="G296" s="5" t="str">
        <f aca="false">COMPLEX(0,C296*L_Cf)</f>
        <v>4.93692437890019e-11i</v>
      </c>
      <c r="H296" s="5" t="str">
        <f aca="false">COMPLEX(0,C296*L_Cbv)</f>
        <v>4.93692437890019e-10i</v>
      </c>
      <c r="I296" s="5" t="str">
        <f aca="false">COMPLEX(L_Rsq+L_Rh,C296*(L_Md+L_Mh)-1/(C296*L_Cd))</f>
        <v>552400610.124532-24497786619.7904i</v>
      </c>
      <c r="J296" s="5" t="str">
        <f aca="false">IMDIV(1,I296)</f>
        <v>9.19982762962705e-13+4.07992696022996e-11i</v>
      </c>
      <c r="K296" s="5" t="str">
        <f aca="false">IMSUM(F296,G296,H296)</f>
        <v>2.45691612444411e-10-8.63906562933399e-10i</v>
      </c>
      <c r="L296" s="5" t="str">
        <f aca="false">IMSUM(IMPRODUCT(IMSUM(F296,G296),H296),IMPRODUCT(IMSUM(J296,L_Yv),K296))</f>
        <v>7.06200532439226e-19+1.28797537179378e-19i</v>
      </c>
      <c r="M296" s="37" t="n">
        <f aca="false">IMABS(IMDIV(IMPRODUCT(J296,F296,H296),L296))^2</f>
        <v>1.60688796323116E-021</v>
      </c>
      <c r="N296" s="5" t="str">
        <f aca="false">IMDIV(IMPRODUCT(L_Yv,K296,E296),H296)</f>
        <v>0.000264971413046792-0.00253372997770068i</v>
      </c>
      <c r="O296" s="37" t="n">
        <f aca="false">IMABS(IMSUM(1,IMPRODUCT(E296,G296),N296))^2</f>
        <v>0.933581551023231</v>
      </c>
      <c r="P296" s="37" t="n">
        <f aca="false">IMABS(N296)^2</f>
        <v>6.4899974496311E-006</v>
      </c>
      <c r="Q296" s="37" t="n">
        <f aca="false">p_Rb^2/(1+(C296*p_Rb*L_Ctot)^2)</f>
        <v>75622798832029.1</v>
      </c>
      <c r="R296" s="37" t="n">
        <f aca="false">M296*L_Kt^2*Q296</f>
        <v>2.43879765866551E-005</v>
      </c>
      <c r="S296" s="37" t="n">
        <f aca="false">L_kT4*D296</f>
        <v>1.98314481418284E-012</v>
      </c>
      <c r="T296" s="37" t="n">
        <f aca="false">L_kT4*L_Rsq*O296</f>
        <v>4.82240745775653E-012</v>
      </c>
      <c r="U296" s="37" t="n">
        <f aca="false">L_kT4*L_Rh*O296</f>
        <v>3.66909418739582E-012</v>
      </c>
      <c r="V296" s="37" t="n">
        <f aca="false">L_kT4*p_Rv*P296</f>
        <v>5.34309158189275E-014</v>
      </c>
      <c r="W296" s="37" t="n">
        <f aca="false">L_kT4/p_Rb*Q296/R296</f>
        <v>5.10569731980057E-014</v>
      </c>
      <c r="X296" s="37" t="n">
        <f aca="false">p_en^2*(1+p_fc/B296)/R296</f>
        <v>2.65956016920027E-012</v>
      </c>
      <c r="Y296" s="37" t="n">
        <f aca="false">p_in^2*Q296/R296</f>
        <v>7.75205751113944E-015</v>
      </c>
      <c r="Z296" s="37" t="n">
        <f aca="false">p_eo^2/L_G^2/R296</f>
        <v>2.59946648190298E-012</v>
      </c>
      <c r="AA296" s="37" t="n">
        <f aca="false">SUM(S296:Z296)</f>
        <v>1.58459130569665E-011</v>
      </c>
      <c r="AB296" s="47" t="n">
        <f aca="false">10*LOG10(AA296/L_PREF^2)</f>
        <v>-14.0214272260899</v>
      </c>
      <c r="AC296" s="47" t="n">
        <f aca="false">10*LOG10(S296/L_PREF^2)</f>
        <v>-23.0470556269796</v>
      </c>
      <c r="AD296" s="47" t="n">
        <f aca="false">10*LOG10(T296/L_PREF^2)</f>
        <v>-19.1879608906519</v>
      </c>
      <c r="AE296" s="47" t="n">
        <f aca="false">10*LOG10(U296/L_PREF^2)</f>
        <v>-20.3750113088266</v>
      </c>
      <c r="AF296" s="47" t="n">
        <f aca="false">10*LOG10(V296/L_PREF^2)</f>
        <v>-38.7426737316793</v>
      </c>
      <c r="AG296" s="47" t="n">
        <f aca="false">10*LOG10(W296/L_PREF^2)</f>
        <v>-38.9400492630367</v>
      </c>
      <c r="AH296" s="47" t="n">
        <f aca="false">10*LOG10(X296/L_PREF^2)</f>
        <v>-21.7725017119437</v>
      </c>
      <c r="AI296" s="47" t="n">
        <f aca="false">10*LOG10(Y296/L_PREF^2)</f>
        <v>-47.1264300531959</v>
      </c>
      <c r="AJ296" s="47" t="n">
        <f aca="false">10*LOG10(Z296/L_PREF^2)</f>
        <v>-21.8717576941158</v>
      </c>
      <c r="AK296" s="47" t="n">
        <f aca="false">10*LOG10(R296/$R$6)</f>
        <v>0.584048647689777</v>
      </c>
      <c r="AL296" s="37" t="n">
        <f aca="false">(12194^2*B296^4/((B296^2+20.6^2)*SQRT((B296^2+107.7^2)*(B296^2+737.9^2))*(B296^2+12194^2))*1.2589254)^2</f>
        <v>0.834357740563936</v>
      </c>
      <c r="AM296" s="37" t="n">
        <f aca="false">0.5*(B296-B295)*(S296*AL296+S295*AL295)</f>
        <v>2.82306423832504E-010</v>
      </c>
      <c r="AN296" s="37" t="n">
        <f aca="false">0.5*(B296-B295)*(T296*AL296+T295*AL295)</f>
        <v>6.89956796080174E-010</v>
      </c>
      <c r="AO296" s="37" t="n">
        <f aca="false">0.5*(B296-B295)*(U296*AL296+U295*AL295)</f>
        <v>5.24948688435737E-010</v>
      </c>
      <c r="AP296" s="37" t="n">
        <f aca="false">0.5*(B296-B295)*(V296*AL296+V295*AL295)</f>
        <v>8.03031714517757E-012</v>
      </c>
      <c r="AQ296" s="37" t="n">
        <f aca="false">0.5*(B296-B295)*(W296*AL296+W295*AL295)</f>
        <v>7.49156600869099E-012</v>
      </c>
      <c r="AR296" s="37" t="n">
        <f aca="false">0.5*(B296-B295)*(X296*AL296+X295*AL295)</f>
        <v>3.81178748684873E-010</v>
      </c>
      <c r="AS296" s="37" t="n">
        <f aca="false">0.5*(B296-B295)*(Y296*AL296+Y295*AL295)</f>
        <v>1.13745580496218E-012</v>
      </c>
      <c r="AT296" s="37" t="n">
        <f aca="false">0.5*(B296-B295)*(Z296*AL296+Z295*AL295)</f>
        <v>3.72507398173426E-010</v>
      </c>
      <c r="AU296" s="37" t="n">
        <f aca="false">0.5*(B296-B295)*(AA296*AL296+AA295*AL295)</f>
        <v>2.26755739416554E-009</v>
      </c>
      <c r="AV296" s="37" t="n">
        <f aca="false">0.5*(B296-B295)*(S296+S295)</f>
        <v>3.34296384525713E-010</v>
      </c>
      <c r="AW296" s="37" t="n">
        <f aca="false">0.5*(B296-B295)*(T296+T295)</f>
        <v>8.16971201775723E-010</v>
      </c>
      <c r="AX296" s="37" t="n">
        <f aca="false">0.5*(B296-B295)*(U296+U295)</f>
        <v>6.21586689628169E-010</v>
      </c>
      <c r="AY296" s="37" t="n">
        <f aca="false">0.5*(B296-B295)*(V296+V295)</f>
        <v>9.50320140468966E-012</v>
      </c>
      <c r="AZ296" s="37" t="n">
        <f aca="false">0.5*(B296-B295)*(W296+W295)</f>
        <v>8.86806851248172E-012</v>
      </c>
      <c r="BA296" s="37" t="n">
        <f aca="false">0.5*(B296-B295)*(X296+X295)</f>
        <v>4.51340714065453E-010</v>
      </c>
      <c r="BB296" s="37" t="n">
        <f aca="false">0.5*(B296-B295)*(Y296+Y295)</f>
        <v>1.34645226333488E-012</v>
      </c>
      <c r="BC296" s="37" t="n">
        <f aca="false">0.5*(B296-B295)*(Z296+Z295)</f>
        <v>4.41074084805286E-010</v>
      </c>
      <c r="BD296" s="37" t="n">
        <f aca="false">0.5*(B296-B295)*(AA296+AA295)</f>
        <v>2.68498679698085E-009</v>
      </c>
      <c r="BE296" s="37" t="n">
        <f aca="false">IF(B296&gt;2000,AK296,-999)</f>
        <v>0.584048647689777</v>
      </c>
      <c r="BF296" s="37" t="n">
        <f aca="false">IF(AND(B296&lt;1000,AK296&gt;=-3),B296,1000000000)</f>
        <v>1000000000</v>
      </c>
    </row>
    <row r="297" customFormat="false" ht="15" hidden="false" customHeight="false" outlineLevel="0" collapsed="false">
      <c r="A297" s="5" t="n">
        <v>258</v>
      </c>
      <c r="B297" s="47" t="n">
        <f aca="false">20*10^(A297/100)</f>
        <v>7603.78792641123</v>
      </c>
      <c r="C297" s="37" t="n">
        <f aca="false">2*PI()*B297</f>
        <v>47776.0085781365</v>
      </c>
      <c r="D297" s="37" t="n">
        <f aca="false">SQRT(L_Rp0^2+L_Rp1^2*C297)</f>
        <v>121273297.321737</v>
      </c>
      <c r="E297" s="5" t="str">
        <f aca="false">COMPLEX(D297,C297*L_Mp)</f>
        <v>121273297.321737+705781557.634322i</v>
      </c>
      <c r="F297" s="5" t="str">
        <f aca="false">IMDIV(1,E297)</f>
        <v>2.36476332444074e-10-1.37623564248645e-09i</v>
      </c>
      <c r="G297" s="5" t="str">
        <f aca="false">COMPLEX(0,C297*L_Cf)</f>
        <v>5.05192012034858e-11i</v>
      </c>
      <c r="H297" s="5" t="str">
        <f aca="false">COMPLEX(0,C297*L_Cbv)</f>
        <v>5.05192012034858e-10i</v>
      </c>
      <c r="I297" s="5" t="str">
        <f aca="false">COMPLEX(L_Rsq+L_Rh,C297*(L_Md+L_Mh)-1/(C297*L_Cd))</f>
        <v>552400610.124532-23932046701.4974i</v>
      </c>
      <c r="J297" s="5" t="str">
        <f aca="false">IMDIV(1,I297)</f>
        <v>9.63969169380633e-13+4.17627257421388e-11i</v>
      </c>
      <c r="K297" s="5" t="str">
        <f aca="false">IMSUM(F297,G297,H297)</f>
        <v>2.36476332444074e-10-8.20524429248106e-10i</v>
      </c>
      <c r="L297" s="5" t="str">
        <f aca="false">IMSUM(IMPRODUCT(IMSUM(F297,G297),H297),IMPRODUCT(IMSUM(J297,L_Yv),K297))</f>
        <v>7.04709601621496e-19+1.269098412914e-19i</v>
      </c>
      <c r="M297" s="37" t="n">
        <f aca="false">IMABS(IMDIV(IMPRODUCT(J297,F297,H297),L297))^2</f>
        <v>1.69380228934779E-021</v>
      </c>
      <c r="N297" s="5" t="str">
        <f aca="false">IMDIV(IMPRODUCT(L_Yv,K297,E297),H297)</f>
        <v>0.000266801254107818-0.0024061713560263i</v>
      </c>
      <c r="O297" s="37" t="n">
        <f aca="false">IMABS(IMSUM(1,IMPRODUCT(E297,G297),N297))^2</f>
        <v>0.930488764740851</v>
      </c>
      <c r="P297" s="37" t="n">
        <f aca="false">IMABS(N297)^2</f>
        <v>5.86084350375495E-006</v>
      </c>
      <c r="Q297" s="37" t="n">
        <f aca="false">p_Rb^2/(1+(C297*p_Rb*L_Ctot)^2)</f>
        <v>72219212219024</v>
      </c>
      <c r="R297" s="37" t="n">
        <f aca="false">M297*L_Kt^2*Q297</f>
        <v>2.45500786254559E-005</v>
      </c>
      <c r="S297" s="37" t="n">
        <f aca="false">L_kT4*D297</f>
        <v>1.99684002669364E-012</v>
      </c>
      <c r="T297" s="37" t="n">
        <f aca="false">L_kT4*L_Rsq*O297</f>
        <v>4.80643169686339E-012</v>
      </c>
      <c r="U297" s="37" t="n">
        <f aca="false">L_kT4*L_Rh*O297</f>
        <v>3.65693914410142E-012</v>
      </c>
      <c r="V297" s="37" t="n">
        <f aca="false">L_kT4*p_Rv*P297</f>
        <v>4.82512109299578E-014</v>
      </c>
      <c r="W297" s="37" t="n">
        <f aca="false">L_kT4/p_Rb*Q297/R297</f>
        <v>4.84370792192534E-014</v>
      </c>
      <c r="X297" s="37" t="n">
        <f aca="false">p_en^2*(1+p_fc/B297)/R297</f>
        <v>2.64120073693664E-012</v>
      </c>
      <c r="Y297" s="37" t="n">
        <f aca="false">p_in^2*Q297/R297</f>
        <v>7.35427504335364E-015</v>
      </c>
      <c r="Z297" s="37" t="n">
        <f aca="false">p_eo^2/L_G^2/R297</f>
        <v>2.58230243029485E-012</v>
      </c>
      <c r="AA297" s="37" t="n">
        <f aca="false">SUM(S297:Z297)</f>
        <v>1.57877566000825E-011</v>
      </c>
      <c r="AB297" s="47" t="n">
        <f aca="false">10*LOG10(AA297/L_PREF^2)</f>
        <v>-14.0373956907294</v>
      </c>
      <c r="AC297" s="47" t="n">
        <f aca="false">10*LOG10(S297/L_PREF^2)</f>
        <v>-23.0171671779781</v>
      </c>
      <c r="AD297" s="47" t="n">
        <f aca="false">10*LOG10(T297/L_PREF^2)</f>
        <v>-19.2023721629874</v>
      </c>
      <c r="AE297" s="47" t="n">
        <f aca="false">10*LOG10(U297/L_PREF^2)</f>
        <v>-20.3894225811621</v>
      </c>
      <c r="AF297" s="47" t="n">
        <f aca="false">10*LOG10(V297/L_PREF^2)</f>
        <v>-39.1855177429894</v>
      </c>
      <c r="AG297" s="47" t="n">
        <f aca="false">10*LOG10(W297/L_PREF^2)</f>
        <v>-39.1688204424764</v>
      </c>
      <c r="AH297" s="47" t="n">
        <f aca="false">10*LOG10(X297/L_PREF^2)</f>
        <v>-21.8025858155197</v>
      </c>
      <c r="AI297" s="47" t="n">
        <f aca="false">10*LOG10(Y297/L_PREF^2)</f>
        <v>-47.3552012326356</v>
      </c>
      <c r="AJ297" s="47" t="n">
        <f aca="false">10*LOG10(Z297/L_PREF^2)</f>
        <v>-21.9005288735703</v>
      </c>
      <c r="AK297" s="47" t="n">
        <f aca="false">10*LOG10(R297/$R$6)</f>
        <v>0.6128198271443</v>
      </c>
      <c r="AL297" s="37" t="n">
        <f aca="false">(12194^2*B297^4/((B297^2+20.6^2)*SQRT((B297^2+107.7^2)*(B297^2+737.9^2))*(B297^2+12194^2))*1.2589254)^2</f>
        <v>0.813828890592122</v>
      </c>
      <c r="AM297" s="37" t="n">
        <f aca="false">0.5*(B297-B296)*(S297*AL297+S296*AL296)</f>
        <v>2.83834039566631E-010</v>
      </c>
      <c r="AN297" s="37" t="n">
        <f aca="false">0.5*(B297-B296)*(T297*AL297+T296*AL296)</f>
        <v>6.86727724659858E-010</v>
      </c>
      <c r="AO297" s="37" t="n">
        <f aca="false">0.5*(B297-B296)*(U297*AL297+U296*AL296)</f>
        <v>5.22491872564669E-010</v>
      </c>
      <c r="AP297" s="37" t="n">
        <f aca="false">0.5*(B297-B296)*(V297*AL297+V296*AL296)</f>
        <v>7.25640910636268E-012</v>
      </c>
      <c r="AQ297" s="37" t="n">
        <f aca="false">0.5*(B297-B296)*(W297*AL297+W296*AL296)</f>
        <v>7.09808523485852E-012</v>
      </c>
      <c r="AR297" s="37" t="n">
        <f aca="false">0.5*(B297-B296)*(X297*AL297+X296*AL296)</f>
        <v>3.78058167428028E-010</v>
      </c>
      <c r="AS297" s="37" t="n">
        <f aca="false">0.5*(B297-B296)*(Y297*AL297+Y296*AL296)</f>
        <v>1.07771302357074E-012</v>
      </c>
      <c r="AT297" s="37" t="n">
        <f aca="false">0.5*(B297-B296)*(Z297*AL297+Z296*AL296)</f>
        <v>3.69570785331135E-010</v>
      </c>
      <c r="AU297" s="37" t="n">
        <f aca="false">0.5*(B297-B296)*(AA297*AL297+AA296*AL296)</f>
        <v>2.25611479691511E-009</v>
      </c>
      <c r="AV297" s="37" t="n">
        <f aca="false">0.5*(B297-B296)*(S297+S296)</f>
        <v>3.44434543594978E-010</v>
      </c>
      <c r="AW297" s="37" t="n">
        <f aca="false">0.5*(B297-B296)*(T297+T296)</f>
        <v>8.33295842111951E-010</v>
      </c>
      <c r="AX297" s="37" t="n">
        <f aca="false">0.5*(B297-B296)*(U297+U296)</f>
        <v>6.34007175348977E-010</v>
      </c>
      <c r="AY297" s="37" t="n">
        <f aca="false">0.5*(B297-B296)*(V297+V296)</f>
        <v>8.79974128514676E-012</v>
      </c>
      <c r="AZ297" s="37" t="n">
        <f aca="false">0.5*(B297-B296)*(W297+W296)</f>
        <v>8.61038167351578E-012</v>
      </c>
      <c r="BA297" s="37" t="n">
        <f aca="false">0.5*(B297-B296)*(X297+X296)</f>
        <v>4.58736712929111E-010</v>
      </c>
      <c r="BB297" s="37" t="n">
        <f aca="false">0.5*(B297-B296)*(Y297+Y296)</f>
        <v>1.30732728058706E-012</v>
      </c>
      <c r="BC297" s="37" t="n">
        <f aca="false">0.5*(B297-B296)*(Z297+Z296)</f>
        <v>4.48438946791179E-010</v>
      </c>
      <c r="BD297" s="37" t="n">
        <f aca="false">0.5*(B297-B296)*(AA297+AA296)</f>
        <v>2.73763067101544E-009</v>
      </c>
      <c r="BE297" s="37" t="n">
        <f aca="false">IF(B297&gt;2000,AK297,-999)</f>
        <v>0.6128198271443</v>
      </c>
      <c r="BF297" s="37" t="n">
        <f aca="false">IF(AND(B297&lt;1000,AK297&gt;=-3),B297,1000000000)</f>
        <v>1000000000</v>
      </c>
    </row>
    <row r="298" customFormat="false" ht="15" hidden="false" customHeight="false" outlineLevel="0" collapsed="false">
      <c r="A298" s="5" t="n">
        <v>259</v>
      </c>
      <c r="B298" s="47" t="n">
        <f aca="false">20*10^(A298/100)</f>
        <v>7780.90289988561</v>
      </c>
      <c r="C298" s="37" t="n">
        <f aca="false">2*PI()*B298</f>
        <v>48888.8547771523</v>
      </c>
      <c r="D298" s="37" t="n">
        <f aca="false">SQRT(L_Rp0^2+L_Rp1^2*C298)</f>
        <v>122118552.784577</v>
      </c>
      <c r="E298" s="5" t="str">
        <f aca="false">COMPLEX(D298,C298*L_Mp)</f>
        <v>122118552.784577+722221322.008196i</v>
      </c>
      <c r="F298" s="5" t="str">
        <f aca="false">IMDIV(1,E298)</f>
        <v>2.27613754332679e-10-1.34613048396818e-09i</v>
      </c>
      <c r="G298" s="5" t="str">
        <f aca="false">COMPLEX(0,C298*L_Cf)</f>
        <v>5.16959445671484e-11i</v>
      </c>
      <c r="H298" s="5" t="str">
        <f aca="false">COMPLEX(0,C298*L_Cbv)</f>
        <v>5.16959445671485e-10i</v>
      </c>
      <c r="I298" s="5" t="str">
        <f aca="false">COMPLEX(L_Rsq+L_Rh,C298*(L_Md+L_Mh)-1/(C298*L_Cd))</f>
        <v>552400610.124532-23378995871.1435i</v>
      </c>
      <c r="J298" s="5" t="str">
        <f aca="false">IMDIV(1,I298)</f>
        <v>1.01008994582065e-12+4.27495702213306e-11i</v>
      </c>
      <c r="K298" s="5" t="str">
        <f aca="false">IMSUM(F298,G298,H298)</f>
        <v>2.27613754332679e-10-7.77475093729547e-10i</v>
      </c>
      <c r="L298" s="5" t="str">
        <f aca="false">IMSUM(IMPRODUCT(IMSUM(F298,G298),H298),IMPRODUCT(IMSUM(J298,L_Yv),K298))</f>
        <v>7.03092025934955e-19+1.25057200478451e-19i</v>
      </c>
      <c r="M298" s="37" t="n">
        <f aca="false">IMABS(IMDIV(IMPRODUCT(J298,F298,H298),L298))^2</f>
        <v>1.78601258916136E-021</v>
      </c>
      <c r="N298" s="5" t="str">
        <f aca="false">IMDIV(IMPRODUCT(L_Yv,K298,E298),H298)</f>
        <v>0.000268660816126068-0.00227988851825433i</v>
      </c>
      <c r="O298" s="37" t="n">
        <f aca="false">IMABS(IMSUM(1,IMPRODUCT(E298,G298),N298))^2</f>
        <v>0.927255742254886</v>
      </c>
      <c r="P298" s="37" t="n">
        <f aca="false">IMABS(N298)^2</f>
        <v>5.27007028978945E-006</v>
      </c>
      <c r="Q298" s="37" t="n">
        <f aca="false">p_Rb^2/(1+(C298*p_Rb*L_Ctot)^2)</f>
        <v>68968812237700.9</v>
      </c>
      <c r="R298" s="37" t="n">
        <f aca="false">M298*L_Kt^2*Q298</f>
        <v>2.47214925540784E-005</v>
      </c>
      <c r="S298" s="37" t="n">
        <f aca="false">L_kT4*D298</f>
        <v>2.0107576819257E-012</v>
      </c>
      <c r="T298" s="37" t="n">
        <f aca="false">L_kT4*L_Rsq*O298</f>
        <v>4.78973154706895E-012</v>
      </c>
      <c r="U298" s="37" t="n">
        <f aca="false">L_kT4*L_Rh*O298</f>
        <v>3.64423295469785E-012</v>
      </c>
      <c r="V298" s="37" t="n">
        <f aca="false">L_kT4*p_Rv*P298</f>
        <v>4.33874873139706E-014</v>
      </c>
      <c r="W298" s="37" t="n">
        <f aca="false">L_kT4/p_Rb*Q298/R298</f>
        <v>4.59363143175915E-014</v>
      </c>
      <c r="X298" s="37" t="n">
        <f aca="false">p_en^2*(1+p_fc/B298)/R298</f>
        <v>2.62211217662875E-012</v>
      </c>
      <c r="Y298" s="37" t="n">
        <f aca="false">p_in^2*Q298/R298</f>
        <v>6.97458012363445E-015</v>
      </c>
      <c r="Z298" s="37" t="n">
        <f aca="false">p_eo^2/L_G^2/R298</f>
        <v>2.56439725715452E-012</v>
      </c>
      <c r="AA298" s="37" t="n">
        <f aca="false">SUM(S298:Z298)</f>
        <v>1.5727529999231E-011</v>
      </c>
      <c r="AB298" s="47" t="n">
        <f aca="false">10*LOG10(AA298/L_PREF^2)</f>
        <v>-14.0539946908192</v>
      </c>
      <c r="AC298" s="47" t="n">
        <f aca="false">10*LOG10(S298/L_PREF^2)</f>
        <v>-22.9870025476573</v>
      </c>
      <c r="AD298" s="47" t="n">
        <f aca="false">10*LOG10(T298/L_PREF^2)</f>
        <v>-19.2174881839227</v>
      </c>
      <c r="AE298" s="47" t="n">
        <f aca="false">10*LOG10(U298/L_PREF^2)</f>
        <v>-20.4045386020974</v>
      </c>
      <c r="AF298" s="47" t="n">
        <f aca="false">10*LOG10(V298/L_PREF^2)</f>
        <v>-39.6469549163146</v>
      </c>
      <c r="AG298" s="47" t="n">
        <f aca="false">10*LOG10(W298/L_PREF^2)</f>
        <v>-39.3990384452087</v>
      </c>
      <c r="AH298" s="47" t="n">
        <f aca="false">10*LOG10(X298/L_PREF^2)</f>
        <v>-21.8340872401632</v>
      </c>
      <c r="AI298" s="47" t="n">
        <f aca="false">10*LOG10(Y298/L_PREF^2)</f>
        <v>-47.5854192353679</v>
      </c>
      <c r="AJ298" s="47" t="n">
        <f aca="false">10*LOG10(Z298/L_PREF^2)</f>
        <v>-21.9307468763167</v>
      </c>
      <c r="AK298" s="47" t="n">
        <f aca="false">10*LOG10(R298/$R$6)</f>
        <v>0.643037829890684</v>
      </c>
      <c r="AL298" s="37" t="n">
        <f aca="false">(12194^2*B298^4/((B298^2+20.6^2)*SQRT((B298^2+107.7^2)*(B298^2+737.9^2))*(B298^2+12194^2))*1.2589254)^2</f>
        <v>0.793110809413844</v>
      </c>
      <c r="AM298" s="37" t="n">
        <f aca="false">0.5*(B298-B297)*(S298*AL298+S297*AL297)</f>
        <v>2.85140916510987E-010</v>
      </c>
      <c r="AN298" s="37" t="n">
        <f aca="false">0.5*(B298-B297)*(T298*AL298+T297*AL297)</f>
        <v>6.82813720103357E-010</v>
      </c>
      <c r="AO298" s="37" t="n">
        <f aca="false">0.5*(B298-B297)*(U298*AL298+U297*AL297)</f>
        <v>5.19513930220831E-010</v>
      </c>
      <c r="AP298" s="37" t="n">
        <f aca="false">0.5*(B298-B297)*(V298*AL298+V297*AL297)</f>
        <v>6.52485492929137E-012</v>
      </c>
      <c r="AQ298" s="37" t="n">
        <f aca="false">0.5*(B298-B297)*(W298*AL298+W297*AL297)</f>
        <v>6.71726973458425E-012</v>
      </c>
      <c r="AR298" s="37" t="n">
        <f aca="false">0.5*(B298-B297)*(X298*AL298+X297*AL297)</f>
        <v>3.7451943919842E-010</v>
      </c>
      <c r="AS298" s="37" t="n">
        <f aca="false">0.5*(B298-B297)*(Y298*AL298+Y297*AL297)</f>
        <v>1.01989322983148E-012</v>
      </c>
      <c r="AT298" s="37" t="n">
        <f aca="false">0.5*(B298-B297)*(Z298*AL298+Z297*AL297)</f>
        <v>3.66220941162159E-010</v>
      </c>
      <c r="AU298" s="37" t="n">
        <f aca="false">0.5*(B298-B297)*(AA298*AL298+AA297*AL297)</f>
        <v>2.24247096508946E-009</v>
      </c>
      <c r="AV298" s="37" t="n">
        <f aca="false">0.5*(B298-B297)*(S298+S297)</f>
        <v>3.54902780929058E-010</v>
      </c>
      <c r="AW298" s="37" t="n">
        <f aca="false">0.5*(B298-B297)*(T298+T297)</f>
        <v>8.49812099202468E-010</v>
      </c>
      <c r="AX298" s="37" t="n">
        <f aca="false">0.5*(B298-B297)*(U298+U297)</f>
        <v>6.46573451305373E-010</v>
      </c>
      <c r="AY298" s="37" t="n">
        <f aca="false">0.5*(B298-B297)*(V298+V297)</f>
        <v>8.11529280435023E-012</v>
      </c>
      <c r="AZ298" s="37" t="n">
        <f aca="false">0.5*(B298-B297)*(W298+W297)</f>
        <v>8.35747054648294E-012</v>
      </c>
      <c r="BA298" s="37" t="n">
        <f aca="false">0.5*(B298-B297)*(X298+X297)</f>
        <v>4.66105763536759E-010</v>
      </c>
      <c r="BB298" s="37" t="n">
        <f aca="false">0.5*(B298-B297)*(Y298+Y297)</f>
        <v>1.26892740140969E-012</v>
      </c>
      <c r="BC298" s="37" t="n">
        <f aca="false">0.5*(B298-B297)*(Z298+Z297)</f>
        <v>4.55778789311608E-010</v>
      </c>
      <c r="BD298" s="37" t="n">
        <f aca="false">0.5*(B298-B297)*(AA298+AA297)</f>
        <v>2.79091457503751E-009</v>
      </c>
      <c r="BE298" s="37" t="n">
        <f aca="false">IF(B298&gt;2000,AK298,-999)</f>
        <v>0.643037829890684</v>
      </c>
      <c r="BF298" s="37" t="n">
        <f aca="false">IF(AND(B298&lt;1000,AK298&gt;=-3),B298,1000000000)</f>
        <v>1000000000</v>
      </c>
    </row>
    <row r="299" customFormat="false" ht="15" hidden="false" customHeight="false" outlineLevel="0" collapsed="false">
      <c r="A299" s="5" t="n">
        <v>260</v>
      </c>
      <c r="B299" s="47" t="n">
        <f aca="false">20*10^(A299/100)</f>
        <v>7962.14341106995</v>
      </c>
      <c r="C299" s="37" t="n">
        <f aca="false">2*PI()*B299</f>
        <v>50027.6224940914</v>
      </c>
      <c r="D299" s="37" t="n">
        <f aca="false">SQRT(L_Rp0^2+L_Rp1^2*C299)</f>
        <v>122977482.705593</v>
      </c>
      <c r="E299" s="5" t="str">
        <f aca="false">COMPLEX(D299,C299*L_Mp)</f>
        <v>122977482.705593+739044017.68673i</v>
      </c>
      <c r="F299" s="5" t="str">
        <f aca="false">IMDIV(1,E299)</f>
        <v>2.19090320103517e-10-1.31664258239212e-09i</v>
      </c>
      <c r="G299" s="5" t="str">
        <f aca="false">COMPLEX(0,C299*L_Cf)</f>
        <v>5.29000978048974e-11i</v>
      </c>
      <c r="H299" s="5" t="str">
        <f aca="false">COMPLEX(0,C299*L_Cbv)</f>
        <v>5.29000978048974e-10i</v>
      </c>
      <c r="I299" s="5" t="str">
        <f aca="false">COMPLEX(L_Rsq+L_Rh,C299*(L_Md+L_Mh)-1/(C299*L_Cd))</f>
        <v>552400610.124532-22838340893.8582i</v>
      </c>
      <c r="J299" s="5" t="str">
        <f aca="false">IMDIV(1,I299)</f>
        <v>1.05845170230268e-12+4.37604165415811e-11i</v>
      </c>
      <c r="K299" s="5" t="str">
        <f aca="false">IMSUM(F299,G299,H299)</f>
        <v>2.19090320103517e-10-7.34741506538249e-10i</v>
      </c>
      <c r="L299" s="5" t="str">
        <f aca="false">IMSUM(IMPRODUCT(IMSUM(F299,G299),H299),IMPRODUCT(IMSUM(J299,L_Yv),K299))</f>
        <v>7.01343681887661e-19+1.23239305872357e-19i</v>
      </c>
      <c r="M299" s="37" t="n">
        <f aca="false">IMABS(IMDIV(IMPRODUCT(J299,F299,H299),L299))^2</f>
        <v>1.88390396721353E-021</v>
      </c>
      <c r="N299" s="5" t="str">
        <f aca="false">IMDIV(IMPRODUCT(L_Yv,K299,E299),H299)</f>
        <v>0.000270550461952307-0.00215481450755259i</v>
      </c>
      <c r="O299" s="37" t="n">
        <f aca="false">IMABS(IMSUM(1,IMPRODUCT(E299,G299),N299))^2</f>
        <v>0.923876404704321</v>
      </c>
      <c r="P299" s="37" t="n">
        <f aca="false">IMABS(N299)^2</f>
        <v>4.71642311442172E-006</v>
      </c>
      <c r="Q299" s="37" t="n">
        <f aca="false">p_Rb^2/(1+(C299*p_Rb*L_Ctot)^2)</f>
        <v>65864704353913.2</v>
      </c>
      <c r="R299" s="37" t="n">
        <f aca="false">M299*L_Kt^2*Q299</f>
        <v>2.49028431110122E-005</v>
      </c>
      <c r="S299" s="37" t="n">
        <f aca="false">L_kT4*D299</f>
        <v>2.02490049558946E-012</v>
      </c>
      <c r="T299" s="37" t="n">
        <f aca="false">L_kT4*L_Rsq*O299</f>
        <v>4.77227560806902E-012</v>
      </c>
      <c r="U299" s="37" t="n">
        <f aca="false">L_kT4*L_Rh*O299</f>
        <v>3.63095172848849E-012</v>
      </c>
      <c r="V299" s="37" t="n">
        <f aca="false">L_kT4*p_Rv*P299</f>
        <v>3.88294153193288E-014</v>
      </c>
      <c r="W299" s="37" t="n">
        <f aca="false">L_kT4/p_Rb*Q299/R299</f>
        <v>4.35493725257348E-014</v>
      </c>
      <c r="X299" s="37" t="n">
        <f aca="false">p_en^2*(1+p_fc/B299)/R299</f>
        <v>2.60226526622683E-012</v>
      </c>
      <c r="Y299" s="37" t="n">
        <f aca="false">p_in^2*Q299/R299</f>
        <v>6.61216713893879E-015</v>
      </c>
      <c r="Z299" s="37" t="n">
        <f aca="false">p_eo^2/L_G^2/R299</f>
        <v>2.54572248702039E-012</v>
      </c>
      <c r="AA299" s="37" t="n">
        <f aca="false">SUM(S299:Z299)</f>
        <v>1.56651065403782E-011</v>
      </c>
      <c r="AB299" s="47" t="n">
        <f aca="false">10*LOG10(AA299/L_PREF^2)</f>
        <v>-14.0712663840829</v>
      </c>
      <c r="AC299" s="47" t="n">
        <f aca="false">10*LOG10(S299/L_PREF^2)</f>
        <v>-22.9565630465539</v>
      </c>
      <c r="AD299" s="47" t="n">
        <f aca="false">10*LOG10(T299/L_PREF^2)</f>
        <v>-19.2333447426613</v>
      </c>
      <c r="AE299" s="47" t="n">
        <f aca="false">10*LOG10(U299/L_PREF^2)</f>
        <v>-20.420395160836</v>
      </c>
      <c r="AF299" s="47" t="n">
        <f aca="false">10*LOG10(V299/L_PREF^2)</f>
        <v>-40.1289914019734</v>
      </c>
      <c r="AG299" s="47" t="n">
        <f aca="false">10*LOG10(W299/L_PREF^2)</f>
        <v>-39.6307808940274</v>
      </c>
      <c r="AH299" s="47" t="n">
        <f aca="false">10*LOG10(X299/L_PREF^2)</f>
        <v>-21.8670842631738</v>
      </c>
      <c r="AI299" s="47" t="n">
        <f aca="false">10*LOG10(Y299/L_PREF^2)</f>
        <v>-47.8171616841866</v>
      </c>
      <c r="AJ299" s="47" t="n">
        <f aca="false">10*LOG10(Z299/L_PREF^2)</f>
        <v>-21.9624893251489</v>
      </c>
      <c r="AK299" s="47" t="n">
        <f aca="false">10*LOG10(R299/$R$6)</f>
        <v>0.674780278722908</v>
      </c>
      <c r="AL299" s="37" t="n">
        <f aca="false">(12194^2*B299^4/((B299^2+20.6^2)*SQRT((B299^2+107.7^2)*(B299^2+737.9^2))*(B299^2+12194^2))*1.2589254)^2</f>
        <v>0.772231557596344</v>
      </c>
      <c r="AM299" s="37" t="n">
        <f aca="false">0.5*(B299-B298)*(S299*AL299+S298*AL298)</f>
        <v>2.86219158088164E-010</v>
      </c>
      <c r="AN299" s="37" t="n">
        <f aca="false">0.5*(B299-B298)*(T299*AL299+T298*AL298)</f>
        <v>6.78210120606897E-010</v>
      </c>
      <c r="AO299" s="37" t="n">
        <f aca="false">0.5*(B299-B298)*(U299*AL299+U298*AL298)</f>
        <v>5.16011314504195E-010</v>
      </c>
      <c r="AP299" s="37" t="n">
        <f aca="false">0.5*(B299-B298)*(V299*AL299+V298*AL298)</f>
        <v>5.83561687286108E-012</v>
      </c>
      <c r="AQ299" s="37" t="n">
        <f aca="false">0.5*(B299-B298)*(W299*AL299+W298*AL298)</f>
        <v>6.34910768427104E-012</v>
      </c>
      <c r="AR299" s="37" t="n">
        <f aca="false">0.5*(B299-B298)*(X299*AL299+X298*AL298)</f>
        <v>3.70562253175097E-010</v>
      </c>
      <c r="AS299" s="37" t="n">
        <f aca="false">0.5*(B299-B298)*(Y299*AL299+Y298*AL298)</f>
        <v>9.63994628549758E-013</v>
      </c>
      <c r="AT299" s="37" t="n">
        <f aca="false">0.5*(B299-B298)*(Z299*AL299+Z298*AL298)</f>
        <v>3.62457318433338E-010</v>
      </c>
      <c r="AU299" s="37" t="n">
        <f aca="false">0.5*(B299-B298)*(AA299*AL299+AA298*AL298)</f>
        <v>2.22660888399337E-009</v>
      </c>
      <c r="AV299" s="37" t="n">
        <f aca="false">0.5*(B299-B298)*(S299+S298)</f>
        <v>3.65712375529049E-010</v>
      </c>
      <c r="AW299" s="37" t="n">
        <f aca="false">0.5*(B299-B298)*(T299+T298)</f>
        <v>8.66511532372749E-010</v>
      </c>
      <c r="AX299" s="37" t="n">
        <f aca="false">0.5*(B299-B298)*(U299+U298)</f>
        <v>6.59279095470577E-010</v>
      </c>
      <c r="AY299" s="37" t="n">
        <f aca="false">0.5*(B299-B298)*(V299+V298)</f>
        <v>7.45051673062603E-012</v>
      </c>
      <c r="AZ299" s="37" t="n">
        <f aca="false">0.5*(B299-B298)*(W299+W298)</f>
        <v>8.10921581358299E-012</v>
      </c>
      <c r="BA299" s="37" t="n">
        <f aca="false">0.5*(B299-B298)*(X299+X298)</f>
        <v>4.73434419181533E-010</v>
      </c>
      <c r="BB299" s="37" t="n">
        <f aca="false">0.5*(B299-B298)*(Y299+Y298)</f>
        <v>1.23123450960058E-012</v>
      </c>
      <c r="BC299" s="37" t="n">
        <f aca="false">0.5*(B299-B298)*(Z299+Z298)</f>
        <v>4.63080357323718E-010</v>
      </c>
      <c r="BD299" s="37" t="n">
        <f aca="false">0.5*(B299-B298)*(AA299+AA298)</f>
        <v>2.84480874693144E-009</v>
      </c>
      <c r="BE299" s="37" t="n">
        <f aca="false">IF(B299&gt;2000,AK299,-999)</f>
        <v>0.674780278722908</v>
      </c>
      <c r="BF299" s="37" t="n">
        <f aca="false">IF(AND(B299&lt;1000,AK299&gt;=-3),B299,1000000000)</f>
        <v>1000000000</v>
      </c>
    </row>
    <row r="300" customFormat="false" ht="15" hidden="false" customHeight="false" outlineLevel="0" collapsed="false">
      <c r="A300" s="5" t="n">
        <v>261</v>
      </c>
      <c r="B300" s="47" t="n">
        <f aca="false">20*10^(A300/100)</f>
        <v>8147.60555608225</v>
      </c>
      <c r="C300" s="37" t="n">
        <f aca="false">2*PI()*B300</f>
        <v>51192.9155186708</v>
      </c>
      <c r="D300" s="37" t="n">
        <f aca="false">SQRT(L_Rp0^2+L_Rp1^2*C300)</f>
        <v>123850253.205882</v>
      </c>
      <c r="E300" s="5" t="str">
        <f aca="false">COMPLEX(D300,C300*L_Mp)</f>
        <v>123850253.205882+756258564.285844i</v>
      </c>
      <c r="F300" s="5" t="str">
        <f aca="false">IMDIV(1,E300)</f>
        <v>2.10892975289431e-10-1.28776174922492e-09i</v>
      </c>
      <c r="G300" s="5" t="str">
        <f aca="false">COMPLEX(0,C300*L_Cf)</f>
        <v>5.4132299374718e-11i</v>
      </c>
      <c r="H300" s="5" t="str">
        <f aca="false">COMPLEX(0,C300*L_Cbv)</f>
        <v>5.4132299374718e-10i</v>
      </c>
      <c r="I300" s="5" t="str">
        <f aca="false">COMPLEX(L_Rsq+L_Rh,C300*(L_Md+L_Mh)-1/(C300*L_Cd))</f>
        <v>552400610.124532-22309795107.2159i</v>
      </c>
      <c r="J300" s="5" t="str">
        <f aca="false">IMDIV(1,I300)</f>
        <v>1.10916666919738e-12+4.47958975352473e-11i</v>
      </c>
      <c r="K300" s="5" t="str">
        <f aca="false">IMSUM(F300,G300,H300)</f>
        <v>2.10892975289431e-10-6.92306456103022e-10i</v>
      </c>
      <c r="L300" s="5" t="str">
        <f aca="false">IMSUM(IMPRODUCT(IMSUM(F300,G300),H300),IMPRODUCT(IMSUM(J300,L_Yv),K300))</f>
        <v>6.99460177447716e-19+1.21455860697708e-19i</v>
      </c>
      <c r="M300" s="37" t="n">
        <f aca="false">IMABS(IMDIV(IMPRODUCT(J300,F300,H300),L300))^2</f>
        <v>1.98789608969723E-021</v>
      </c>
      <c r="N300" s="5" t="str">
        <f aca="false">IMDIV(IMPRODUCT(L_Yv,K300,E300),H300)</f>
        <v>0.000272470557052938-0.00203088300802516i</v>
      </c>
      <c r="O300" s="37" t="n">
        <f aca="false">IMABS(IMSUM(1,IMPRODUCT(E300,G300),N300))^2</f>
        <v>0.92034443842314</v>
      </c>
      <c r="P300" s="37" t="n">
        <f aca="false">IMABS(N300)^2</f>
        <v>4.19872599674606E-006</v>
      </c>
      <c r="Q300" s="37" t="n">
        <f aca="false">p_Rb^2/(1+(C300*p_Rb*L_Ctot)^2)</f>
        <v>62900304338667.4</v>
      </c>
      <c r="R300" s="37" t="n">
        <f aca="false">M300*L_Kt^2*Q300</f>
        <v>2.50948064987161E-005</v>
      </c>
      <c r="S300" s="37" t="n">
        <f aca="false">L_kT4*D300</f>
        <v>2.03927120297174E-012</v>
      </c>
      <c r="T300" s="37" t="n">
        <f aca="false">L_kT4*L_Rsq*O300</f>
        <v>4.75403126667619E-012</v>
      </c>
      <c r="U300" s="37" t="n">
        <f aca="false">L_kT4*L_Rh*O300</f>
        <v>3.61707065196319E-012</v>
      </c>
      <c r="V300" s="37" t="n">
        <f aca="false">L_kT4*p_Rv*P300</f>
        <v>3.45673133186875E-014</v>
      </c>
      <c r="W300" s="37" t="n">
        <f aca="false">L_kT4/p_Rb*Q300/R300</f>
        <v>4.12711892216595E-014</v>
      </c>
      <c r="X300" s="37" t="n">
        <f aca="false">p_en^2*(1+p_fc/B300)/R300</f>
        <v>2.58163006183506E-012</v>
      </c>
      <c r="Y300" s="37" t="n">
        <f aca="false">p_in^2*Q300/R300</f>
        <v>6.26626712003992E-015</v>
      </c>
      <c r="Z300" s="37" t="n">
        <f aca="false">p_eo^2/L_G^2/R300</f>
        <v>2.52624891535578E-012</v>
      </c>
      <c r="AA300" s="37" t="n">
        <f aca="false">SUM(S300:Z300)</f>
        <v>1.56003568684624E-011</v>
      </c>
      <c r="AB300" s="47" t="n">
        <f aca="false">10*LOG10(AA300/L_PREF^2)</f>
        <v>-14.0892545808688</v>
      </c>
      <c r="AC300" s="47" t="n">
        <f aca="false">10*LOG10(S300/L_PREF^2)</f>
        <v>-22.9258500482308</v>
      </c>
      <c r="AD300" s="47" t="n">
        <f aca="false">10*LOG10(T300/L_PREF^2)</f>
        <v>-19.2499795762527</v>
      </c>
      <c r="AE300" s="47" t="n">
        <f aca="false">10*LOG10(U300/L_PREF^2)</f>
        <v>-20.4370299944274</v>
      </c>
      <c r="AF300" s="47" t="n">
        <f aca="false">10*LOG10(V300/L_PREF^2)</f>
        <v>-40.633943652195</v>
      </c>
      <c r="AG300" s="47" t="n">
        <f aca="false">10*LOG10(W300/L_PREF^2)</f>
        <v>-39.8641300815534</v>
      </c>
      <c r="AH300" s="47" t="n">
        <f aca="false">10*LOG10(X300/L_PREF^2)</f>
        <v>-21.9016598175321</v>
      </c>
      <c r="AI300" s="47" t="n">
        <f aca="false">10*LOG10(Y300/L_PREF^2)</f>
        <v>-48.0505108717125</v>
      </c>
      <c r="AJ300" s="47" t="n">
        <f aca="false">10*LOG10(Z300/L_PREF^2)</f>
        <v>-21.9958385126877</v>
      </c>
      <c r="AK300" s="47" t="n">
        <f aca="false">10*LOG10(R300/$R$6)</f>
        <v>0.708129466261687</v>
      </c>
      <c r="AL300" s="37" t="n">
        <f aca="false">(12194^2*B300^4/((B300^2+20.6^2)*SQRT((B300^2+107.7^2)*(B300^2+737.9^2))*(B300^2+12194^2))*1.2589254)^2</f>
        <v>0.751220189387046</v>
      </c>
      <c r="AM300" s="37" t="n">
        <f aca="false">0.5*(B300-B299)*(S300*AL300+S299*AL299)</f>
        <v>2.8706143892875E-010</v>
      </c>
      <c r="AN300" s="37" t="n">
        <f aca="false">0.5*(B300-B299)*(T300*AL300+T299*AL299)</f>
        <v>6.72914720528636E-010</v>
      </c>
      <c r="AO300" s="37" t="n">
        <f aca="false">0.5*(B300-B299)*(U300*AL300+U299*AL299)</f>
        <v>5.11982347267959E-010</v>
      </c>
      <c r="AP300" s="37" t="n">
        <f aca="false">0.5*(B300-B299)*(V300*AL300+V299*AL299)</f>
        <v>5.18857831807781E-012</v>
      </c>
      <c r="AQ300" s="37" t="n">
        <f aca="false">0.5*(B300-B299)*(W300*AL300+W299*AL299)</f>
        <v>5.99357553730494E-012</v>
      </c>
      <c r="AR300" s="37" t="n">
        <f aca="false">0.5*(B300-B299)*(X300*AL300+X299*AL299)</f>
        <v>3.66187956262695E-010</v>
      </c>
      <c r="AS300" s="37" t="n">
        <f aca="false">0.5*(B300-B299)*(Y300*AL300+Y299*AL299)</f>
        <v>9.10013644607534E-013</v>
      </c>
      <c r="AT300" s="37" t="n">
        <f aca="false">0.5*(B300-B299)*(Z300*AL300+Z299*AL299)</f>
        <v>3.58281004548469E-010</v>
      </c>
      <c r="AU300" s="37" t="n">
        <f aca="false">0.5*(B300-B299)*(AA300*AL300+AA299*AL299)</f>
        <v>2.2085196350365E-009</v>
      </c>
      <c r="AV300" s="37" t="n">
        <f aca="false">0.5*(B300-B299)*(S300+S299)</f>
        <v>3.76875000456733E-010</v>
      </c>
      <c r="AW300" s="37" t="n">
        <f aca="false">0.5*(B300-B299)*(T300+T299)</f>
        <v>8.83384653517862E-010</v>
      </c>
      <c r="AX300" s="37" t="n">
        <f aca="false">0.5*(B300-B299)*(U300+U299)</f>
        <v>6.72116888887885E-010</v>
      </c>
      <c r="AY300" s="37" t="n">
        <f aca="false">0.5*(B300-B299)*(V300+V299)</f>
        <v>6.80615736504632E-012</v>
      </c>
      <c r="AZ300" s="37" t="n">
        <f aca="false">0.5*(B300-B299)*(W300+W299)</f>
        <v>7.86550166141024E-012</v>
      </c>
      <c r="BA300" s="37" t="n">
        <f aca="false">0.5*(B300-B299)*(X300+X299)</f>
        <v>4.80708173530814E-010</v>
      </c>
      <c r="BB300" s="37" t="n">
        <f aca="false">0.5*(B300-B299)*(Y300+Y299)</f>
        <v>1.19423102103508E-012</v>
      </c>
      <c r="BC300" s="37" t="n">
        <f aca="false">0.5*(B300-B299)*(Z300+Z299)</f>
        <v>4.70329347862879E-010</v>
      </c>
      <c r="BD300" s="37" t="n">
        <f aca="false">0.5*(B300-B299)*(AA300+AA299)</f>
        <v>2.89927995430366E-009</v>
      </c>
      <c r="BE300" s="37" t="n">
        <f aca="false">IF(B300&gt;2000,AK300,-999)</f>
        <v>0.708129466261687</v>
      </c>
      <c r="BF300" s="37" t="n">
        <f aca="false">IF(AND(B300&lt;1000,AK300&gt;=-3),B300,1000000000)</f>
        <v>1000000000</v>
      </c>
    </row>
    <row r="301" customFormat="false" ht="15" hidden="false" customHeight="false" outlineLevel="0" collapsed="false">
      <c r="A301" s="5" t="n">
        <v>262</v>
      </c>
      <c r="B301" s="47" t="n">
        <f aca="false">20*10^(A301/100)</f>
        <v>8337.38766940671</v>
      </c>
      <c r="C301" s="37" t="n">
        <f aca="false">2*PI()*B301</f>
        <v>52385.3517046765</v>
      </c>
      <c r="D301" s="37" t="n">
        <f aca="false">SQRT(L_Rp0^2+L_Rp1^2*C301)</f>
        <v>124737031.608532</v>
      </c>
      <c r="E301" s="5" t="str">
        <f aca="false">COMPLEX(D301,C301*L_Mp)</f>
        <v>124737031.608532+773874089.186009i</v>
      </c>
      <c r="F301" s="5" t="str">
        <f aca="false">IMDIV(1,E301)</f>
        <v>2.03009152581324e-10-1.25947780722681e-09i</v>
      </c>
      <c r="G301" s="5" t="str">
        <f aca="false">COMPLEX(0,C301*L_Cf)</f>
        <v>5.53932026061928e-11i</v>
      </c>
      <c r="H301" s="5" t="str">
        <f aca="false">COMPLEX(0,C301*L_Cbv)</f>
        <v>5.53932026061928e-10i</v>
      </c>
      <c r="I301" s="5" t="str">
        <f aca="false">COMPLEX(L_Rsq+L_Rh,C301*(L_Md+L_Mh)-1/(C301*L_Cd))</f>
        <v>552400610.124532-21793078269.2445i</v>
      </c>
      <c r="J301" s="5" t="str">
        <f aca="false">IMDIV(1,I301)</f>
        <v>1.16235302189046e-12+4.58566661916629e-11i</v>
      </c>
      <c r="K301" s="5" t="str">
        <f aca="false">IMSUM(F301,G301,H301)</f>
        <v>2.03009152581324e-10-6.50152578558689e-10i</v>
      </c>
      <c r="L301" s="5" t="str">
        <f aca="false">IMSUM(IMPRODUCT(IMSUM(F301,G301),H301),IMPRODUCT(IMSUM(J301,L_Yv),K301))</f>
        <v>6.97436840963228e-19+1.19706582170767e-19i</v>
      </c>
      <c r="M301" s="37" t="n">
        <f aca="false">IMABS(IMDIV(IMPRODUCT(J301,F301,H301),L301))^2</f>
        <v>2.09844698522356E-021</v>
      </c>
      <c r="N301" s="5" t="str">
        <f aca="false">IMDIV(IMPRODUCT(L_Yv,K301,E301),H301)</f>
        <v>0.000274421469538773-0.00190802830955046i</v>
      </c>
      <c r="O301" s="37" t="n">
        <f aca="false">IMABS(IMSUM(1,IMPRODUCT(E301,G301),N301))^2</f>
        <v>0.916653288838748</v>
      </c>
      <c r="P301" s="37" t="n">
        <f aca="false">IMABS(N301)^2</f>
        <v>3.71587917298981E-006</v>
      </c>
      <c r="Q301" s="37" t="n">
        <f aca="false">p_Rb^2/(1+(C301*p_Rb*L_Ctot)^2)</f>
        <v>60069324302089.4</v>
      </c>
      <c r="R301" s="37" t="n">
        <f aca="false">M301*L_Kt^2*Q301</f>
        <v>2.52981156484404E-005</v>
      </c>
      <c r="S301" s="37" t="n">
        <f aca="false">L_kT4*D301</f>
        <v>2.05387255915092E-012</v>
      </c>
      <c r="T301" s="37" t="n">
        <f aca="false">L_kT4*L_Rsq*O301</f>
        <v>4.73496466530221E-012</v>
      </c>
      <c r="U301" s="37" t="n">
        <f aca="false">L_kT4*L_Rh*O301</f>
        <v>3.60256396481834E-012</v>
      </c>
      <c r="V301" s="37" t="n">
        <f aca="false">L_kT4*p_Rv*P301</f>
        <v>3.05921271658758E-014</v>
      </c>
      <c r="W301" s="37" t="n">
        <f aca="false">L_kT4/p_Rb*Q301/R301</f>
        <v>3.909693037213E-014</v>
      </c>
      <c r="X301" s="37" t="n">
        <f aca="false">p_en^2*(1+p_fc/B301)/R301</f>
        <v>2.56017592116902E-012</v>
      </c>
      <c r="Y301" s="37" t="n">
        <f aca="false">p_in^2*Q301/R301</f>
        <v>5.93614610835577E-015</v>
      </c>
      <c r="Z301" s="37" t="n">
        <f aca="false">p_eo^2/L_G^2/R301</f>
        <v>2.50594663173472E-012</v>
      </c>
      <c r="AA301" s="37" t="n">
        <f aca="false">SUM(S301:Z301)</f>
        <v>1.55331489458216E-011</v>
      </c>
      <c r="AB301" s="47" t="n">
        <f aca="false">10*LOG10(AA301/L_PREF^2)</f>
        <v>-14.108004846551</v>
      </c>
      <c r="AC301" s="47" t="n">
        <f aca="false">10*LOG10(S301/L_PREF^2)</f>
        <v>-22.8948649879241</v>
      </c>
      <c r="AD301" s="47" t="n">
        <f aca="false">10*LOG10(T301/L_PREF^2)</f>
        <v>-19.2674324890135</v>
      </c>
      <c r="AE301" s="47" t="n">
        <f aca="false">10*LOG10(U301/L_PREF^2)</f>
        <v>-20.4544829071882</v>
      </c>
      <c r="AF301" s="47" t="n">
        <f aca="false">10*LOG10(V301/L_PREF^2)</f>
        <v>-41.164503154455</v>
      </c>
      <c r="AG301" s="47" t="n">
        <f aca="false">10*LOG10(W301/L_PREF^2)</f>
        <v>-40.0991733047373</v>
      </c>
      <c r="AH301" s="47" t="n">
        <f aca="false">10*LOG10(X301/L_PREF^2)</f>
        <v>-21.9379018266926</v>
      </c>
      <c r="AI301" s="47" t="n">
        <f aca="false">10*LOG10(Y301/L_PREF^2)</f>
        <v>-48.2855540948965</v>
      </c>
      <c r="AJ301" s="47" t="n">
        <f aca="false">10*LOG10(Z301/L_PREF^2)</f>
        <v>-22.0308817358839</v>
      </c>
      <c r="AK301" s="47" t="n">
        <f aca="false">10*LOG10(R301/$R$6)</f>
        <v>0.743172689457942</v>
      </c>
      <c r="AL301" s="37" t="n">
        <f aca="false">(12194^2*B301^4/((B301^2+20.6^2)*SQRT((B301^2+107.7^2)*(B301^2+737.9^2))*(B301^2+12194^2))*1.2589254)^2</f>
        <v>0.730106644506348</v>
      </c>
      <c r="AM301" s="37" t="n">
        <f aca="false">0.5*(B301-B300)*(S301*AL301+S300*AL300)</f>
        <v>2.87661071274127E-010</v>
      </c>
      <c r="AN301" s="37" t="n">
        <f aca="false">0.5*(B301-B300)*(T301*AL301+T300*AL300)</f>
        <v>6.66927883771778E-010</v>
      </c>
      <c r="AO301" s="37" t="n">
        <f aca="false">0.5*(B301-B300)*(U301*AL301+U300*AL300)</f>
        <v>5.07427305385269E-010</v>
      </c>
      <c r="AP301" s="37" t="n">
        <f aca="false">0.5*(B301-B300)*(V301*AL301+V300*AL300)</f>
        <v>4.58353969272711E-012</v>
      </c>
      <c r="AQ301" s="37" t="n">
        <f aca="false">0.5*(B301-B300)*(W301*AL301+W300*AL300)</f>
        <v>5.65063709476773E-012</v>
      </c>
      <c r="AR301" s="37" t="n">
        <f aca="false">0.5*(B301-B300)*(X301*AL301+X300*AL300)</f>
        <v>3.61399618365426E-010</v>
      </c>
      <c r="AS301" s="37" t="n">
        <f aca="false">0.5*(B301-B300)*(Y301*AL301+Y300*AL300)</f>
        <v>8.57944781868275E-013</v>
      </c>
      <c r="AT301" s="37" t="n">
        <f aca="false">0.5*(B301-B300)*(Z301*AL301+Z300*AL300)</f>
        <v>3.53694787204533E-010</v>
      </c>
      <c r="AU301" s="37" t="n">
        <f aca="false">0.5*(B301-B300)*(AA301*AL301+AA300*AL300)</f>
        <v>2.1882027875705E-009</v>
      </c>
      <c r="AV301" s="37" t="n">
        <f aca="false">0.5*(B301-B300)*(S301+S300)</f>
        <v>3.88402736658228E-010</v>
      </c>
      <c r="AW301" s="37" t="n">
        <f aca="false">0.5*(B301-B300)*(T301+T300)</f>
        <v>9.00420850649019E-010</v>
      </c>
      <c r="AX301" s="37" t="n">
        <f aca="false">0.5*(B301-B300)*(U301+U300)</f>
        <v>6.85078757501603E-010</v>
      </c>
      <c r="AY301" s="37" t="n">
        <f aca="false">0.5*(B301-B300)*(V301+V300)</f>
        <v>6.1830481590998E-012</v>
      </c>
      <c r="AZ301" s="37" t="n">
        <f aca="false">0.5*(B301-B300)*(W301+W300)</f>
        <v>7.62621579021104E-012</v>
      </c>
      <c r="BA301" s="37" t="n">
        <f aca="false">0.5*(B301-B300)*(X301+X300)</f>
        <v>4.87911402879426E-010</v>
      </c>
      <c r="BB301" s="37" t="n">
        <f aca="false">0.5*(B301-B300)*(Y301+Y300)</f>
        <v>1.15789988507162E-012</v>
      </c>
      <c r="BC301" s="37" t="n">
        <f aca="false">0.5*(B301-B300)*(Z301+Z300)</f>
        <v>4.77510352794378E-010</v>
      </c>
      <c r="BD301" s="37" t="n">
        <f aca="false">0.5*(B301-B300)*(AA301+AA300)</f>
        <v>2.95429126431704E-009</v>
      </c>
      <c r="BE301" s="37" t="n">
        <f aca="false">IF(B301&gt;2000,AK301,-999)</f>
        <v>0.743172689457942</v>
      </c>
      <c r="BF301" s="37" t="n">
        <f aca="false">IF(AND(B301&lt;1000,AK301&gt;=-3),B301,1000000000)</f>
        <v>1000000000</v>
      </c>
    </row>
    <row r="302" customFormat="false" ht="15" hidden="false" customHeight="false" outlineLevel="0" collapsed="false">
      <c r="A302" s="5" t="n">
        <v>263</v>
      </c>
      <c r="B302" s="47" t="n">
        <f aca="false">20*10^(A302/100)</f>
        <v>8531.59037603185</v>
      </c>
      <c r="C302" s="37" t="n">
        <f aca="false">2*PI()*B302</f>
        <v>53605.5632975581</v>
      </c>
      <c r="D302" s="37" t="n">
        <f aca="false">SQRT(L_Rp0^2+L_Rp1^2*C302)</f>
        <v>125637986.452441</v>
      </c>
      <c r="E302" s="5" t="str">
        <f aca="false">COMPLEX(D302,C302*L_Mp)</f>
        <v>125637986.452441+791899932.371694i</v>
      </c>
      <c r="F302" s="5" t="str">
        <f aca="false">IMDIV(1,E302)</f>
        <v>1.95426755752273e-10-1.23178060261597e-09i</v>
      </c>
      <c r="G302" s="5" t="str">
        <f aca="false">COMPLEX(0,C302*L_Cf)</f>
        <v>5.6683476046905e-11i</v>
      </c>
      <c r="H302" s="5" t="str">
        <f aca="false">COMPLEX(0,C302*L_Cbv)</f>
        <v>5.6683476046905e-10i</v>
      </c>
      <c r="I302" s="5" t="str">
        <f aca="false">COMPLEX(L_Rsq+L_Rh,C302*(L_Md+L_Mh)-1/(C302*L_Cd))</f>
        <v>552400610.124532-21287916409.837i</v>
      </c>
      <c r="J302" s="5" t="str">
        <f aca="false">IMDIV(1,I302)</f>
        <v>1.21813522686341e-12+4.69433965315499e-11i</v>
      </c>
      <c r="K302" s="5" t="str">
        <f aca="false">IMSUM(F302,G302,H302)</f>
        <v>1.95426755752273e-10-6.08262366100015e-10i</v>
      </c>
      <c r="L302" s="5" t="str">
        <f aca="false">IMSUM(IMPRODUCT(IMSUM(F302,G302),H302),IMPRODUCT(IMSUM(J302,L_Yv),K302))</f>
        <v>6.95268709440658e-19+1.17991203426715e-19i</v>
      </c>
      <c r="M302" s="37" t="n">
        <f aca="false">IMABS(IMDIV(IMPRODUCT(J302,F302,H302),L302))^2</f>
        <v>2.21605734356718E-021</v>
      </c>
      <c r="N302" s="5" t="str">
        <f aca="false">IMDIV(IMPRODUCT(L_Yv,K302,E302),H302)</f>
        <v>0.000276403570195369-0.00178618527294124i</v>
      </c>
      <c r="O302" s="37" t="n">
        <f aca="false">IMABS(IMSUM(1,IMPRODUCT(E302,G302),N302))^2</f>
        <v>0.912796154562374</v>
      </c>
      <c r="P302" s="37" t="n">
        <f aca="false">IMABS(N302)^2</f>
        <v>3.26685676288891E-006</v>
      </c>
      <c r="Q302" s="37" t="n">
        <f aca="false">p_Rb^2/(1+(C302*p_Rb*L_Ctot)^2)</f>
        <v>57365759355967.7</v>
      </c>
      <c r="R302" s="37" t="n">
        <f aca="false">M302*L_Kt^2*Q302</f>
        <v>2.55135661382009E-005</v>
      </c>
      <c r="S302" s="37" t="n">
        <f aca="false">L_kT4*D302</f>
        <v>2.06870733922446E-012</v>
      </c>
      <c r="T302" s="37" t="n">
        <f aca="false">L_kT4*L_Rsq*O302</f>
        <v>4.71504067143197E-012</v>
      </c>
      <c r="U302" s="37" t="n">
        <f aca="false">L_kT4*L_Rh*O302</f>
        <v>3.58740493673136E-012</v>
      </c>
      <c r="V302" s="37" t="n">
        <f aca="false">L_kT4*p_Rv*P302</f>
        <v>2.68954109836103E-014</v>
      </c>
      <c r="W302" s="37" t="n">
        <f aca="false">L_kT4/p_Rb*Q302/R302</f>
        <v>3.70219822646049E-014</v>
      </c>
      <c r="X302" s="37" t="n">
        <f aca="false">p_en^2*(1+p_fc/B302)/R302</f>
        <v>2.53787153352715E-012</v>
      </c>
      <c r="Y302" s="37" t="n">
        <f aca="false">p_in^2*Q302/R302</f>
        <v>5.62110359692869E-015</v>
      </c>
      <c r="Z302" s="37" t="n">
        <f aca="false">p_eo^2/L_G^2/R302</f>
        <v>2.48478504945349E-012</v>
      </c>
      <c r="AA302" s="37" t="n">
        <f aca="false">SUM(S302:Z302)</f>
        <v>1.54633480272136E-011</v>
      </c>
      <c r="AB302" s="47" t="n">
        <f aca="false">10*LOG10(AA302/L_PREF^2)</f>
        <v>-14.1275646084501</v>
      </c>
      <c r="AC302" s="47" t="n">
        <f aca="false">10*LOG10(S302/L_PREF^2)</f>
        <v>-22.8636093611412</v>
      </c>
      <c r="AD302" s="47" t="n">
        <f aca="false">10*LOG10(T302/L_PREF^2)</f>
        <v>-19.2857454806113</v>
      </c>
      <c r="AE302" s="47" t="n">
        <f aca="false">10*LOG10(U302/L_PREF^2)</f>
        <v>-20.472795898786</v>
      </c>
      <c r="AF302" s="47" t="n">
        <f aca="false">10*LOG10(V302/L_PREF^2)</f>
        <v>-41.7238180628882</v>
      </c>
      <c r="AG302" s="47" t="n">
        <f aca="false">10*LOG10(W302/L_PREF^2)</f>
        <v>-40.3360032289887</v>
      </c>
      <c r="AH302" s="47" t="n">
        <f aca="false">10*LOG10(X302/L_PREF^2)</f>
        <v>-21.9759035689959</v>
      </c>
      <c r="AI302" s="47" t="n">
        <f aca="false">10*LOG10(Y302/L_PREF^2)</f>
        <v>-48.5223840191478</v>
      </c>
      <c r="AJ302" s="47" t="n">
        <f aca="false">10*LOG10(Z302/L_PREF^2)</f>
        <v>-22.0677116601471</v>
      </c>
      <c r="AK302" s="47" t="n">
        <f aca="false">10*LOG10(R302/$R$6)</f>
        <v>0.780002613721053</v>
      </c>
      <c r="AL302" s="37" t="n">
        <f aca="false">(12194^2*B302^4/((B302^2+20.6^2)*SQRT((B302^2+107.7^2)*(B302^2+737.9^2))*(B302^2+12194^2))*1.2589254)^2</f>
        <v>0.708921628155343</v>
      </c>
      <c r="AM302" s="37" t="n">
        <f aca="false">0.5*(B302-B301)*(S302*AL302+S301*AL301)</f>
        <v>2.88012069412626E-010</v>
      </c>
      <c r="AN302" s="37" t="n">
        <f aca="false">0.5*(B302-B301)*(T302*AL302+T301*AL301)</f>
        <v>6.6025264126851E-010</v>
      </c>
      <c r="AO302" s="37" t="n">
        <f aca="false">0.5*(B302-B301)*(U302*AL302+U301*AL301)</f>
        <v>5.0234849491918E-010</v>
      </c>
      <c r="AP302" s="37" t="n">
        <f aca="false">0.5*(B302-B301)*(V302*AL302+V301*AL301)</f>
        <v>4.0202148797827E-012</v>
      </c>
      <c r="AQ302" s="37" t="n">
        <f aca="false">0.5*(B302-B301)*(W302*AL302+W301*AL301)</f>
        <v>5.32024263122212E-012</v>
      </c>
      <c r="AR302" s="37" t="n">
        <f aca="false">0.5*(B302-B301)*(X302*AL302+X301*AL301)</f>
        <v>3.56202086438479E-010</v>
      </c>
      <c r="AS302" s="37" t="n">
        <f aca="false">0.5*(B302-B301)*(Y302*AL302+Y301*AL301)</f>
        <v>8.07780490443578E-013</v>
      </c>
      <c r="AT302" s="37" t="n">
        <f aca="false">0.5*(B302-B301)*(Z302*AL302+Z301*AL301)</f>
        <v>3.48703209030906E-010</v>
      </c>
      <c r="AU302" s="37" t="n">
        <f aca="false">0.5*(B302-B301)*(AA302*AL302+AA301*AL301)</f>
        <v>2.16566673907115E-009</v>
      </c>
      <c r="AV302" s="37" t="n">
        <f aca="false">0.5*(B302-B301)*(S302+S301)</f>
        <v>4.00308087271449E-010</v>
      </c>
      <c r="AW302" s="37" t="n">
        <f aca="false">0.5*(B302-B301)*(T302+T301)</f>
        <v>9.17608307007904E-010</v>
      </c>
      <c r="AX302" s="37" t="n">
        <f aca="false">0.5*(B302-B301)*(U302+U301)</f>
        <v>6.98155710615773E-010</v>
      </c>
      <c r="AY302" s="37" t="n">
        <f aca="false">0.5*(B302-B301)*(V302+V301)</f>
        <v>5.58211775292313E-012</v>
      </c>
      <c r="AZ302" s="37" t="n">
        <f aca="false">0.5*(B302-B301)*(W302+W301)</f>
        <v>7.3912494297083E-012</v>
      </c>
      <c r="BA302" s="37" t="n">
        <f aca="false">0.5*(B302-B301)*(X302+X301)</f>
        <v>4.95027307102704E-010</v>
      </c>
      <c r="BB302" s="37" t="n">
        <f aca="false">0.5*(B302-B301)*(Y302+Y301)</f>
        <v>1.12222458695443E-012</v>
      </c>
      <c r="BC302" s="37" t="n">
        <f aca="false">0.5*(B302-B301)*(Z302+Z301)</f>
        <v>4.84606800263296E-010</v>
      </c>
      <c r="BD302" s="37" t="n">
        <f aca="false">0.5*(B302-B301)*(AA302+AA301)</f>
        <v>3.00980180403071E-009</v>
      </c>
      <c r="BE302" s="37" t="n">
        <f aca="false">IF(B302&gt;2000,AK302,-999)</f>
        <v>0.780002613721053</v>
      </c>
      <c r="BF302" s="37" t="n">
        <f aca="false">IF(AND(B302&lt;1000,AK302&gt;=-3),B302,1000000000)</f>
        <v>1000000000</v>
      </c>
    </row>
    <row r="303" customFormat="false" ht="15" hidden="false" customHeight="false" outlineLevel="0" collapsed="false">
      <c r="A303" s="5" t="n">
        <v>264</v>
      </c>
      <c r="B303" s="47" t="n">
        <f aca="false">20*10^(A303/100)</f>
        <v>8730.31664480332</v>
      </c>
      <c r="C303" s="37" t="n">
        <f aca="false">2*PI()*B303</f>
        <v>54854.1972696536</v>
      </c>
      <c r="D303" s="37" t="n">
        <f aca="false">SQRT(L_Rp0^2+L_Rp1^2*C303)</f>
        <v>126553287.506884</v>
      </c>
      <c r="E303" s="5" t="str">
        <f aca="false">COMPLEX(D303,C303*L_Mp)</f>
        <v>126553287.506884+810345651.383558i</v>
      </c>
      <c r="F303" s="5" t="str">
        <f aca="false">IMDIV(1,E303)</f>
        <v>1.88134143904343e-10-1.20466001629045e-09i</v>
      </c>
      <c r="G303" s="5" t="str">
        <f aca="false">COMPLEX(0,C303*L_Cf)</f>
        <v>5.80038038169119e-11i</v>
      </c>
      <c r="H303" s="5" t="str">
        <f aca="false">COMPLEX(0,C303*L_Cbv)</f>
        <v>5.80038038169119e-10i</v>
      </c>
      <c r="I303" s="5" t="str">
        <f aca="false">COMPLEX(L_Rsq+L_Rh,C303*(L_Md+L_Mh)-1/(C303*L_Cd))</f>
        <v>552400610.124532-20794041685.4889i</v>
      </c>
      <c r="J303" s="5" t="str">
        <f aca="false">IMDIV(1,I303)</f>
        <v>1.2766444108432e-12+4.80567845329412e-11i</v>
      </c>
      <c r="K303" s="5" t="str">
        <f aca="false">IMSUM(F303,G303,H303)</f>
        <v>1.88134143904343e-10-5.66618174304419e-10i</v>
      </c>
      <c r="L303" s="5" t="str">
        <f aca="false">IMSUM(IMPRODUCT(IMSUM(F303,G303),H303),IMPRODUCT(IMSUM(J303,L_Yv),K303))</f>
        <v>6.92950516143694e-19+1.16309475485886e-19i</v>
      </c>
      <c r="M303" s="37" t="n">
        <f aca="false">IMABS(IMDIV(IMPRODUCT(J303,F303,H303),L303))^2</f>
        <v>2.34127538822251E-021</v>
      </c>
      <c r="N303" s="5" t="str">
        <f aca="false">IMDIV(IMPRODUCT(L_Yv,K303,E303),H303)</f>
        <v>0.000278417232515145-0.00166528929540669i</v>
      </c>
      <c r="O303" s="37" t="n">
        <f aca="false">IMABS(IMSUM(1,IMPRODUCT(E303,G303),N303))^2</f>
        <v>0.908765981726674</v>
      </c>
      <c r="P303" s="37" t="n">
        <f aca="false">IMABS(N303)^2</f>
        <v>2.8507045927575E-006</v>
      </c>
      <c r="Q303" s="37" t="n">
        <f aca="false">p_Rb^2/(1+(C303*p_Rb*L_Ctot)^2)</f>
        <v>54783874876580.4</v>
      </c>
      <c r="R303" s="37" t="n">
        <f aca="false">M303*L_Kt^2*Q303</f>
        <v>2.57420228593189E-005</v>
      </c>
      <c r="S303" s="37" t="n">
        <f aca="false">L_kT4*D303</f>
        <v>2.08377833854872E-012</v>
      </c>
      <c r="T303" s="37" t="n">
        <f aca="false">L_kT4*L_Rsq*O303</f>
        <v>4.69422284837449E-012</v>
      </c>
      <c r="U303" s="37" t="n">
        <f aca="false">L_kT4*L_Rh*O303</f>
        <v>3.57156584510679E-012</v>
      </c>
      <c r="V303" s="37" t="n">
        <f aca="false">L_kT4*p_Rv*P303</f>
        <v>2.34693092412407E-014</v>
      </c>
      <c r="W303" s="37" t="n">
        <f aca="false">L_kT4/p_Rb*Q303/R303</f>
        <v>3.50419417056181E-014</v>
      </c>
      <c r="X303" s="37" t="n">
        <f aca="false">p_en^2*(1+p_fc/B303)/R303</f>
        <v>2.51468495707017E-012</v>
      </c>
      <c r="Y303" s="37" t="n">
        <f aca="false">p_in^2*Q303/R303</f>
        <v>5.32047104223087E-015</v>
      </c>
      <c r="Z303" s="37" t="n">
        <f aca="false">p_eo^2/L_G^2/R303</f>
        <v>2.46273294235285E-012</v>
      </c>
      <c r="AA303" s="37" t="n">
        <f aca="false">SUM(S303:Z303)</f>
        <v>1.53908166534421E-011</v>
      </c>
      <c r="AB303" s="47" t="n">
        <f aca="false">10*LOG10(AA303/L_PREF^2)</f>
        <v>-14.1479832674835</v>
      </c>
      <c r="AC303" s="47" t="n">
        <f aca="false">10*LOG10(S303/L_PREF^2)</f>
        <v>-22.8320847222116</v>
      </c>
      <c r="AD303" s="47" t="n">
        <f aca="false">10*LOG10(T303/L_PREF^2)</f>
        <v>-19.3049628835724</v>
      </c>
      <c r="AE303" s="47" t="n">
        <f aca="false">10*LOG10(U303/L_PREF^2)</f>
        <v>-20.4920133017471</v>
      </c>
      <c r="AF303" s="47" t="n">
        <f aca="false">10*LOG10(V303/L_PREF^2)</f>
        <v>-42.3155968388242</v>
      </c>
      <c r="AG303" s="47" t="n">
        <f aca="false">10*LOG10(W303/L_PREF^2)</f>
        <v>-40.5747182851595</v>
      </c>
      <c r="AH303" s="47" t="n">
        <f aca="false">10*LOG10(X303/L_PREF^2)</f>
        <v>-22.0157640749316</v>
      </c>
      <c r="AI303" s="47" t="n">
        <f aca="false">10*LOG10(Y303/L_PREF^2)</f>
        <v>-48.7610990753186</v>
      </c>
      <c r="AJ303" s="47" t="n">
        <f aca="false">10*LOG10(Z303/L_PREF^2)</f>
        <v>-22.106426716329</v>
      </c>
      <c r="AK303" s="47" t="n">
        <f aca="false">10*LOG10(R303/$R$6)</f>
        <v>0.818717669903033</v>
      </c>
      <c r="AL303" s="37" t="n">
        <f aca="false">(12194^2*B303^4/((B303^2+20.6^2)*SQRT((B303^2+107.7^2)*(B303^2+737.9^2))*(B303^2+12194^2))*1.2589254)^2</f>
        <v>0.687696479987934</v>
      </c>
      <c r="AM303" s="37" t="n">
        <f aca="false">0.5*(B303-B302)*(S303*AL303+S302*AL302)</f>
        <v>2.88109211315697E-010</v>
      </c>
      <c r="AN303" s="37" t="n">
        <f aca="false">0.5*(B303-B302)*(T303*AL303+T302*AL302)</f>
        <v>6.52894770580467E-010</v>
      </c>
      <c r="AO303" s="37" t="n">
        <f aca="false">0.5*(B303-B302)*(U303*AL303+U302*AL302)</f>
        <v>4.96750311686097E-010</v>
      </c>
      <c r="AP303" s="37" t="n">
        <f aca="false">0.5*(B303-B302)*(V303*AL303+V302*AL302)</f>
        <v>3.49822818055255E-012</v>
      </c>
      <c r="AQ303" s="37" t="n">
        <f aca="false">0.5*(B303-B302)*(W303*AL303+W302*AL302)</f>
        <v>5.00232808945931E-012</v>
      </c>
      <c r="AR303" s="37" t="n">
        <f aca="false">0.5*(B303-B302)*(X303*AL303+X302*AL302)</f>
        <v>3.50602026052102E-010</v>
      </c>
      <c r="AS303" s="37" t="n">
        <f aca="false">0.5*(B303-B302)*(Y303*AL303+Y302*AL302)</f>
        <v>7.5951104443049E-013</v>
      </c>
      <c r="AT303" s="37" t="n">
        <f aca="false">0.5*(B303-B302)*(Z303*AL303+Z302*AL302)</f>
        <v>3.43312609951661E-010</v>
      </c>
      <c r="AU303" s="37" t="n">
        <f aca="false">0.5*(B303-B302)*(AA303*AL303+AA302*AL302)</f>
        <v>2.14092899690047E-009</v>
      </c>
      <c r="AV303" s="37" t="n">
        <f aca="false">0.5*(B303-B302)*(S303+S302)</f>
        <v>4.1260399243542E-010</v>
      </c>
      <c r="AW303" s="37" t="n">
        <f aca="false">0.5*(B303-B302)*(T303+T302)</f>
        <v>9.34933915589333E-010</v>
      </c>
      <c r="AX303" s="37" t="n">
        <f aca="false">0.5*(B303-B302)*(U303+U302)</f>
        <v>7.11337775859341E-010</v>
      </c>
      <c r="AY303" s="37" t="n">
        <f aca="false">0.5*(B303-B302)*(V303+V302)</f>
        <v>5.00439646400187E-012</v>
      </c>
      <c r="AZ303" s="37" t="n">
        <f aca="false">0.5*(B303-B302)*(W303+W302)</f>
        <v>7.16049736181672E-012</v>
      </c>
      <c r="BA303" s="37" t="n">
        <f aca="false">0.5*(B303-B302)*(X303+X302)</f>
        <v>5.02037849566744E-010</v>
      </c>
      <c r="BB303" s="37" t="n">
        <f aca="false">0.5*(B303-B302)*(Y303+Y302)</f>
        <v>1.08718915126237E-012</v>
      </c>
      <c r="BC303" s="37" t="n">
        <f aca="false">0.5*(B303-B302)*(Z303+Z302)</f>
        <v>4.916008950957E-010</v>
      </c>
      <c r="BD303" s="37" t="n">
        <f aca="false">0.5*(B303-B302)*(AA303+AA302)</f>
        <v>3.06576651152362E-009</v>
      </c>
      <c r="BE303" s="37" t="n">
        <f aca="false">IF(B303&gt;2000,AK303,-999)</f>
        <v>0.818717669903033</v>
      </c>
      <c r="BF303" s="37" t="n">
        <f aca="false">IF(AND(B303&lt;1000,AK303&gt;=-3),B303,1000000000)</f>
        <v>1000000000</v>
      </c>
    </row>
    <row r="304" customFormat="false" ht="15" hidden="false" customHeight="false" outlineLevel="0" collapsed="false">
      <c r="A304" s="5" t="n">
        <v>265</v>
      </c>
      <c r="B304" s="47" t="n">
        <f aca="false">20*10^(A304/100)</f>
        <v>8933.67184301926</v>
      </c>
      <c r="C304" s="37" t="n">
        <f aca="false">2*PI()*B304</f>
        <v>56131.9156632226</v>
      </c>
      <c r="D304" s="37" t="n">
        <f aca="false">SQRT(L_Rp0^2+L_Rp1^2*C304)</f>
        <v>127483105.78683</v>
      </c>
      <c r="E304" s="5" t="str">
        <f aca="false">COMPLEX(D304,C304*L_Mp)</f>
        <v>127483105.78683+829221026.385977i</v>
      </c>
      <c r="F304" s="5" t="str">
        <f aca="false">IMDIV(1,E304)</f>
        <v>1.81120116052323e-10-1.17810597416093e-09i</v>
      </c>
      <c r="G304" s="5" t="str">
        <f aca="false">COMPLEX(0,C304*L_Cf)</f>
        <v>5.93548859714736e-11i</v>
      </c>
      <c r="H304" s="5" t="str">
        <f aca="false">COMPLEX(0,C304*L_Cbv)</f>
        <v>5.93548859714736e-10i</v>
      </c>
      <c r="I304" s="5" t="str">
        <f aca="false">COMPLEX(L_Rsq+L_Rh,C304*(L_Md+L_Mh)-1/(C304*L_Cd))</f>
        <v>552400610.124532-20311192237.2841i</v>
      </c>
      <c r="J304" s="5" t="str">
        <f aca="false">IMDIV(1,I304)</f>
        <v>1.3380187548217e-12+4.91975491123161e-11i</v>
      </c>
      <c r="K304" s="5" t="str">
        <f aca="false">IMSUM(F304,G304,H304)</f>
        <v>1.81120116052323e-10-5.25202228474721e-10i</v>
      </c>
      <c r="L304" s="5" t="str">
        <f aca="false">IMSUM(IMPRODUCT(IMSUM(F304,G304),H304),IMPRODUCT(IMSUM(J304,L_Yv),K304))</f>
        <v>6.90476677473015e-19+1.14661169270247e-19i</v>
      </c>
      <c r="M304" s="37" t="n">
        <f aca="false">IMABS(IMDIV(IMPRODUCT(J304,F304,H304),L304))^2</f>
        <v>2.4747024118079E-021</v>
      </c>
      <c r="N304" s="5" t="str">
        <f aca="false">IMDIV(IMPRODUCT(L_Yv,K304,E304),H304)</f>
        <v>0.000280462832731027-0.00154527627629927i</v>
      </c>
      <c r="O304" s="37" t="n">
        <f aca="false">IMABS(IMSUM(1,IMPRODUCT(E304,G304),N304))^2</f>
        <v>0.904555458632859</v>
      </c>
      <c r="P304" s="37" t="n">
        <f aca="false">IMABS(N304)^2</f>
        <v>2.46653817063685E-006</v>
      </c>
      <c r="Q304" s="37" t="n">
        <f aca="false">p_Rb^2/(1+(C304*p_Rb*L_Ctot)^2)</f>
        <v>52318194340789.4</v>
      </c>
      <c r="R304" s="37" t="n">
        <f aca="false">M304*L_Kt^2*Q304</f>
        <v>2.59844275430127E-005</v>
      </c>
      <c r="S304" s="37" t="n">
        <f aca="false">L_kT4*D304</f>
        <v>2.09908837299119E-012</v>
      </c>
      <c r="T304" s="37" t="n">
        <f aca="false">L_kT4*L_Rsq*O304</f>
        <v>4.67247342761268E-012</v>
      </c>
      <c r="U304" s="37" t="n">
        <f aca="false">L_kT4*L_Rh*O304</f>
        <v>3.5550179540388E-012</v>
      </c>
      <c r="V304" s="37" t="n">
        <f aca="false">L_kT4*p_Rv*P304</f>
        <v>2.03065400845358E-014</v>
      </c>
      <c r="W304" s="37" t="n">
        <f aca="false">L_kT4/p_Rb*Q304/R304</f>
        <v>3.31526066647161E-014</v>
      </c>
      <c r="X304" s="37" t="n">
        <f aca="false">p_en^2*(1+p_fc/B304)/R304</f>
        <v>2.49058366428181E-012</v>
      </c>
      <c r="Y304" s="37" t="n">
        <f aca="false">p_in^2*Q304/R304</f>
        <v>5.03361044361913E-015</v>
      </c>
      <c r="Z304" s="37" t="n">
        <f aca="false">p_eo^2/L_G^2/R304</f>
        <v>2.43975848971481E-012</v>
      </c>
      <c r="AA304" s="37" t="n">
        <f aca="false">SUM(S304:Z304)</f>
        <v>1.53154146658322E-011</v>
      </c>
      <c r="AB304" s="47" t="n">
        <f aca="false">10*LOG10(AA304/L_PREF^2)</f>
        <v>-14.169312314753</v>
      </c>
      <c r="AC304" s="47" t="n">
        <f aca="false">10*LOG10(S304/L_PREF^2)</f>
        <v>-22.8002926827939</v>
      </c>
      <c r="AD304" s="47" t="n">
        <f aca="false">10*LOG10(T304/L_PREF^2)</f>
        <v>-19.3251315110566</v>
      </c>
      <c r="AE304" s="47" t="n">
        <f aca="false">10*LOG10(U304/L_PREF^2)</f>
        <v>-20.5121819292314</v>
      </c>
      <c r="AF304" s="47" t="n">
        <f aca="false">10*LOG10(V304/L_PREF^2)</f>
        <v>-42.9442405857792</v>
      </c>
      <c r="AG304" s="47" t="n">
        <f aca="false">10*LOG10(W304/L_PREF^2)</f>
        <v>-40.8154231030372</v>
      </c>
      <c r="AH304" s="47" t="n">
        <f aca="false">10*LOG10(X304/L_PREF^2)</f>
        <v>-22.0575885609047</v>
      </c>
      <c r="AI304" s="47" t="n">
        <f aca="false">10*LOG10(Y304/L_PREF^2)</f>
        <v>-49.0018038931964</v>
      </c>
      <c r="AJ304" s="47" t="n">
        <f aca="false">10*LOG10(Z304/L_PREF^2)</f>
        <v>-22.1471315342175</v>
      </c>
      <c r="AK304" s="47" t="n">
        <f aca="false">10*LOG10(R304/$R$6)</f>
        <v>0.859422487791498</v>
      </c>
      <c r="AL304" s="37" t="n">
        <f aca="false">(12194^2*B304^4/((B304^2+20.6^2)*SQRT((B304^2+107.7^2)*(B304^2+737.9^2))*(B304^2+12194^2))*1.2589254)^2</f>
        <v>0.666463032992674</v>
      </c>
      <c r="AM304" s="37" t="n">
        <f aca="false">0.5*(B304-B303)*(S304*AL304+S303*AL303)</f>
        <v>2.87948096627129E-010</v>
      </c>
      <c r="AN304" s="37" t="n">
        <f aca="false">0.5*(B304-B303)*(T304*AL304+T303*AL303)</f>
        <v>6.44862855765661E-010</v>
      </c>
      <c r="AO304" s="37" t="n">
        <f aca="false">0.5*(B304-B303)*(U304*AL304+U303*AL303)</f>
        <v>4.90639286805099E-010</v>
      </c>
      <c r="AP304" s="37" t="n">
        <f aca="false">0.5*(B304-B303)*(V304*AL304+V303*AL303)</f>
        <v>3.01711189929839E-012</v>
      </c>
      <c r="AQ304" s="37" t="n">
        <f aca="false">0.5*(B304-B303)*(W304*AL304+W303*AL303)</f>
        <v>4.69681435766939E-012</v>
      </c>
      <c r="AR304" s="37" t="n">
        <f aca="false">0.5*(B304-B303)*(X304*AL304+X303*AL303)</f>
        <v>3.4460794930417E-010</v>
      </c>
      <c r="AS304" s="37" t="n">
        <f aca="false">0.5*(B304-B303)*(Y304*AL304+Y303*AL303)</f>
        <v>7.13124432163181E-013</v>
      </c>
      <c r="AT304" s="37" t="n">
        <f aca="false">0.5*(B304-B303)*(Z304*AL304+Z303*AL303)</f>
        <v>3.37531156109007E-010</v>
      </c>
      <c r="AU304" s="37" t="n">
        <f aca="false">0.5*(B304-B303)*(AA304*AL304+AA303*AL303)</f>
        <v>2.1140163953002E-009</v>
      </c>
      <c r="AV304" s="37" t="n">
        <f aca="false">0.5*(B304-B303)*(S304+S303)</f>
        <v>4.25303844618021E-010</v>
      </c>
      <c r="AW304" s="37" t="n">
        <f aca="false">0.5*(B304-B303)*(T304+T303)</f>
        <v>9.52383188915926E-010</v>
      </c>
      <c r="AX304" s="37" t="n">
        <f aca="false">0.5*(B304-B303)*(U304+U303)</f>
        <v>7.24613930538868E-010</v>
      </c>
      <c r="AY304" s="37" t="n">
        <f aca="false">0.5*(B304-B303)*(V304+V303)</f>
        <v>4.45102325835713E-012</v>
      </c>
      <c r="AZ304" s="37" t="n">
        <f aca="false">0.5*(B304-B303)*(W304+W303)</f>
        <v>6.9338579505478E-012</v>
      </c>
      <c r="BA304" s="37" t="n">
        <f aca="false">0.5*(B304-B303)*(X304+X303)</f>
        <v>5.08923696309522E-010</v>
      </c>
      <c r="BB304" s="37" t="n">
        <f aca="false">0.5*(B304-B303)*(Y304+Y303)</f>
        <v>1.05277814644949E-012</v>
      </c>
      <c r="BC304" s="37" t="n">
        <f aca="false">0.5*(B304-B303)*(Z304+Z303)</f>
        <v>4.98473558460025E-010</v>
      </c>
      <c r="BD304" s="37" t="n">
        <f aca="false">0.5*(B304-B303)*(AA304+AA303)</f>
        <v>3.12213587819772E-009</v>
      </c>
      <c r="BE304" s="37" t="n">
        <f aca="false">IF(B304&gt;2000,AK304,-999)</f>
        <v>0.859422487791498</v>
      </c>
      <c r="BF304" s="37" t="n">
        <f aca="false">IF(AND(B304&lt;1000,AK304&gt;=-3),B304,1000000000)</f>
        <v>1000000000</v>
      </c>
    </row>
    <row r="305" customFormat="false" ht="15" hidden="false" customHeight="false" outlineLevel="0" collapsed="false">
      <c r="A305" s="5" t="n">
        <v>266</v>
      </c>
      <c r="B305" s="47" t="n">
        <f aca="false">20*10^(A305/100)</f>
        <v>9141.76379229751</v>
      </c>
      <c r="C305" s="37" t="n">
        <f aca="false">2*PI()*B305</f>
        <v>57439.39594147</v>
      </c>
      <c r="D305" s="37" t="n">
        <f aca="false">SQRT(L_Rp0^2+L_Rp1^2*C305)</f>
        <v>128427613.569013</v>
      </c>
      <c r="E305" s="5" t="str">
        <f aca="false">COMPLEX(D305,C305*L_Mp)</f>
        <v>128427613.569013+848536065.352625i</v>
      </c>
      <c r="F305" s="5" t="str">
        <f aca="false">IMDIV(1,E305)</f>
        <v>1.74373896055993e-10-1.15210845664472e-09i</v>
      </c>
      <c r="G305" s="5" t="str">
        <f aca="false">COMPLEX(0,C305*L_Cf)</f>
        <v>6.07374388722322e-11i</v>
      </c>
      <c r="H305" s="5" t="str">
        <f aca="false">COMPLEX(0,C305*L_Cbv)</f>
        <v>6.07374388722322e-10i</v>
      </c>
      <c r="I305" s="5" t="str">
        <f aca="false">COMPLEX(L_Rsq+L_Rh,C305*(L_Md+L_Mh)-1/(C305*L_Cd))</f>
        <v>552400610.124532-19839112052.0538i</v>
      </c>
      <c r="J305" s="5" t="str">
        <f aca="false">IMDIV(1,I305)</f>
        <v>1.40240391490887e-12+5.03664331649521e-11i</v>
      </c>
      <c r="K305" s="5" t="str">
        <f aca="false">IMSUM(F305,G305,H305)</f>
        <v>1.74373896055993e-10-4.83996629050166e-10i</v>
      </c>
      <c r="L305" s="5" t="str">
        <f aca="false">IMSUM(IMPRODUCT(IMSUM(F305,G305),H305),IMPRODUCT(IMSUM(J305,L_Yv),K305))</f>
        <v>6.87841279084541e-19+1.13046077682072e-19i</v>
      </c>
      <c r="M305" s="37" t="n">
        <f aca="false">IMABS(IMDIV(IMPRODUCT(J305,F305,H305),L305))^2</f>
        <v>2.61699907916073E-021</v>
      </c>
      <c r="N305" s="5" t="str">
        <f aca="false">IMDIV(IMPRODUCT(L_Yv,K305,E305),H305)</f>
        <v>0.000282540749851829-0.00142608258312769i</v>
      </c>
      <c r="O305" s="37" t="n">
        <f aca="false">IMABS(IMSUM(1,IMPRODUCT(E305,G305),N305))^2</f>
        <v>0.900157010777462</v>
      </c>
      <c r="P305" s="37" t="n">
        <f aca="false">IMABS(N305)^2</f>
        <v>2.11354080922698E-006</v>
      </c>
      <c r="Q305" s="37" t="n">
        <f aca="false">p_Rb^2/(1+(C305*p_Rb*L_Ctot)^2)</f>
        <v>49963487709600</v>
      </c>
      <c r="R305" s="37" t="n">
        <f aca="false">M305*L_Kt^2*Q305</f>
        <v>2.62418072776749E-005</v>
      </c>
      <c r="S305" s="37" t="n">
        <f aca="false">L_kT4*D305</f>
        <v>2.11464027919509E-012</v>
      </c>
      <c r="T305" s="37" t="n">
        <f aca="false">L_kT4*L_Rsq*O305</f>
        <v>4.64975328311414E-012</v>
      </c>
      <c r="U305" s="37" t="n">
        <f aca="false">L_kT4*L_Rh*O305</f>
        <v>3.53773149476579E-012</v>
      </c>
      <c r="V305" s="37" t="n">
        <f aca="false">L_kT4*p_Rv*P305</f>
        <v>1.74003798821359E-014</v>
      </c>
      <c r="W305" s="37" t="n">
        <f aca="false">L_kT4/p_Rb*Q305/R305</f>
        <v>3.13499673439712E-014</v>
      </c>
      <c r="X305" s="37" t="n">
        <f aca="false">p_en^2*(1+p_fc/B305)/R305</f>
        <v>2.46553459657129E-012</v>
      </c>
      <c r="Y305" s="37" t="n">
        <f aca="false">p_in^2*Q305/R305</f>
        <v>4.75991298740562E-015</v>
      </c>
      <c r="Z305" s="37" t="n">
        <f aca="false">p_eo^2/L_G^2/R305</f>
        <v>2.41582933018406E-012</v>
      </c>
      <c r="AA305" s="37" t="n">
        <f aca="false">SUM(S305:Z305)</f>
        <v>1.52369992440439E-011</v>
      </c>
      <c r="AB305" s="47" t="n">
        <f aca="false">10*LOG10(AA305/L_PREF^2)</f>
        <v>-14.1916054532644</v>
      </c>
      <c r="AC305" s="47" t="n">
        <f aca="false">10*LOG10(S305/L_PREF^2)</f>
        <v>-22.7682349103417</v>
      </c>
      <c r="AD305" s="47" t="n">
        <f aca="false">10*LOG10(T305/L_PREF^2)</f>
        <v>-19.3463008158311</v>
      </c>
      <c r="AE305" s="47" t="n">
        <f aca="false">10*LOG10(U305/L_PREF^2)</f>
        <v>-20.5333512340058</v>
      </c>
      <c r="AF305" s="47" t="n">
        <f aca="false">10*LOG10(V305/L_PREF^2)</f>
        <v>-43.6150126149855</v>
      </c>
      <c r="AG305" s="47" t="n">
        <f aca="false">10*LOG10(W305/L_PREF^2)</f>
        <v>-41.0582289854848</v>
      </c>
      <c r="AH305" s="47" t="n">
        <f aca="false">10*LOG10(X305/L_PREF^2)</f>
        <v>-22.1014889036444</v>
      </c>
      <c r="AI305" s="47" t="n">
        <f aca="false">10*LOG10(Y305/L_PREF^2)</f>
        <v>-49.244609775644</v>
      </c>
      <c r="AJ305" s="47" t="n">
        <f aca="false">10*LOG10(Z305/L_PREF^2)</f>
        <v>-22.1899374166754</v>
      </c>
      <c r="AK305" s="47" t="n">
        <f aca="false">10*LOG10(R305/$R$6)</f>
        <v>0.902228370249359</v>
      </c>
      <c r="AL305" s="37" t="n">
        <f aca="false">(12194^2*B305^4/((B305^2+20.6^2)*SQRT((B305^2+107.7^2)*(B305^2+737.9^2))*(B305^2+12194^2))*1.2589254)^2</f>
        <v>0.645253463420404</v>
      </c>
      <c r="AM305" s="37" t="n">
        <f aca="false">0.5*(B305-B304)*(S305*AL305+S304*AL304)</f>
        <v>2.8752520016267E-010</v>
      </c>
      <c r="AN305" s="37" t="n">
        <f aca="false">0.5*(B305-B304)*(T305*AL305+T304*AL304)</f>
        <v>6.36168325847117E-010</v>
      </c>
      <c r="AO305" s="37" t="n">
        <f aca="false">0.5*(B305-B304)*(U305*AL305+U304*AL304)</f>
        <v>4.84024115966526E-010</v>
      </c>
      <c r="AP305" s="37" t="n">
        <f aca="false">0.5*(B305-B304)*(V305*AL305+V304*AL304)</f>
        <v>2.5763046103861E-012</v>
      </c>
      <c r="AQ305" s="37" t="n">
        <f aca="false">0.5*(B305-B304)*(W305*AL305+W304*AL304)</f>
        <v>4.40360664188158E-012</v>
      </c>
      <c r="AR305" s="37" t="n">
        <f aca="false">0.5*(B305-B304)*(X305*AL305+X304*AL304)</f>
        <v>3.38230228050482E-010</v>
      </c>
      <c r="AS305" s="37" t="n">
        <f aca="false">0.5*(B305-B304)*(Y305*AL305+Y304*AL304)</f>
        <v>6.68606260929604E-013</v>
      </c>
      <c r="AT305" s="37" t="n">
        <f aca="false">0.5*(B305-B304)*(Z305*AL305+Z304*AL304)</f>
        <v>3.31368854316323E-010</v>
      </c>
      <c r="AU305" s="37" t="n">
        <f aca="false">0.5*(B305-B304)*(AA305*AL305+AA304*AL304)</f>
        <v>2.08496524185631E-009</v>
      </c>
      <c r="AV305" s="37" t="n">
        <f aca="false">0.5*(B305-B304)*(S305+S304)</f>
        <v>4.38421504481518E-010</v>
      </c>
      <c r="AW305" s="37" t="n">
        <f aca="false">0.5*(B305-B304)*(T305+T304)</f>
        <v>9.69940163924434E-010</v>
      </c>
      <c r="AX305" s="37" t="n">
        <f aca="false">0.5*(B305-B304)*(U305+U304)</f>
        <v>7.37972029271973E-010</v>
      </c>
      <c r="AY305" s="37" t="n">
        <f aca="false">0.5*(B305-B304)*(V305+V304)</f>
        <v>3.92325323857174E-012</v>
      </c>
      <c r="AZ305" s="37" t="n">
        <f aca="false">0.5*(B305-B304)*(W305+W304)</f>
        <v>6.71123317946599E-012</v>
      </c>
      <c r="BA305" s="37" t="n">
        <f aca="false">0.5*(B305-B304)*(X305+X304)</f>
        <v>5.15664154877214E-010</v>
      </c>
      <c r="BB305" s="37" t="n">
        <f aca="false">0.5*(B305-B304)*(Y305+Y304)</f>
        <v>1.01897669053205E-012</v>
      </c>
      <c r="BC305" s="37" t="n">
        <f aca="false">0.5*(B305-B304)*(Z305+Z304)</f>
        <v>5.05204367167229E-010</v>
      </c>
      <c r="BD305" s="37" t="n">
        <f aca="false">0.5*(B305-B304)*(AA305+AA304)</f>
        <v>3.17885568283094E-009</v>
      </c>
      <c r="BE305" s="37" t="n">
        <f aca="false">IF(B305&gt;2000,AK305,-999)</f>
        <v>0.902228370249359</v>
      </c>
      <c r="BF305" s="37" t="n">
        <f aca="false">IF(AND(B305&lt;1000,AK305&gt;=-3),B305,1000000000)</f>
        <v>1000000000</v>
      </c>
    </row>
    <row r="306" customFormat="false" ht="15" hidden="false" customHeight="false" outlineLevel="0" collapsed="false">
      <c r="A306" s="5" t="n">
        <v>267</v>
      </c>
      <c r="B306" s="47" t="n">
        <f aca="false">20*10^(A306/100)</f>
        <v>9354.70282574396</v>
      </c>
      <c r="C306" s="37" t="n">
        <f aca="false">2*PI()*B306</f>
        <v>58777.3313477458</v>
      </c>
      <c r="D306" s="37" t="n">
        <f aca="false">SQRT(L_Rp0^2+L_Rp1^2*C306)</f>
        <v>129386984.408753</v>
      </c>
      <c r="E306" s="5" t="str">
        <f aca="false">COMPLEX(D306,C306*L_Mp)</f>
        <v>129386984.408753+868301009.372825i</v>
      </c>
      <c r="F306" s="5" t="str">
        <f aca="false">IMDIV(1,E306)</f>
        <v>1.67885117910123e-10-1.12665750736961e-09i</v>
      </c>
      <c r="G306" s="5" t="str">
        <f aca="false">COMPLEX(0,C306*L_Cf)</f>
        <v>6.21521955670359e-11i</v>
      </c>
      <c r="H306" s="5" t="str">
        <f aca="false">COMPLEX(0,C306*L_Cbv)</f>
        <v>6.21521955670359e-10i</v>
      </c>
      <c r="I306" s="5" t="str">
        <f aca="false">COMPLEX(L_Rsq+L_Rh,C306*(L_Md+L_Mh)-1/(C306*L_Cd))</f>
        <v>552400610.124532-19377550826.6353i</v>
      </c>
      <c r="J306" s="5" t="str">
        <f aca="false">IMDIV(1,I306)</f>
        <v>1.46995347216382e-12+5.15642046688219e-11i</v>
      </c>
      <c r="K306" s="5" t="str">
        <f aca="false">IMSUM(F306,G306,H306)</f>
        <v>1.67885117910123e-10-4.42983356132215e-10i</v>
      </c>
      <c r="L306" s="5" t="str">
        <f aca="false">IMSUM(IMPRODUCT(IMSUM(F306,G306),H306),IMPRODUCT(IMSUM(J306,L_Yv),K306))</f>
        <v>6.85038061201319e-19+1.11464017757493e-19i</v>
      </c>
      <c r="M306" s="37" t="n">
        <f aca="false">IMABS(IMDIV(IMPRODUCT(J306,F306,H306),L306))^2</f>
        <v>2.76889262194522E-021</v>
      </c>
      <c r="N306" s="5" t="str">
        <f aca="false">IMDIV(IMPRODUCT(L_Yv,K306,E306),H306)</f>
        <v>0.000284651365699254-0.00130764501781813i</v>
      </c>
      <c r="O306" s="37" t="n">
        <f aca="false">IMABS(IMSUM(1,IMPRODUCT(E306,G306),N306))^2</f>
        <v>0.895562796337558</v>
      </c>
      <c r="P306" s="37" t="n">
        <f aca="false">IMABS(N306)^2</f>
        <v>1.79096189261903E-006</v>
      </c>
      <c r="Q306" s="37" t="n">
        <f aca="false">p_Rb^2/(1+(C306*p_Rb*L_Ctot)^2)</f>
        <v>47714760334548.5</v>
      </c>
      <c r="R306" s="37" t="n">
        <f aca="false">M306*L_Kt^2*Q306</f>
        <v>2.65152841703558E-005</v>
      </c>
      <c r="S306" s="37" t="n">
        <f aca="false">L_kT4*D306</f>
        <v>2.13043691485639E-012</v>
      </c>
      <c r="T306" s="37" t="n">
        <f aca="false">L_kT4*L_Rsq*O306</f>
        <v>4.62602190801012E-012</v>
      </c>
      <c r="U306" s="37" t="n">
        <f aca="false">L_kT4*L_Rh*O306</f>
        <v>3.51967564792667E-012</v>
      </c>
      <c r="V306" s="37" t="n">
        <f aca="false">L_kT4*p_Rv*P306</f>
        <v>1.47446489558903E-014</v>
      </c>
      <c r="W306" s="37" t="n">
        <f aca="false">L_kT4/p_Rb*Q306/R306</f>
        <v>2.96301976539829E-014</v>
      </c>
      <c r="X306" s="37" t="n">
        <f aca="false">p_en^2*(1+p_fc/B306)/R306</f>
        <v>2.43950422907245E-012</v>
      </c>
      <c r="Y306" s="37" t="n">
        <f aca="false">p_in^2*Q306/R306</f>
        <v>4.49879775264617E-015</v>
      </c>
      <c r="Z306" s="37" t="n">
        <f aca="false">p_eo^2/L_G^2/R306</f>
        <v>2.39091262575723E-012</v>
      </c>
      <c r="AA306" s="37" t="n">
        <f aca="false">SUM(S306:Z306)</f>
        <v>1.51554249699854E-011</v>
      </c>
      <c r="AB306" s="47" t="n">
        <f aca="false">10*LOG10(AA306/L_PREF^2)</f>
        <v>-14.2149187249618</v>
      </c>
      <c r="AC306" s="47" t="n">
        <f aca="false">10*LOG10(S306/L_PREF^2)</f>
        <v>-22.7359131265321</v>
      </c>
      <c r="AD306" s="47" t="n">
        <f aca="false">10*LOG10(T306/L_PREF^2)</f>
        <v>-19.3685230614771</v>
      </c>
      <c r="AE306" s="47" t="n">
        <f aca="false">10*LOG10(U306/L_PREF^2)</f>
        <v>-20.5555734796518</v>
      </c>
      <c r="AF306" s="47" t="n">
        <f aca="false">10*LOG10(V306/L_PREF^2)</f>
        <v>-44.3342555410339</v>
      </c>
      <c r="AG306" s="47" t="n">
        <f aca="false">10*LOG10(W306/L_PREF^2)</f>
        <v>-41.3032544279264</v>
      </c>
      <c r="AH306" s="47" t="n">
        <f aca="false">10*LOG10(X306/L_PREF^2)</f>
        <v>-22.1475841599538</v>
      </c>
      <c r="AI306" s="47" t="n">
        <f aca="false">10*LOG10(Y306/L_PREF^2)</f>
        <v>-49.4896352180855</v>
      </c>
      <c r="AJ306" s="47" t="n">
        <f aca="false">10*LOG10(Z306/L_PREF^2)</f>
        <v>-22.2349628591267</v>
      </c>
      <c r="AK306" s="47" t="n">
        <f aca="false">10*LOG10(R306/$R$6)</f>
        <v>0.947253812700657</v>
      </c>
      <c r="AL306" s="37" t="n">
        <f aca="false">(12194^2*B306^4/((B306^2+20.6^2)*SQRT((B306^2+107.7^2)*(B306^2+737.9^2))*(B306^2+12194^2))*1.2589254)^2</f>
        <v>0.624100133074996</v>
      </c>
      <c r="AM306" s="37" t="n">
        <f aca="false">0.5*(B306-B305)*(S306*AL306+S305*AL305)</f>
        <v>2.86837920094129E-010</v>
      </c>
      <c r="AN306" s="37" t="n">
        <f aca="false">0.5*(B306-B305)*(T306*AL306+T305*AL305)</f>
        <v>6.26825470438868E-010</v>
      </c>
      <c r="AO306" s="37" t="n">
        <f aca="false">0.5*(B306-B305)*(U306*AL306+U305*AL305)</f>
        <v>4.76915671320906E-010</v>
      </c>
      <c r="AP306" s="37" t="n">
        <f aca="false">0.5*(B306-B305)*(V306*AL306+V305*AL305)</f>
        <v>2.17515016183778E-012</v>
      </c>
      <c r="AQ306" s="37" t="n">
        <f aca="false">0.5*(B306-B305)*(W306*AL306+W305*AL305)</f>
        <v>4.1225939455938E-012</v>
      </c>
      <c r="AR306" s="37" t="n">
        <f aca="false">0.5*(B306-B305)*(X306*AL306+X305*AL305)</f>
        <v>3.31481091579254E-010</v>
      </c>
      <c r="AS306" s="37" t="n">
        <f aca="false">0.5*(B306-B305)*(Y306*AL306+Y305*AL305)</f>
        <v>6.25939677962867E-013</v>
      </c>
      <c r="AT306" s="37" t="n">
        <f aca="false">0.5*(B306-B305)*(Z306*AL306+Z305*AL305)</f>
        <v>3.24837551163473E-010</v>
      </c>
      <c r="AU306" s="37" t="n">
        <f aca="false">0.5*(B306-B305)*(AA306*AL306+AA305*AL305)</f>
        <v>2.05382138838202E-009</v>
      </c>
      <c r="AV306" s="37" t="n">
        <f aca="false">0.5*(B306-B305)*(S306+S305)</f>
        <v>4.51971317303464E-010</v>
      </c>
      <c r="AW306" s="37" t="n">
        <f aca="false">0.5*(B306-B305)*(T306+T305)</f>
        <v>9.87587301832321E-010</v>
      </c>
      <c r="AX306" s="37" t="n">
        <f aca="false">0.5*(B306-B305)*(U306+U305)</f>
        <v>7.51398727801533E-010</v>
      </c>
      <c r="AY306" s="37" t="n">
        <f aca="false">0.5*(B306-B305)*(V306+V305)</f>
        <v>3.42246568543893E-012</v>
      </c>
      <c r="AZ306" s="37" t="n">
        <f aca="false">0.5*(B306-B305)*(W306+W305)</f>
        <v>6.49252869703495E-012</v>
      </c>
      <c r="BA306" s="37" t="n">
        <f aca="false">0.5*(B306-B305)*(X306+X305)</f>
        <v>5.22237113274966E-010</v>
      </c>
      <c r="BB306" s="37" t="n">
        <f aca="false">0.5*(B306-B305)*(Y306+Y305)</f>
        <v>9.85770457973488E-013</v>
      </c>
      <c r="BC306" s="37" t="n">
        <f aca="false">0.5*(B306-B305)*(Z306+Z305)</f>
        <v>5.11771493062339E-010</v>
      </c>
      <c r="BD306" s="37" t="n">
        <f aca="false">0.5*(B306-B305)*(AA306+AA305)</f>
        <v>3.23586671811507E-009</v>
      </c>
      <c r="BE306" s="37" t="n">
        <f aca="false">IF(B306&gt;2000,AK306,-999)</f>
        <v>0.947253812700657</v>
      </c>
      <c r="BF306" s="37" t="n">
        <f aca="false">IF(AND(B306&lt;1000,AK306&gt;=-3),B306,1000000000)</f>
        <v>1000000000</v>
      </c>
    </row>
    <row r="307" customFormat="false" ht="15" hidden="false" customHeight="false" outlineLevel="0" collapsed="false">
      <c r="A307" s="5" t="n">
        <v>268</v>
      </c>
      <c r="B307" s="47" t="n">
        <f aca="false">20*10^(A307/100)</f>
        <v>9572.60184645277</v>
      </c>
      <c r="C307" s="37" t="n">
        <f aca="false">2*PI()*B307</f>
        <v>60146.4312731122</v>
      </c>
      <c r="D307" s="37" t="n">
        <f aca="false">SQRT(L_Rp0^2+L_Rp1^2*C307)</f>
        <v>130361393.157536</v>
      </c>
      <c r="E307" s="5" t="str">
        <f aca="false">COMPLEX(D307,C307*L_Mp)</f>
        <v>130361393.157536+888526338.081517i</v>
      </c>
      <c r="F307" s="5" t="str">
        <f aca="false">IMDIV(1,E307)</f>
        <v>1.61643811399239e-10-1.10174324113383e-09i</v>
      </c>
      <c r="G307" s="5" t="str">
        <f aca="false">COMPLEX(0,C307*L_Cf)</f>
        <v>6.35999061786108e-11i</v>
      </c>
      <c r="H307" s="5" t="str">
        <f aca="false">COMPLEX(0,C307*L_Cbv)</f>
        <v>6.35999061786108e-10i</v>
      </c>
      <c r="I307" s="5" t="str">
        <f aca="false">COMPLEX(L_Rsq+L_Rh,C307*(L_Md+L_Mh)-1/(C307*L_Cd))</f>
        <v>552400610.124532-18926263835.1573i</v>
      </c>
      <c r="J307" s="5" t="str">
        <f aca="false">IMDIV(1,I307)</f>
        <v>1.54082941374671e-12+5.27916578567259e-11i</v>
      </c>
      <c r="K307" s="5" t="str">
        <f aca="false">IMSUM(F307,G307,H307)</f>
        <v>1.61643811399239e-10-4.02144273169111e-10i</v>
      </c>
      <c r="L307" s="5" t="str">
        <f aca="false">IMSUM(IMPRODUCT(IMSUM(F307,G307),H307),IMPRODUCT(IMSUM(J307,L_Yv),K307))</f>
        <v>6.82060403071159e-19+1.09914832908486e-19i</v>
      </c>
      <c r="M307" s="37" t="n">
        <f aca="false">IMABS(IMDIV(IMPRODUCT(J307,F307,H307),L307))^2</f>
        <v>2.93118507146159E-021</v>
      </c>
      <c r="N307" s="5" t="str">
        <f aca="false">IMDIV(IMPRODUCT(L_Yv,K307,E307),H307)</f>
        <v>0.000286795064946579-0.00118990078320574i</v>
      </c>
      <c r="O307" s="37" t="n">
        <f aca="false">IMABS(IMSUM(1,IMPRODUCT(E307,G307),N307))^2</f>
        <v>0.890764702202805</v>
      </c>
      <c r="P307" s="37" t="n">
        <f aca="false">IMABS(N307)^2</f>
        <v>1.49811528315134E-006</v>
      </c>
      <c r="Q307" s="37" t="n">
        <f aca="false">p_Rb^2/(1+(C307*p_Rb*L_Ctot)^2)</f>
        <v>45567242363381.4</v>
      </c>
      <c r="R307" s="37" t="n">
        <f aca="false">M307*L_Kt^2*Q307</f>
        <v>2.68060863334306E-005</v>
      </c>
      <c r="S307" s="37" t="n">
        <f aca="false">L_kT4*D307</f>
        <v>2.1464811590132E-012</v>
      </c>
      <c r="T307" s="37" t="n">
        <f aca="false">L_kT4*L_Rsq*O307</f>
        <v>4.60123739409906E-012</v>
      </c>
      <c r="U307" s="37" t="n">
        <f aca="false">L_kT4*L_Rh*O307</f>
        <v>3.50081852796634E-012</v>
      </c>
      <c r="V307" s="37" t="n">
        <f aca="false">L_kT4*p_Rv*P307</f>
        <v>1.23336984648057E-014</v>
      </c>
      <c r="W307" s="37" t="n">
        <f aca="false">L_kT4/p_Rb*Q307/R307</f>
        <v>2.79896470781295E-014</v>
      </c>
      <c r="X307" s="37" t="n">
        <f aca="false">p_en^2*(1+p_fc/B307)/R307</f>
        <v>2.41245864679707E-012</v>
      </c>
      <c r="Y307" s="37" t="n">
        <f aca="false">p_in^2*Q307/R307</f>
        <v>4.24971047587738E-015</v>
      </c>
      <c r="Z307" s="37" t="n">
        <f aca="false">p_eo^2/L_G^2/R307</f>
        <v>2.36497513698529E-012</v>
      </c>
      <c r="AA307" s="37" t="n">
        <f aca="false">SUM(S307:Z307)</f>
        <v>1.50705439208798E-011</v>
      </c>
      <c r="AB307" s="47" t="n">
        <f aca="false">10*LOG10(AA307/L_PREF^2)</f>
        <v>-14.2393106432363</v>
      </c>
      <c r="AC307" s="47" t="n">
        <f aca="false">10*LOG10(S307/L_PREF^2)</f>
        <v>-22.7033291056585</v>
      </c>
      <c r="AD307" s="47" t="n">
        <f aca="false">10*LOG10(T307/L_PREF^2)</f>
        <v>-19.391853506979</v>
      </c>
      <c r="AE307" s="47" t="n">
        <f aca="false">10*LOG10(U307/L_PREF^2)</f>
        <v>-20.5789039251537</v>
      </c>
      <c r="AF307" s="47" t="n">
        <f aca="false">10*LOG10(V307/L_PREF^2)</f>
        <v>-45.1096666477228</v>
      </c>
      <c r="AG307" s="47" t="n">
        <f aca="false">10*LOG10(W307/L_PREF^2)</f>
        <v>-41.5506256885277</v>
      </c>
      <c r="AH307" s="47" t="n">
        <f aca="false">10*LOG10(X307/L_PREF^2)</f>
        <v>-22.1960011371494</v>
      </c>
      <c r="AI307" s="47" t="n">
        <f aca="false">10*LOG10(Y307/L_PREF^2)</f>
        <v>-49.7370064786869</v>
      </c>
      <c r="AJ307" s="47" t="n">
        <f aca="false">10*LOG10(Z307/L_PREF^2)</f>
        <v>-22.2823341197373</v>
      </c>
      <c r="AK307" s="47" t="n">
        <f aca="false">10*LOG10(R307/$R$6)</f>
        <v>0.9946250733113</v>
      </c>
      <c r="AL307" s="37" t="n">
        <f aca="false">(12194^2*B307^4/((B307^2+20.6^2)*SQRT((B307^2+107.7^2)*(B307^2+737.9^2))*(B307^2+12194^2))*1.2589254)^2</f>
        <v>0.603035425451302</v>
      </c>
      <c r="AM307" s="37" t="n">
        <f aca="false">0.5*(B307-B306)*(S307*AL307+S306*AL306)</f>
        <v>2.85884620028952E-010</v>
      </c>
      <c r="AN307" s="37" t="n">
        <f aca="false">0.5*(B307-B306)*(T307*AL307+T306*AL306)</f>
        <v>6.16851431354289E-010</v>
      </c>
      <c r="AO307" s="37" t="n">
        <f aca="false">0.5*(B307-B306)*(U307*AL307+U306*AL306)</f>
        <v>4.69326995094216E-010</v>
      </c>
      <c r="AP307" s="37" t="n">
        <f aca="false">0.5*(B307-B306)*(V307*AL307+V306*AL306)</f>
        <v>1.81289746062646E-012</v>
      </c>
      <c r="AQ307" s="37" t="n">
        <f aca="false">0.5*(B307-B306)*(W307*AL307+W306*AL306)</f>
        <v>3.85364866739801E-012</v>
      </c>
      <c r="AR307" s="37" t="n">
        <f aca="false">0.5*(B307-B306)*(X307*AL307+X306*AL306)</f>
        <v>3.2437460804431E-010</v>
      </c>
      <c r="AS307" s="37" t="n">
        <f aca="false">0.5*(B307-B306)*(Y307*AL307+Y306*AL306)</f>
        <v>5.8510530934807E-013</v>
      </c>
      <c r="AT307" s="37" t="n">
        <f aca="false">0.5*(B307-B306)*(Z307*AL307+Z306*AL306)</f>
        <v>3.17950916081785E-010</v>
      </c>
      <c r="AU307" s="37" t="n">
        <f aca="false">0.5*(B307-B306)*(AA307*AL307+AA306*AL306)</f>
        <v>2.02064022204093E-009</v>
      </c>
      <c r="AV307" s="37" t="n">
        <f aca="false">0.5*(B307-B306)*(S307+S306)</f>
        <v>4.65968129973989E-010</v>
      </c>
      <c r="AW307" s="37" t="n">
        <f aca="false">0.5*(B307-B306)*(T307+T306)</f>
        <v>1.00530538287791E-009</v>
      </c>
      <c r="AX307" s="37" t="n">
        <f aca="false">0.5*(B307-B306)*(U307+U306)</f>
        <v>7.64879402909482E-010</v>
      </c>
      <c r="AY307" s="37" t="n">
        <f aca="false">0.5*(B307-B306)*(V307+V306)</f>
        <v>2.95017269269125E-012</v>
      </c>
      <c r="AZ307" s="37" t="n">
        <f aca="false">0.5*(B307-B306)*(W307+W306)</f>
        <v>6.27765387026037E-012</v>
      </c>
      <c r="BA307" s="37" t="n">
        <f aca="false">0.5*(B307-B306)*(X307+X306)</f>
        <v>5.28618979583726E-010</v>
      </c>
      <c r="BB307" s="37" t="n">
        <f aca="false">0.5*(B307-B306)*(Y307+Y306)</f>
        <v>9.53145687829108E-013</v>
      </c>
      <c r="BC307" s="37" t="n">
        <f aca="false">0.5*(B307-B306)*(Z307+Z306)</f>
        <v>5.18151643051296E-010</v>
      </c>
      <c r="BD307" s="37" t="n">
        <f aca="false">0.5*(B307-B306)*(AA307+AA306)</f>
        <v>3.29310451064718E-009</v>
      </c>
      <c r="BE307" s="37" t="n">
        <f aca="false">IF(B307&gt;2000,AK307,-999)</f>
        <v>0.9946250733113</v>
      </c>
      <c r="BF307" s="37" t="n">
        <f aca="false">IF(AND(B307&lt;1000,AK307&gt;=-3),B307,1000000000)</f>
        <v>1000000000</v>
      </c>
    </row>
    <row r="308" customFormat="false" ht="15" hidden="false" customHeight="false" outlineLevel="0" collapsed="false">
      <c r="A308" s="5" t="n">
        <v>269</v>
      </c>
      <c r="B308" s="47" t="n">
        <f aca="false">20*10^(A308/100)</f>
        <v>9795.57638736892</v>
      </c>
      <c r="C308" s="37" t="n">
        <f aca="false">2*PI()*B308</f>
        <v>61547.4216324717</v>
      </c>
      <c r="D308" s="37" t="n">
        <f aca="false">SQRT(L_Rp0^2+L_Rp1^2*C308)</f>
        <v>131351015.981335</v>
      </c>
      <c r="E308" s="5" t="str">
        <f aca="false">COMPLEX(D308,C308*L_Mp)</f>
        <v>131351015.981335+909222775.215697i</v>
      </c>
      <c r="F308" s="5" t="str">
        <f aca="false">IMDIV(1,E308)</f>
        <v>1.55640388122235e-10-1.07735585116643e-09i</v>
      </c>
      <c r="G308" s="5" t="str">
        <f aca="false">COMPLEX(0,C308*L_Cf)</f>
        <v>6.50813383022858e-11i</v>
      </c>
      <c r="H308" s="5" t="str">
        <f aca="false">COMPLEX(0,C308*L_Cbv)</f>
        <v>6.50813383022858e-10i</v>
      </c>
      <c r="I308" s="5" t="str">
        <f aca="false">COMPLEX(L_Rsq+L_Rh,C308*(L_Md+L_Mh)-1/(C308*L_Cd))</f>
        <v>552400610.124532-18485011799.2834i</v>
      </c>
      <c r="J308" s="5" t="str">
        <f aca="false">IMDIV(1,I308)</f>
        <v>1.61520264795356e-12+5.40496144617299e-11i</v>
      </c>
      <c r="K308" s="5" t="str">
        <f aca="false">IMSUM(F308,G308,H308)</f>
        <v>1.55640388122235e-10-3.61461129841286e-10i</v>
      </c>
      <c r="L308" s="5" t="str">
        <f aca="false">IMSUM(IMPRODUCT(IMSUM(F308,G308),H308),IMPRODUCT(IMSUM(J308,L_Yv),K308))</f>
        <v>6.78901306519018e-19+1.08398395267768e-19i</v>
      </c>
      <c r="M308" s="37" t="n">
        <f aca="false">IMABS(IMDIV(IMPRODUCT(J308,F308,H308),L308))^2</f>
        <v>3.10476270399212E-021</v>
      </c>
      <c r="N308" s="5" t="str">
        <f aca="false">IMDIV(IMPRODUCT(L_Yv,K308,E308),H308)</f>
        <v>0.000288972235158937-0.00107278744973878i</v>
      </c>
      <c r="O308" s="37" t="n">
        <f aca="false">IMABS(IMSUM(1,IMPRODUCT(E308,G308),N308))^2</f>
        <v>0.885754340653317</v>
      </c>
      <c r="P308" s="37" t="n">
        <f aca="false">IMABS(N308)^2</f>
        <v>1.23437786500978E-006</v>
      </c>
      <c r="Q308" s="37" t="n">
        <f aca="false">p_Rb^2/(1+(C308*p_Rb*L_Ctot)^2)</f>
        <v>43516378622560.4</v>
      </c>
      <c r="R308" s="37" t="n">
        <f aca="false">M308*L_Kt^2*Q308</f>
        <v>2.71155604104644E-005</v>
      </c>
      <c r="S308" s="37" t="n">
        <f aca="false">L_kT4*D308</f>
        <v>2.16277591234747E-012</v>
      </c>
      <c r="T308" s="37" t="n">
        <f aca="false">L_kT4*L_Rsq*O308</f>
        <v>4.57535641468614E-012</v>
      </c>
      <c r="U308" s="37" t="n">
        <f aca="false">L_kT4*L_Rh*O308</f>
        <v>3.48112717007925E-012</v>
      </c>
      <c r="V308" s="37" t="n">
        <f aca="false">L_kT4*p_Rv*P308</f>
        <v>1.01623984147843E-014</v>
      </c>
      <c r="W308" s="37" t="n">
        <f aca="false">L_kT4/p_Rb*Q308/R308</f>
        <v>2.64248329076488E-014</v>
      </c>
      <c r="X308" s="37" t="n">
        <f aca="false">p_en^2*(1+p_fc/B308)/R308</f>
        <v>2.38436363341188E-012</v>
      </c>
      <c r="Y308" s="37" t="n">
        <f aca="false">p_in^2*Q308/R308</f>
        <v>4.01212237215708E-015</v>
      </c>
      <c r="Z308" s="37" t="n">
        <f aca="false">p_eo^2/L_G^2/R308</f>
        <v>2.33798331064473E-012</v>
      </c>
      <c r="AA308" s="37" t="n">
        <f aca="false">SUM(S308:Z308)</f>
        <v>1.49822057948641E-011</v>
      </c>
      <c r="AB308" s="47" t="n">
        <f aca="false">10*LOG10(AA308/L_PREF^2)</f>
        <v>-14.2648423310372</v>
      </c>
      <c r="AC308" s="47" t="n">
        <f aca="false">10*LOG10(S308/L_PREF^2)</f>
        <v>-22.6704846729918</v>
      </c>
      <c r="AD308" s="47" t="n">
        <f aca="false">10*LOG10(T308/L_PREF^2)</f>
        <v>-19.4163506059711</v>
      </c>
      <c r="AE308" s="47" t="n">
        <f aca="false">10*LOG10(U308/L_PREF^2)</f>
        <v>-20.6034010241458</v>
      </c>
      <c r="AF308" s="47" t="n">
        <f aca="false">10*LOG10(V308/L_PREF^2)</f>
        <v>-45.9506377399217</v>
      </c>
      <c r="AG308" s="47" t="n">
        <f aca="false">10*LOG10(W308/L_PREF^2)</f>
        <v>-41.8004774151749</v>
      </c>
      <c r="AH308" s="47" t="n">
        <f aca="false">10*LOG10(X308/L_PREF^2)</f>
        <v>-22.2468750202935</v>
      </c>
      <c r="AI308" s="47" t="n">
        <f aca="false">10*LOG10(Y308/L_PREF^2)</f>
        <v>-49.986858205334</v>
      </c>
      <c r="AJ308" s="47" t="n">
        <f aca="false">10*LOG10(Z308/L_PREF^2)</f>
        <v>-22.3321858463934</v>
      </c>
      <c r="AK308" s="47" t="n">
        <f aca="false">10*LOG10(R308/$R$6)</f>
        <v>1.0444767999674</v>
      </c>
      <c r="AL308" s="37" t="n">
        <f aca="false">(12194^2*B308^4/((B308^2+20.6^2)*SQRT((B308^2+107.7^2)*(B308^2+737.9^2))*(B308^2+12194^2))*1.2589254)^2</f>
        <v>0.582091577352467</v>
      </c>
      <c r="AM308" s="37" t="n">
        <f aca="false">0.5*(B308-B307)*(S308*AL308+S307*AL307)</f>
        <v>2.84664664245969E-010</v>
      </c>
      <c r="AN308" s="37" t="n">
        <f aca="false">0.5*(B308-B307)*(T308*AL308+T307*AL307)</f>
        <v>6.06266169319456E-010</v>
      </c>
      <c r="AO308" s="37" t="n">
        <f aca="false">0.5*(B308-B307)*(U308*AL308+U307*AL307)</f>
        <v>4.61273274261979E-010</v>
      </c>
      <c r="AP308" s="37" t="n">
        <f aca="false">0.5*(B308-B307)*(V308*AL308+V307*AL307)</f>
        <v>1.4887010751901E-012</v>
      </c>
      <c r="AQ308" s="37" t="n">
        <f aca="false">0.5*(B308-B307)*(W308*AL308+W307*AL307)</f>
        <v>3.59662632598984E-012</v>
      </c>
      <c r="AR308" s="37" t="n">
        <f aca="false">0.5*(B308-B307)*(X308*AL308+X307*AL307)</f>
        <v>3.16926649178575E-010</v>
      </c>
      <c r="AS308" s="37" t="n">
        <f aca="false">0.5*(B308-B307)*(Y308*AL308+Y307*AL307)</f>
        <v>5.46081218270111E-013</v>
      </c>
      <c r="AT308" s="37" t="n">
        <f aca="false">0.5*(B308-B307)*(Z308*AL308+Z307*AL307)</f>
        <v>3.10724407879987E-010</v>
      </c>
      <c r="AU308" s="37" t="n">
        <f aca="false">0.5*(B308-B307)*(AA308*AL308+AA307*AL307)</f>
        <v>1.98548657350542E-009</v>
      </c>
      <c r="AV308" s="37" t="n">
        <f aca="false">0.5*(B308-B307)*(S308+S307)</f>
        <v>4.80427308588166E-010</v>
      </c>
      <c r="AW308" s="37" t="n">
        <f aca="false">0.5*(B308-B307)*(T308+T307)</f>
        <v>1.02307339584395E-009</v>
      </c>
      <c r="AX308" s="37" t="n">
        <f aca="false">0.5*(B308-B307)*(U308+U307)</f>
        <v>7.78398068361613E-010</v>
      </c>
      <c r="AY308" s="37" t="n">
        <f aca="false">0.5*(B308-B307)*(V308+V307)</f>
        <v>2.50802843706594E-012</v>
      </c>
      <c r="AZ308" s="37" t="n">
        <f aca="false">0.5*(B308-B307)*(W308+W307)</f>
        <v>6.06652184701005E-012</v>
      </c>
      <c r="BA308" s="37" t="n">
        <f aca="false">0.5*(B308-B307)*(X308+X307)</f>
        <v>5.34784622892983E-010</v>
      </c>
      <c r="BB308" s="37" t="n">
        <f aca="false">0.5*(B308-B307)*(Y308+Y307)</f>
        <v>9.2108919320824E-013</v>
      </c>
      <c r="BC308" s="37" t="n">
        <f aca="false">0.5*(B308-B307)*(Z308+Z307)</f>
        <v>5.24320000404024E-010</v>
      </c>
      <c r="BD308" s="37" t="n">
        <f aca="false">0.5*(B308-B307)*(AA308+AA307)</f>
        <v>3.35049903556802E-009</v>
      </c>
      <c r="BE308" s="37" t="n">
        <f aca="false">IF(B308&gt;2000,AK308,-999)</f>
        <v>1.0444767999674</v>
      </c>
      <c r="BF308" s="37" t="n">
        <f aca="false">IF(AND(B308&lt;1000,AK308&gt;=-3),B308,1000000000)</f>
        <v>1000000000</v>
      </c>
    </row>
    <row r="309" customFormat="false" ht="15" hidden="false" customHeight="false" outlineLevel="0" collapsed="false">
      <c r="A309" s="5" t="n">
        <v>270</v>
      </c>
      <c r="B309" s="47" t="n">
        <f aca="false">20*10^(A309/100)</f>
        <v>10023.7446725455</v>
      </c>
      <c r="C309" s="37" t="n">
        <f aca="false">2*PI()*B309</f>
        <v>62981.0452494572</v>
      </c>
      <c r="D309" s="37" t="n">
        <f aca="false">SQRT(L_Rp0^2+L_Rp1^2*C309)</f>
        <v>132356030.379685</v>
      </c>
      <c r="E309" s="5" t="str">
        <f aca="false">COMPLEX(D309,C309*L_Mp)</f>
        <v>132356030.379685+930401294.300282i</v>
      </c>
      <c r="F309" s="5" t="str">
        <f aca="false">IMDIV(1,E309)</f>
        <v>1.49865627890178e-10-1.05348561573019e-09i</v>
      </c>
      <c r="G309" s="5" t="str">
        <f aca="false">COMPLEX(0,C309*L_Cf)</f>
        <v>6.65972774129822e-11i</v>
      </c>
      <c r="H309" s="5" t="str">
        <f aca="false">COMPLEX(0,C309*L_Cbv)</f>
        <v>6.65972774129822e-10i</v>
      </c>
      <c r="I309" s="5" t="str">
        <f aca="false">COMPLEX(L_Rsq+L_Rh,C309*(L_Md+L_Mh)-1/(C309*L_Cd))</f>
        <v>552400610.124532-18053560761.3436i</v>
      </c>
      <c r="J309" s="5" t="str">
        <f aca="false">IMDIV(1,I309)</f>
        <v>1.69325355593938e-12+5.53389250414138e-11i</v>
      </c>
      <c r="K309" s="5" t="str">
        <f aca="false">IMSUM(F309,G309,H309)</f>
        <v>1.49865627890178e-10-3.20915564187386e-10i</v>
      </c>
      <c r="L309" s="5" t="str">
        <f aca="false">IMSUM(IMPRODUCT(IMSUM(F309,G309),H309),IMPRODUCT(IMSUM(J309,L_Yv),K309))</f>
        <v>6.75553378539788e-19+1.06914608152237e-19i</v>
      </c>
      <c r="M309" s="37" t="n">
        <f aca="false">IMABS(IMDIV(IMPRODUCT(J309,F309,H309),L309))^2</f>
        <v>3.29060690656747E-021</v>
      </c>
      <c r="N309" s="5" t="str">
        <f aca="false">IMDIV(IMPRODUCT(L_Yv,K309,E309),H309)</f>
        <v>0.000291183266835306-0.00095624292237773i</v>
      </c>
      <c r="O309" s="37" t="n">
        <f aca="false">IMABS(IMSUM(1,IMPRODUCT(E309,G309),N309))^2</f>
        <v>0.880523046794048</v>
      </c>
      <c r="P309" s="37" t="n">
        <f aca="false">IMABS(N309)^2</f>
        <v>9.9918822148238E-007</v>
      </c>
      <c r="Q309" s="37" t="n">
        <f aca="false">p_Rb^2/(1+(C309*p_Rb*L_Ctot)^2)</f>
        <v>41557818955128.2</v>
      </c>
      <c r="R309" s="37" t="n">
        <f aca="false">M309*L_Kt^2*Q309</f>
        <v>2.74451858951911E-005</v>
      </c>
      <c r="S309" s="37" t="n">
        <f aca="false">L_kT4*D309</f>
        <v>2.1793240974991E-012</v>
      </c>
      <c r="T309" s="37" t="n">
        <f aca="false">L_kT4*L_Rsq*O309</f>
        <v>4.54833421133068E-012</v>
      </c>
      <c r="U309" s="37" t="n">
        <f aca="false">L_kT4*L_Rh*O309</f>
        <v>3.46056752012626E-012</v>
      </c>
      <c r="V309" s="37" t="n">
        <f aca="false">L_kT4*p_Rv*P309</f>
        <v>8.22612676871291E-015</v>
      </c>
      <c r="W309" s="37" t="n">
        <f aca="false">L_kT4/p_Rb*Q309/R309</f>
        <v>2.49324328309007E-014</v>
      </c>
      <c r="X309" s="37" t="n">
        <f aca="false">p_en^2*(1+p_fc/B309)/R309</f>
        <v>2.35518477403048E-012</v>
      </c>
      <c r="Y309" s="37" t="n">
        <f aca="false">p_in^2*Q309/R309</f>
        <v>3.78552900988093E-015</v>
      </c>
      <c r="Z309" s="37" t="n">
        <f aca="false">p_eo^2/L_G^2/R309</f>
        <v>2.30990338125393E-012</v>
      </c>
      <c r="AA309" s="37" t="n">
        <f aca="false">SUM(S309:Z309)</f>
        <v>1.489025807285E-011</v>
      </c>
      <c r="AB309" s="47" t="n">
        <f aca="false">10*LOG10(AA309/L_PREF^2)</f>
        <v>-14.2915776646743</v>
      </c>
      <c r="AC309" s="47" t="n">
        <f aca="false">10*LOG10(S309/L_PREF^2)</f>
        <v>-22.6373817031123</v>
      </c>
      <c r="AD309" s="47" t="n">
        <f aca="false">10*LOG10(T309/L_PREF^2)</f>
        <v>-19.4420762220674</v>
      </c>
      <c r="AE309" s="47" t="n">
        <f aca="false">10*LOG10(U309/L_PREF^2)</f>
        <v>-20.6291266402422</v>
      </c>
      <c r="AF309" s="47" t="n">
        <f aca="false">10*LOG10(V309/L_PREF^2)</f>
        <v>-46.8686459340885</v>
      </c>
      <c r="AG309" s="47" t="n">
        <f aca="false">10*LOG10(W309/L_PREF^2)</f>
        <v>-42.05295333623</v>
      </c>
      <c r="AH309" s="47" t="n">
        <f aca="false">10*LOG10(X309/L_PREF^2)</f>
        <v>-22.3003500631998</v>
      </c>
      <c r="AI309" s="47" t="n">
        <f aca="false">10*LOG10(Y309/L_PREF^2)</f>
        <v>-50.2393341263891</v>
      </c>
      <c r="AJ309" s="47" t="n">
        <f aca="false">10*LOG10(Z309/L_PREF^2)</f>
        <v>-22.384661767457</v>
      </c>
      <c r="AK309" s="47" t="n">
        <f aca="false">10*LOG10(R309/$R$6)</f>
        <v>1.09695272103099</v>
      </c>
      <c r="AL309" s="37" t="n">
        <f aca="false">(12194^2*B309^4/((B309^2+20.6^2)*SQRT((B309^2+107.7^2)*(B309^2+737.9^2))*(B309^2+12194^2))*1.2589254)^2</f>
        <v>0.561300507743493</v>
      </c>
      <c r="AM309" s="37" t="n">
        <f aca="false">0.5*(B309-B308)*(S309*AL309+S308*AL308)</f>
        <v>2.83178445418313E-010</v>
      </c>
      <c r="AN309" s="37" t="n">
        <f aca="false">0.5*(B309-B308)*(T309*AL309+T308*AL308)</f>
        <v>5.95092405253259E-010</v>
      </c>
      <c r="AO309" s="37" t="n">
        <f aca="false">0.5*(B309-B308)*(U309*AL309+U308*AL308)</f>
        <v>4.52771795872659E-010</v>
      </c>
      <c r="AP309" s="37" t="n">
        <f aca="false">0.5*(B309-B308)*(V309*AL309+V308*AL308)</f>
        <v>1.20162267967372E-012</v>
      </c>
      <c r="AQ309" s="37" t="n">
        <f aca="false">0.5*(B309-B308)*(W309*AL309+W308*AL308)</f>
        <v>3.35136542037538E-012</v>
      </c>
      <c r="AR309" s="37" t="n">
        <f aca="false">0.5*(B309-B308)*(X309*AL309+X308*AL308)</f>
        <v>3.0915483804176E-010</v>
      </c>
      <c r="AS309" s="37" t="n">
        <f aca="false">0.5*(B309-B308)*(Y309*AL309+Y308*AL308)</f>
        <v>5.08842883788668E-013</v>
      </c>
      <c r="AT309" s="37" t="n">
        <f aca="false">0.5*(B309-B308)*(Z309*AL309+Z308*AL308)</f>
        <v>3.03175224491386E-010</v>
      </c>
      <c r="AU309" s="37" t="n">
        <f aca="false">0.5*(B309-B308)*(AA309*AL309+AA308*AL308)</f>
        <v>1.94843454006122E-009</v>
      </c>
      <c r="AV309" s="37" t="n">
        <f aca="false">0.5*(B309-B308)*(S309+S308)</f>
        <v>4.95364756655837E-010</v>
      </c>
      <c r="AW309" s="37" t="n">
        <f aca="false">0.5*(B309-B308)*(T309+T308)</f>
        <v>1.04086842230971E-009</v>
      </c>
      <c r="AX309" s="37" t="n">
        <f aca="false">0.5*(B309-B308)*(U309+U308)</f>
        <v>7.91937286841598E-010</v>
      </c>
      <c r="AY309" s="37" t="n">
        <f aca="false">0.5*(B309-B308)*(V309+V308)</f>
        <v>2.09783912902197E-012</v>
      </c>
      <c r="AZ309" s="37" t="n">
        <f aca="false">0.5*(B309-B308)*(W309+W308)</f>
        <v>5.85904962746002E-012</v>
      </c>
      <c r="BA309" s="37" t="n">
        <f aca="false">0.5*(B309-B308)*(X309+X308)</f>
        <v>5.40707316318632E-010</v>
      </c>
      <c r="BB309" s="37" t="n">
        <f aca="false">0.5*(B309-B308)*(Y309+Y308)</f>
        <v>8.89588372121995E-013</v>
      </c>
      <c r="BC309" s="37" t="n">
        <f aca="false">0.5*(B309-B308)*(Z309+Z308)</f>
        <v>5.30250168092659E-010</v>
      </c>
      <c r="BD309" s="37" t="n">
        <f aca="false">0.5*(B309-B308)*(AA309+AA308)</f>
        <v>3.40797442734704E-009</v>
      </c>
      <c r="BE309" s="37" t="n">
        <f aca="false">IF(B309&gt;2000,AK309,-999)</f>
        <v>1.09695272103099</v>
      </c>
      <c r="BF309" s="37" t="n">
        <f aca="false">IF(AND(B309&lt;1000,AK309&gt;=-3),B309,1000000000)</f>
        <v>1000000000</v>
      </c>
    </row>
    <row r="310" customFormat="false" ht="15" hidden="false" customHeight="false" outlineLevel="0" collapsed="false">
      <c r="A310" s="5" t="n">
        <v>271</v>
      </c>
      <c r="B310" s="47" t="n">
        <f aca="false">20*10^(A310/100)</f>
        <v>10257.2276798273</v>
      </c>
      <c r="C310" s="37" t="n">
        <f aca="false">2*PI()*B310</f>
        <v>64448.0622502866</v>
      </c>
      <c r="D310" s="37" t="n">
        <f aca="false">SQRT(L_Rp0^2+L_Rp1^2*C310)</f>
        <v>133376615.2055</v>
      </c>
      <c r="E310" s="5" t="str">
        <f aca="false">COMPLEX(D310,C310*L_Mp)</f>
        <v>133376615.2055+952073124.466422i</v>
      </c>
      <c r="F310" s="5" t="str">
        <f aca="false">IMDIV(1,E310)</f>
        <v>1.44310665499006e-10-1.03012290410712e-09i</v>
      </c>
      <c r="G310" s="5" t="str">
        <f aca="false">COMPLEX(0,C310*L_Cf)</f>
        <v>6.8148527281682e-11i</v>
      </c>
      <c r="H310" s="5" t="str">
        <f aca="false">COMPLEX(0,C310*L_Cbv)</f>
        <v>6.8148527281682e-10i</v>
      </c>
      <c r="I310" s="5" t="str">
        <f aca="false">COMPLEX(L_Rsq+L_Rh,C310*(L_Md+L_Mh)-1/(C310*L_Cd))</f>
        <v>552400610.124532-17631681960.2865i</v>
      </c>
      <c r="J310" s="5" t="str">
        <f aca="false">IMDIV(1,I310)</f>
        <v>1.77517258320347e-12+5.66604703868949e-11i</v>
      </c>
      <c r="K310" s="5" t="str">
        <f aca="false">IMSUM(F310,G310,H310)</f>
        <v>1.44310665499006e-10-2.80489104008618e-10i</v>
      </c>
      <c r="L310" s="5" t="str">
        <f aca="false">IMSUM(IMPRODUCT(IMSUM(F310,G310),H310),IMPRODUCT(IMSUM(J310,L_Yv),K310))</f>
        <v>6.72008812873057e-19+1.05463408661646e-19i</v>
      </c>
      <c r="M310" s="37" t="n">
        <f aca="false">IMABS(IMDIV(IMPRODUCT(J310,F310,H310),L310))^2</f>
        <v>3.48980671190138E-021</v>
      </c>
      <c r="N310" s="5" t="str">
        <f aca="false">IMDIV(IMPRODUCT(L_Yv,K310,E310),H310)</f>
        <v>0.0002934285534521-0.00084020540767148i</v>
      </c>
      <c r="O310" s="37" t="n">
        <f aca="false">IMABS(IMSUM(1,IMPRODUCT(E310,G310),N310))^2</f>
        <v>0.875061876869424</v>
      </c>
      <c r="P310" s="37" t="n">
        <f aca="false">IMABS(N310)^2</f>
        <v>7.9204544306139E-007</v>
      </c>
      <c r="Q310" s="37" t="n">
        <f aca="false">p_Rb^2/(1+(C310*p_Rb*L_Ctot)^2)</f>
        <v>39687408993442.8</v>
      </c>
      <c r="R310" s="37" t="n">
        <f aca="false">M310*L_Kt^2*Q310</f>
        <v>2.77965915459207E-005</v>
      </c>
      <c r="S310" s="37" t="n">
        <f aca="false">L_kT4*D310</f>
        <v>2.19612865939219E-012</v>
      </c>
      <c r="T310" s="37" t="n">
        <f aca="false">L_kT4*L_Rsq*O310</f>
        <v>4.52012458514032E-012</v>
      </c>
      <c r="U310" s="37" t="n">
        <f aca="false">L_kT4*L_Rh*O310</f>
        <v>3.4391044280109E-012</v>
      </c>
      <c r="V310" s="37" t="n">
        <f aca="false">L_kT4*p_Rv*P310</f>
        <v>6.52075963379365E-015</v>
      </c>
      <c r="W310" s="37" t="n">
        <f aca="false">L_kT4/p_Rb*Q310/R310</f>
        <v>2.35092778608909E-014</v>
      </c>
      <c r="X310" s="37" t="n">
        <f aca="false">p_en^2*(1+p_fc/B310)/R310</f>
        <v>2.3248875735416E-012</v>
      </c>
      <c r="Y310" s="37" t="n">
        <f aca="false">p_in^2*Q310/R310</f>
        <v>3.56944923695754E-015</v>
      </c>
      <c r="Z310" s="37" t="n">
        <f aca="false">p_eo^2/L_G^2/R310</f>
        <v>2.2807014879401E-012</v>
      </c>
      <c r="AA310" s="37" t="n">
        <f aca="false">SUM(S310:Z310)</f>
        <v>1.47945462207568E-011</v>
      </c>
      <c r="AB310" s="47" t="n">
        <f aca="false">10*LOG10(AA310/L_PREF^2)</f>
        <v>-14.3195834233443</v>
      </c>
      <c r="AC310" s="47" t="n">
        <f aca="false">10*LOG10(S310/L_PREF^2)</f>
        <v>-22.6040221182163</v>
      </c>
      <c r="AD310" s="47" t="n">
        <f aca="false">10*LOG10(T310/L_PREF^2)</f>
        <v>-19.469095861862</v>
      </c>
      <c r="AE310" s="47" t="n">
        <f aca="false">10*LOG10(U310/L_PREF^2)</f>
        <v>-20.6561462800368</v>
      </c>
      <c r="AF310" s="47" t="n">
        <f aca="false">10*LOG10(V310/L_PREF^2)</f>
        <v>-47.8776179965309</v>
      </c>
      <c r="AG310" s="47" t="n">
        <f aca="false">10*LOG10(W310/L_PREF^2)</f>
        <v>-42.3082070230711</v>
      </c>
      <c r="AH310" s="47" t="n">
        <f aca="false">10*LOG10(X310/L_PREF^2)</f>
        <v>-22.3565803512179</v>
      </c>
      <c r="AI310" s="47" t="n">
        <f aca="false">10*LOG10(Y310/L_PREF^2)</f>
        <v>-50.4945878132302</v>
      </c>
      <c r="AJ310" s="47" t="n">
        <f aca="false">10*LOG10(Z310/L_PREF^2)</f>
        <v>-22.4399154543062</v>
      </c>
      <c r="AK310" s="47" t="n">
        <f aca="false">10*LOG10(R310/$R$6)</f>
        <v>1.15220640788021</v>
      </c>
      <c r="AL310" s="37" t="n">
        <f aca="false">(12194^2*B310^4/((B310^2+20.6^2)*SQRT((B310^2+107.7^2)*(B310^2+737.9^2))*(B310^2+12194^2))*1.2589254)^2</f>
        <v>0.540693645695581</v>
      </c>
      <c r="AM310" s="37" t="n">
        <f aca="false">0.5*(B310-B309)*(S310*AL310+S309*AL309)</f>
        <v>2.81427404237246E-010</v>
      </c>
      <c r="AN310" s="37" t="n">
        <f aca="false">0.5*(B310-B309)*(T310*AL310+T309*AL309)</f>
        <v>5.83355535933775E-010</v>
      </c>
      <c r="AO310" s="37" t="n">
        <f aca="false">0.5*(B310-B309)*(U310*AL310+U309*AL309)</f>
        <v>4.43841882883022E-010</v>
      </c>
      <c r="AP310" s="37" t="n">
        <f aca="false">0.5*(B310-B309)*(V310*AL310+V309*AL309)</f>
        <v>9.5063335245336E-013</v>
      </c>
      <c r="AQ310" s="37" t="n">
        <f aca="false">0.5*(B310-B309)*(W310*AL310+W309*AL309)</f>
        <v>3.11768743125696E-012</v>
      </c>
      <c r="AR310" s="37" t="n">
        <f aca="false">0.5*(B310-B309)*(X310*AL310+X309*AL309)</f>
        <v>3.01078479800433E-010</v>
      </c>
      <c r="AS310" s="37" t="n">
        <f aca="false">0.5*(B310-B309)*(Y310*AL310+Y309*AL309)</f>
        <v>4.73363201048599E-013</v>
      </c>
      <c r="AT310" s="37" t="n">
        <f aca="false">0.5*(B310-B309)*(Z310*AL310+Z309*AL309)</f>
        <v>2.95322235913708E-010</v>
      </c>
      <c r="AU310" s="37" t="n">
        <f aca="false">0.5*(B310-B309)*(AA310*AL310+AA309*AL309)</f>
        <v>1.90956722275294E-009</v>
      </c>
      <c r="AV310" s="37" t="n">
        <f aca="false">0.5*(B310-B309)*(S310+S309)</f>
        <v>5.10796933949314E-010</v>
      </c>
      <c r="AW310" s="37" t="n">
        <f aca="false">0.5*(B310-B309)*(T310+T309)</f>
        <v>1.05866551560579E-009</v>
      </c>
      <c r="AX310" s="37" t="n">
        <f aca="false">0.5*(B310-B309)*(U310+U309)</f>
        <v>8.05478077854635E-010</v>
      </c>
      <c r="AY310" s="37" t="n">
        <f aca="false">0.5*(B310-B309)*(V310+V309)</f>
        <v>1.72157369265051E-012</v>
      </c>
      <c r="AZ310" s="37" t="n">
        <f aca="false">0.5*(B310-B309)*(W310+W309)</f>
        <v>5.65515814509837E-012</v>
      </c>
      <c r="BA310" s="37" t="n">
        <f aca="false">0.5*(B310-B309)*(X310+X309)</f>
        <v>5.46358683003873E-010</v>
      </c>
      <c r="BB310" s="37" t="n">
        <f aca="false">0.5*(B310-B309)*(Y310+Y309)</f>
        <v>8.58631219782209E-013</v>
      </c>
      <c r="BC310" s="37" t="n">
        <f aca="false">0.5*(B310-B309)*(Z310+Z309)</f>
        <v>5.35914115051058E-010</v>
      </c>
      <c r="BD310" s="37" t="n">
        <f aca="false">0.5*(B310-B309)*(AA310+AA309)</f>
        <v>3.4654486885222E-009</v>
      </c>
      <c r="BE310" s="37" t="n">
        <f aca="false">IF(B310&gt;2000,AK310,-999)</f>
        <v>1.15220640788021</v>
      </c>
      <c r="BF310" s="37" t="n">
        <f aca="false">IF(AND(B310&lt;1000,AK310&gt;=-3),B310,1000000000)</f>
        <v>1000000000</v>
      </c>
    </row>
    <row r="311" customFormat="false" ht="15" hidden="false" customHeight="false" outlineLevel="0" collapsed="false">
      <c r="A311" s="5" t="n">
        <v>272</v>
      </c>
      <c r="B311" s="47" t="n">
        <f aca="false">20*10^(A311/100)</f>
        <v>10496.1492049955</v>
      </c>
      <c r="C311" s="37" t="n">
        <f aca="false">2*PI()*B311</f>
        <v>65949.2504667922</v>
      </c>
      <c r="D311" s="37" t="n">
        <f aca="false">SQRT(L_Rp0^2+L_Rp1^2*C311)</f>
        <v>134412950.685626</v>
      </c>
      <c r="E311" s="5" t="str">
        <f aca="false">COMPLEX(D311,C311*L_Mp)</f>
        <v>134412950.685626+974249756.405332i</v>
      </c>
      <c r="F311" s="5" t="str">
        <f aca="false">IMDIV(1,E311)</f>
        <v>1.38966977877488e-10-1.00725818200497e-09i</v>
      </c>
      <c r="G311" s="5" t="str">
        <f aca="false">COMPLEX(0,C311*L_Cf)</f>
        <v>6.9735910401599e-11i</v>
      </c>
      <c r="H311" s="5" t="str">
        <f aca="false">COMPLEX(0,C311*L_Cbv)</f>
        <v>6.9735910401599e-10i</v>
      </c>
      <c r="I311" s="5" t="str">
        <f aca="false">COMPLEX(L_Rsq+L_Rh,C311*(L_Md+L_Mh)-1/(C311*L_Cd))</f>
        <v>552400610.124532-17219151710.3877i</v>
      </c>
      <c r="J311" s="5" t="str">
        <f aca="false">IMDIV(1,I311)</f>
        <v>1.86116087420838e-12+5.8015163023095e-11i</v>
      </c>
      <c r="K311" s="5" t="str">
        <f aca="false">IMSUM(F311,G311,H311)</f>
        <v>1.38966977877488e-10-2.40163167587381e-10i</v>
      </c>
      <c r="L311" s="5" t="str">
        <f aca="false">IMSUM(IMPRODUCT(IMSUM(F311,G311),H311),IMPRODUCT(IMSUM(J311,L_Yv),K311))</f>
        <v>6.68259370497875e-19+1.0404477043073e-19i</v>
      </c>
      <c r="M311" s="37" t="n">
        <f aca="false">IMABS(IMDIV(IMPRODUCT(J311,F311,H311),L311))^2</f>
        <v>3.70357330120737E-021</v>
      </c>
      <c r="N311" s="5" t="str">
        <f aca="false">IMDIV(IMPRODUCT(L_Yv,K311,E311),H311)</f>
        <v>0.000295708491508379-0.000724613380993798i</v>
      </c>
      <c r="O311" s="37" t="n">
        <f aca="false">IMABS(IMSUM(1,IMPRODUCT(E311,G311),N311))^2</f>
        <v>0.869361607596182</v>
      </c>
      <c r="P311" s="37" t="n">
        <f aca="false">IMABS(N311)^2</f>
        <v>6.12508063865408E-007</v>
      </c>
      <c r="Q311" s="37" t="n">
        <f aca="false">p_Rb^2/(1+(C311*p_Rb*L_Ctot)^2)</f>
        <v>37901181347206</v>
      </c>
      <c r="R311" s="37" t="n">
        <f aca="false">M311*L_Kt^2*Q311</f>
        <v>2.81715742565536E-005</v>
      </c>
      <c r="S311" s="37" t="n">
        <f aca="false">L_kT4*D311</f>
        <v>2.21319256557352E-012</v>
      </c>
      <c r="T311" s="37" t="n">
        <f aca="false">L_kT4*L_Rsq*O311</f>
        <v>4.49067989332484E-012</v>
      </c>
      <c r="U311" s="37" t="n">
        <f aca="false">L_kT4*L_Rh*O311</f>
        <v>3.41670164505732E-012</v>
      </c>
      <c r="V311" s="37" t="n">
        <f aca="false">L_kT4*p_Rv*P311</f>
        <v>5.04266250530916E-015</v>
      </c>
      <c r="W311" s="37" t="n">
        <f aca="false">L_kT4/p_Rb*Q311/R311</f>
        <v>2.2152345585855E-014</v>
      </c>
      <c r="X311" s="37" t="n">
        <f aca="false">p_en^2*(1+p_fc/B311)/R311</f>
        <v>2.29343759214017E-012</v>
      </c>
      <c r="Y311" s="37" t="n">
        <f aca="false">p_in^2*Q311/R311</f>
        <v>3.36342415603461E-015</v>
      </c>
      <c r="Z311" s="37" t="n">
        <f aca="false">p_eo^2/L_G^2/R311</f>
        <v>2.25034380830516E-012</v>
      </c>
      <c r="AA311" s="37" t="n">
        <f aca="false">SUM(S311:Z311)</f>
        <v>1.46949139366482E-011</v>
      </c>
      <c r="AB311" s="47" t="n">
        <f aca="false">10*LOG10(AA311/L_PREF^2)</f>
        <v>-14.3489294443401</v>
      </c>
      <c r="AC311" s="47" t="n">
        <f aca="false">10*LOG10(S311/L_PREF^2)</f>
        <v>-22.5704078863991</v>
      </c>
      <c r="AD311" s="47" t="n">
        <f aca="false">10*LOG10(T311/L_PREF^2)</f>
        <v>-19.4974789273761</v>
      </c>
      <c r="AE311" s="47" t="n">
        <f aca="false">10*LOG10(U311/L_PREF^2)</f>
        <v>-20.6845293455509</v>
      </c>
      <c r="AF311" s="47" t="n">
        <f aca="false">10*LOG10(V311/L_PREF^2)</f>
        <v>-48.9940008860343</v>
      </c>
      <c r="AG311" s="47" t="n">
        <f aca="false">10*LOG10(W311/L_PREF^2)</f>
        <v>-42.5664027336206</v>
      </c>
      <c r="AH311" s="47" t="n">
        <f aca="false">10*LOG10(X311/L_PREF^2)</f>
        <v>-22.4157306450021</v>
      </c>
      <c r="AI311" s="47" t="n">
        <f aca="false">10*LOG10(Y311/L_PREF^2)</f>
        <v>-50.7527835237798</v>
      </c>
      <c r="AJ311" s="47" t="n">
        <f aca="false">10*LOG10(Z311/L_PREF^2)</f>
        <v>-22.4981111648635</v>
      </c>
      <c r="AK311" s="47" t="n">
        <f aca="false">10*LOG10(R311/$R$6)</f>
        <v>1.21040211843752</v>
      </c>
      <c r="AL311" s="37" t="n">
        <f aca="false">(12194^2*B311^4/((B311^2+20.6^2)*SQRT((B311^2+107.7^2)*(B311^2+737.9^2))*(B311^2+12194^2))*1.2589254)^2</f>
        <v>0.5203017593427</v>
      </c>
      <c r="AM311" s="37" t="n">
        <f aca="false">0.5*(B311-B310)*(S311*AL311+S310*AL310)</f>
        <v>2.79414040451389E-010</v>
      </c>
      <c r="AN311" s="37" t="n">
        <f aca="false">0.5*(B311-B310)*(T311*AL311+T310*AL310)</f>
        <v>5.71083524254702E-010</v>
      </c>
      <c r="AO311" s="37" t="n">
        <f aca="false">0.5*(B311-B310)*(U311*AL311+U310*AL310)</f>
        <v>4.34504810660533E-010</v>
      </c>
      <c r="AP311" s="37" t="n">
        <f aca="false">0.5*(B311-B310)*(V311*AL311+V310*AL310)</f>
        <v>7.34616728835665E-013</v>
      </c>
      <c r="AQ311" s="37" t="n">
        <f aca="false">0.5*(B311-B310)*(W311*AL311+W310*AL310)</f>
        <v>2.89539696762934E-012</v>
      </c>
      <c r="AR311" s="37" t="n">
        <f aca="false">0.5*(B311-B310)*(X311*AL311+X310*AL310)</f>
        <v>2.92718475798148E-010</v>
      </c>
      <c r="AS311" s="37" t="n">
        <f aca="false">0.5*(B311-B310)*(Y311*AL311+Y310*AL310)</f>
        <v>4.39612503537873E-013</v>
      </c>
      <c r="AT311" s="37" t="n">
        <f aca="false">0.5*(B311-B310)*(Z311*AL311+Z310*AL310)</f>
        <v>2.87185900579504E-010</v>
      </c>
      <c r="AU311" s="37" t="n">
        <f aca="false">0.5*(B311-B310)*(AA311*AL311+AA310*AL310)</f>
        <v>1.86897637794428E-009</v>
      </c>
      <c r="AV311" s="37" t="n">
        <f aca="false">0.5*(B311-B310)*(S311+S310)</f>
        <v>5.26740876012568E-010</v>
      </c>
      <c r="AW311" s="37" t="n">
        <f aca="false">0.5*(B311-B310)*(T311+T310)</f>
        <v>1.07643757449348E-009</v>
      </c>
      <c r="AX311" s="37" t="n">
        <f aca="false">0.5*(B311-B310)*(U311+U310)</f>
        <v>8.18999821617289E-010</v>
      </c>
      <c r="AY311" s="37" t="n">
        <f aca="false">0.5*(B311-B310)*(V311+V310)</f>
        <v>1.38137522681884E-012</v>
      </c>
      <c r="AZ311" s="37" t="n">
        <f aca="false">0.5*(B311-B310)*(W311+W310)</f>
        <v>5.45477235777532E-012</v>
      </c>
      <c r="BA311" s="37" t="n">
        <f aca="false">0.5*(B311-B310)*(X311+X310)</f>
        <v>5.51708646153588E-010</v>
      </c>
      <c r="BB311" s="37" t="n">
        <f aca="false">0.5*(B311-B310)*(Y311+Y310)</f>
        <v>8.28206342425713E-013</v>
      </c>
      <c r="BC311" s="37" t="n">
        <f aca="false">0.5*(B311-B310)*(Z311+Z310)</f>
        <v>5.41282126392464E-010</v>
      </c>
      <c r="BD311" s="37" t="n">
        <f aca="false">0.5*(B311-B310)*(AA311+AA310)</f>
        <v>3.52283339859641E-009</v>
      </c>
      <c r="BE311" s="37" t="n">
        <f aca="false">IF(B311&gt;2000,AK311,-999)</f>
        <v>1.21040211843752</v>
      </c>
      <c r="BF311" s="37" t="n">
        <f aca="false">IF(AND(B311&lt;1000,AK311&gt;=-3),B311,1000000000)</f>
        <v>1000000000</v>
      </c>
    </row>
    <row r="312" customFormat="false" ht="15" hidden="false" customHeight="false" outlineLevel="0" collapsed="false">
      <c r="A312" s="5" t="n">
        <v>273</v>
      </c>
      <c r="B312" s="47" t="n">
        <f aca="false">20*10^(A312/100)</f>
        <v>10740.6359274051</v>
      </c>
      <c r="C312" s="37" t="n">
        <f aca="false">2*PI()*B312</f>
        <v>67485.4058488366</v>
      </c>
      <c r="D312" s="37" t="n">
        <f aca="false">SQRT(L_Rp0^2+L_Rp1^2*C312)</f>
        <v>135465218.442139</v>
      </c>
      <c r="E312" s="5" t="str">
        <f aca="false">COMPLEX(D312,C312*L_Mp)</f>
        <v>135465218.442139+996942948.460808i</v>
      </c>
      <c r="F312" s="5" t="str">
        <f aca="false">IMDIV(1,E312)</f>
        <v>1.33826371609494e-10-9.84882016420823e-10i</v>
      </c>
      <c r="G312" s="5" t="str">
        <f aca="false">COMPLEX(0,C312*L_Cf)</f>
        <v>7.13602684242747e-11i</v>
      </c>
      <c r="H312" s="5" t="str">
        <f aca="false">COMPLEX(0,C312*L_Cbv)</f>
        <v>7.13602684242748e-10i</v>
      </c>
      <c r="I312" s="5" t="str">
        <f aca="false">COMPLEX(L_Rsq+L_Rh,C312*(L_Md+L_Mh)-1/(C312*L_Cd))</f>
        <v>552400610.124532-16815751282.6481i</v>
      </c>
      <c r="J312" s="5" t="str">
        <f aca="false">IMDIV(1,I312)</f>
        <v>1.95143095383508e-12+5.94039488072862e-11i</v>
      </c>
      <c r="K312" s="5" t="str">
        <f aca="false">IMSUM(F312,G312,H312)</f>
        <v>1.33826371609494e-10-1.999190637538e-10i</v>
      </c>
      <c r="L312" s="5" t="str">
        <f aca="false">IMSUM(IMPRODUCT(IMSUM(F312,G312),H312),IMPRODUCT(IMSUM(J312,L_Yv),K312))</f>
        <v>6.64296358980512e-19+1.02658706554379e-19i</v>
      </c>
      <c r="M312" s="37" t="n">
        <f aca="false">IMABS(IMDIV(IMPRODUCT(J312,F312,H312),L312))^2</f>
        <v>3.93325683496474E-021</v>
      </c>
      <c r="N312" s="5" t="str">
        <f aca="false">IMDIV(IMPRODUCT(L_Yv,K312,E312),H312)</f>
        <v>0.000298023480572705-0.000609405553922135i</v>
      </c>
      <c r="O312" s="37" t="n">
        <f aca="false">IMABS(IMSUM(1,IMPRODUCT(E312,G312),N312))^2</f>
        <v>0.863412736668249</v>
      </c>
      <c r="P312" s="37" t="n">
        <f aca="false">IMABS(N312)^2</f>
        <v>4.60193124123805E-007</v>
      </c>
      <c r="Q312" s="37" t="n">
        <f aca="false">p_Rb^2/(1+(C312*p_Rb*L_Ctot)^2)</f>
        <v>36195347188097.4</v>
      </c>
      <c r="R312" s="37" t="n">
        <f aca="false">M312*L_Kt^2*Q312</f>
        <v>2.85721208173665E-005</v>
      </c>
      <c r="S312" s="37" t="n">
        <f aca="false">L_kT4*D312</f>
        <v>2.23051880656315E-012</v>
      </c>
      <c r="T312" s="37" t="n">
        <f aca="false">L_kT4*L_Rsq*O312</f>
        <v>4.45995105180408E-012</v>
      </c>
      <c r="U312" s="37" t="n">
        <f aca="false">L_kT4*L_Rh*O312</f>
        <v>3.39332182599456E-012</v>
      </c>
      <c r="V312" s="37" t="n">
        <f aca="false">L_kT4*p_Rv*P312</f>
        <v>3.78868254823519E-015</v>
      </c>
      <c r="W312" s="37" t="n">
        <f aca="false">L_kT4/p_Rb*Q312/R312</f>
        <v>2.08587537283532E-014</v>
      </c>
      <c r="X312" s="37" t="n">
        <f aca="false">p_en^2*(1+p_fc/B312)/R312</f>
        <v>2.26080059987952E-012</v>
      </c>
      <c r="Y312" s="37" t="n">
        <f aca="false">p_in^2*Q312/R312</f>
        <v>3.16701614656633E-015</v>
      </c>
      <c r="Z312" s="37" t="n">
        <f aca="false">p_eo^2/L_G^2/R312</f>
        <v>2.2187967110902E-012</v>
      </c>
      <c r="AA312" s="37" t="n">
        <f aca="false">SUM(S312:Z312)</f>
        <v>1.45912034477547E-011</v>
      </c>
      <c r="AB312" s="47" t="n">
        <f aca="false">10*LOG10(AA312/L_PREF^2)</f>
        <v>-14.3796887838139</v>
      </c>
      <c r="AC312" s="47" t="n">
        <f aca="false">10*LOG10(S312/L_PREF^2)</f>
        <v>-22.536541019919</v>
      </c>
      <c r="AD312" s="47" t="n">
        <f aca="false">10*LOG10(T312/L_PREF^2)</f>
        <v>-19.5272989899431</v>
      </c>
      <c r="AE312" s="47" t="n">
        <f aca="false">10*LOG10(U312/L_PREF^2)</f>
        <v>-20.7143494081178</v>
      </c>
      <c r="AF312" s="47" t="n">
        <f aca="false">10*LOG10(V312/L_PREF^2)</f>
        <v>-50.2357177384011</v>
      </c>
      <c r="AG312" s="47" t="n">
        <f aca="false">10*LOG10(W312/L_PREF^2)</f>
        <v>-42.8277163474791</v>
      </c>
      <c r="AH312" s="47" t="n">
        <f aca="false">10*LOG10(X312/L_PREF^2)</f>
        <v>-22.4779773158802</v>
      </c>
      <c r="AI312" s="47" t="n">
        <f aca="false">10*LOG10(Y312/L_PREF^2)</f>
        <v>-51.0140971376382</v>
      </c>
      <c r="AJ312" s="47" t="n">
        <f aca="false">10*LOG10(Z312/L_PREF^2)</f>
        <v>-22.5594247787294</v>
      </c>
      <c r="AK312" s="47" t="n">
        <f aca="false">10*LOG10(R312/$R$6)</f>
        <v>1.27171573230338</v>
      </c>
      <c r="AL312" s="37" t="n">
        <f aca="false">(12194^2*B312^4/((B312^2+20.6^2)*SQRT((B312^2+107.7^2)*(B312^2+737.9^2))*(B312^2+12194^2))*1.2589254)^2</f>
        <v>0.500154787805441</v>
      </c>
      <c r="AM312" s="37" t="n">
        <f aca="false">0.5*(B312-B311)*(S312*AL312+S311*AL311)</f>
        <v>2.77141914947192E-010</v>
      </c>
      <c r="AN312" s="37" t="n">
        <f aca="false">0.5*(B312-B311)*(T312*AL312+T311*AL311)</f>
        <v>5.58306764665679E-010</v>
      </c>
      <c r="AO312" s="37" t="n">
        <f aca="false">0.5*(B312-B311)*(U312*AL312+U311*AL311)</f>
        <v>4.24783704604586E-010</v>
      </c>
      <c r="AP312" s="37" t="n">
        <f aca="false">0.5*(B312-B311)*(V312*AL312+V311*AL311)</f>
        <v>5.52372994676881E-013</v>
      </c>
      <c r="AQ312" s="37" t="n">
        <f aca="false">0.5*(B312-B311)*(W312*AL312+W311*AL311)</f>
        <v>2.68428206049832E-012</v>
      </c>
      <c r="AR312" s="37" t="n">
        <f aca="false">0.5*(B312-B311)*(X312*AL312+X311*AL311)</f>
        <v>2.84097221435575E-010</v>
      </c>
      <c r="AS312" s="37" t="n">
        <f aca="false">0.5*(B312-B311)*(Y312*AL312+Y311*AL311)</f>
        <v>4.07558607683302E-013</v>
      </c>
      <c r="AT312" s="37" t="n">
        <f aca="false">0.5*(B312-B311)*(Z312*AL312+Z311*AL311)</f>
        <v>2.78788165654565E-010</v>
      </c>
      <c r="AU312" s="37" t="n">
        <f aca="false">0.5*(B312-B311)*(AA312*AL312+AA311*AL311)</f>
        <v>1.82676198497045E-009</v>
      </c>
      <c r="AV312" s="37" t="n">
        <f aca="false">0.5*(B312-B311)*(S312+S311)</f>
        <v>5.43214214353976E-010</v>
      </c>
      <c r="AW312" s="37" t="n">
        <f aca="false">0.5*(B312-B311)*(T312+T311)</f>
        <v>1.09415521163624E-009</v>
      </c>
      <c r="AX312" s="37" t="n">
        <f aca="false">0.5*(B312-B311)*(U312+U311)</f>
        <v>8.32480158984954E-010</v>
      </c>
      <c r="AY312" s="37" t="n">
        <f aca="false">0.5*(B312-B311)*(V312+V311)</f>
        <v>1.07957330330464E-012</v>
      </c>
      <c r="AZ312" s="37" t="n">
        <f aca="false">0.5*(B312-B311)*(W312+W311)</f>
        <v>5.25782134928224E-012</v>
      </c>
      <c r="BA312" s="37" t="n">
        <f aca="false">0.5*(B312-B311)*(X312+X311)</f>
        <v>5.56725384319753E-010</v>
      </c>
      <c r="BB312" s="37" t="n">
        <f aca="false">0.5*(B312-B311)*(Y312+Y311)</f>
        <v>7.98302972737223E-013</v>
      </c>
      <c r="BC312" s="37" t="n">
        <f aca="false">0.5*(B312-B311)*(Z312+Z311)</f>
        <v>5.4632275878745E-010</v>
      </c>
      <c r="BD312" s="37" t="n">
        <f aca="false">0.5*(B312-B311)*(AA312+AA311)</f>
        <v>3.5800334257077E-009</v>
      </c>
      <c r="BE312" s="37" t="n">
        <f aca="false">IF(B312&gt;2000,AK312,-999)</f>
        <v>1.27171573230338</v>
      </c>
      <c r="BF312" s="37" t="n">
        <f aca="false">IF(AND(B312&lt;1000,AK312&gt;=-3),B312,1000000000)</f>
        <v>1000000000</v>
      </c>
    </row>
    <row r="313" customFormat="false" ht="15" hidden="false" customHeight="false" outlineLevel="0" collapsed="false">
      <c r="A313" s="5" t="n">
        <v>274</v>
      </c>
      <c r="B313" s="47" t="n">
        <f aca="false">20*10^(A313/100)</f>
        <v>10990.8174771525</v>
      </c>
      <c r="C313" s="37" t="n">
        <f aca="false">2*PI()*B313</f>
        <v>69057.3428863372</v>
      </c>
      <c r="D313" s="37" t="n">
        <f aca="false">SQRT(L_Rp0^2+L_Rp1^2*C313)</f>
        <v>136533601.51436</v>
      </c>
      <c r="E313" s="5" t="str">
        <f aca="false">COMPLEX(D313,C313*L_Mp)</f>
        <v>136533601.51436+1020164732.86366i</v>
      </c>
      <c r="F313" s="5" t="str">
        <f aca="false">IMDIV(1,E313)</f>
        <v>1.28880970828522e-10-9.62985079996299e-10i</v>
      </c>
      <c r="G313" s="5" t="str">
        <f aca="false">COMPLEX(0,C313*L_Cf)</f>
        <v>7.30224626058339e-11i</v>
      </c>
      <c r="H313" s="5" t="str">
        <f aca="false">COMPLEX(0,C313*L_Cbv)</f>
        <v>7.3022462605834e-10i</v>
      </c>
      <c r="I313" s="5" t="str">
        <f aca="false">COMPLEX(L_Rsq+L_Rh,C313*(L_Md+L_Mh)-1/(C313*L_Cd))</f>
        <v>552400610.124532-16421266788.8214i</v>
      </c>
      <c r="J313" s="5" t="str">
        <f aca="false">IMDIV(1,I313)</f>
        <v>2.04620745974249e-12+6.08278086335438e-11i</v>
      </c>
      <c r="K313" s="5" t="str">
        <f aca="false">IMSUM(F313,G313,H313)</f>
        <v>1.28880970828522e-10-1.59737991332125e-10i</v>
      </c>
      <c r="L313" s="5" t="str">
        <f aca="false">IMSUM(IMPRODUCT(IMSUM(F313,G313),H313),IMPRODUCT(IMSUM(J313,L_Yv),K313))</f>
        <v>6.60110610603696e-19+1.01305272707224e-19i</v>
      </c>
      <c r="M313" s="37" t="n">
        <f aca="false">IMABS(IMDIV(IMPRODUCT(J313,F313,H313),L313))^2</f>
        <v>4.18036604734729E-021</v>
      </c>
      <c r="N313" s="5" t="str">
        <f aca="false">IMDIV(IMPRODUCT(L_Yv,K313,E313),H313)</f>
        <v>0.00030037392333159-0.00049452084174158i</v>
      </c>
      <c r="O313" s="37" t="n">
        <f aca="false">IMABS(IMSUM(1,IMPRODUCT(E313,G313),N313))^2</f>
        <v>0.857205484604926</v>
      </c>
      <c r="P313" s="37" t="n">
        <f aca="false">IMABS(N313)^2</f>
        <v>3.34775356734413E-007</v>
      </c>
      <c r="Q313" s="37" t="n">
        <f aca="false">p_Rb^2/(1+(C313*p_Rb*L_Ctot)^2)</f>
        <v>34566288213161.2</v>
      </c>
      <c r="R313" s="37" t="n">
        <f aca="false">M313*L_Kt^2*Q313</f>
        <v>2.90004330870289E-005</v>
      </c>
      <c r="S313" s="37" t="n">
        <f aca="false">L_kT4*D313</f>
        <v>2.248110396217E-012</v>
      </c>
      <c r="T313" s="37" t="n">
        <f aca="false">L_kT4*L_Rsq*O313</f>
        <v>4.42788754475476E-012</v>
      </c>
      <c r="U313" s="37" t="n">
        <f aca="false">L_kT4*L_Rh*O313</f>
        <v>3.36892653622017E-012</v>
      </c>
      <c r="V313" s="37" t="n">
        <f aca="false">L_kT4*p_Rv*P313</f>
        <v>2.75614190032456E-015</v>
      </c>
      <c r="W313" s="37" t="n">
        <f aca="false">L_kT4/p_Rb*Q313/R313</f>
        <v>1.96257539989717E-014</v>
      </c>
      <c r="X313" s="37" t="n">
        <f aca="false">p_en^2*(1+p_fc/B313)/R313</f>
        <v>2.22694275223225E-012</v>
      </c>
      <c r="Y313" s="37" t="n">
        <f aca="false">p_in^2*Q313/R313</f>
        <v>2.9798079316117E-015</v>
      </c>
      <c r="Z313" s="37" t="n">
        <f aca="false">p_eo^2/L_G^2/R313</f>
        <v>2.18602692960471E-012</v>
      </c>
      <c r="AA313" s="37" t="n">
        <f aca="false">SUM(S313:Z313)</f>
        <v>1.44832558628598E-011</v>
      </c>
      <c r="AB313" s="47" t="n">
        <f aca="false">10*LOG10(AA313/L_PREF^2)</f>
        <v>-14.4119378828405</v>
      </c>
      <c r="AC313" s="47" t="n">
        <f aca="false">10*LOG10(S313/L_PREF^2)</f>
        <v>-22.5024235734435</v>
      </c>
      <c r="AD313" s="47" t="n">
        <f aca="false">10*LOG10(T313/L_PREF^2)</f>
        <v>-19.5586340877635</v>
      </c>
      <c r="AE313" s="47" t="n">
        <f aca="false">10*LOG10(U313/L_PREF^2)</f>
        <v>-20.7456845059382</v>
      </c>
      <c r="AF313" s="47" t="n">
        <f aca="false">10*LOG10(V313/L_PREF^2)</f>
        <v>-51.6175841780882</v>
      </c>
      <c r="AG313" s="47" t="n">
        <f aca="false">10*LOG10(W313/L_PREF^2)</f>
        <v>-43.0923364049399</v>
      </c>
      <c r="AH313" s="47" t="n">
        <f aca="false">10*LOG10(X313/L_PREF^2)</f>
        <v>-22.5435093851</v>
      </c>
      <c r="AI313" s="47" t="n">
        <f aca="false">10*LOG10(Y313/L_PREF^2)</f>
        <v>-51.2787171950991</v>
      </c>
      <c r="AJ313" s="47" t="n">
        <f aca="false">10*LOG10(Z313/L_PREF^2)</f>
        <v>-22.6240448361973</v>
      </c>
      <c r="AK313" s="47" t="n">
        <f aca="false">10*LOG10(R313/$R$6)</f>
        <v>1.33633578977128</v>
      </c>
      <c r="AL313" s="37" t="n">
        <f aca="false">(12194^2*B313^4/((B313^2+20.6^2)*SQRT((B313^2+107.7^2)*(B313^2+737.9^2))*(B313^2+12194^2))*1.2589254)^2</f>
        <v>0.480281678035444</v>
      </c>
      <c r="AM313" s="37" t="n">
        <f aca="false">0.5*(B313-B312)*(S313*AL313+S312*AL312)</f>
        <v>2.74615642621752E-010</v>
      </c>
      <c r="AN313" s="37" t="n">
        <f aca="false">0.5*(B313-B312)*(T313*AL313+T312*AL312)</f>
        <v>5.45057924789077E-010</v>
      </c>
      <c r="AO313" s="37" t="n">
        <f aca="false">0.5*(B313-B312)*(U313*AL313+U312*AL312)</f>
        <v>4.14703419641774E-010</v>
      </c>
      <c r="AP313" s="37" t="n">
        <f aca="false">0.5*(B313-B312)*(V313*AL313+V312*AL312)</f>
        <v>4.02623694340338E-013</v>
      </c>
      <c r="AQ313" s="37" t="n">
        <f aca="false">0.5*(B313-B312)*(W313*AL313+W312*AL312)</f>
        <v>2.48411460345955E-012</v>
      </c>
      <c r="AR313" s="37" t="n">
        <f aca="false">0.5*(B313-B312)*(X313*AL313+X312*AL312)</f>
        <v>2.75238488645859E-010</v>
      </c>
      <c r="AS313" s="37" t="n">
        <f aca="false">0.5*(B313-B312)*(Y313*AL313+Y312*AL312)</f>
        <v>3.77166879744292E-013</v>
      </c>
      <c r="AT313" s="37" t="n">
        <f aca="false">0.5*(B313-B312)*(Z313*AL313+Z312*AL312)</f>
        <v>2.70152352024615E-010</v>
      </c>
      <c r="AU313" s="37" t="n">
        <f aca="false">0.5*(B313-B312)*(AA313*AL313+AA312*AL312)</f>
        <v>1.78303173290062E-009</v>
      </c>
      <c r="AV313" s="37" t="n">
        <f aca="false">0.5*(B313-B312)*(S313+S312)</f>
        <v>5.60235197347844E-010</v>
      </c>
      <c r="AW313" s="37" t="n">
        <f aca="false">0.5*(B313-B312)*(T313+T312)</f>
        <v>1.11178661699611E-009</v>
      </c>
      <c r="AX313" s="37" t="n">
        <f aca="false">0.5*(B313-B312)*(U313+U312)</f>
        <v>8.45894887517991E-010</v>
      </c>
      <c r="AY313" s="37" t="n">
        <f aca="false">0.5*(B313-B312)*(V313+V312)</f>
        <v>8.18697161682812E-013</v>
      </c>
      <c r="AZ313" s="37" t="n">
        <f aca="false">0.5*(B313-B312)*(W313+W312)</f>
        <v>5.06423844199221E-012</v>
      </c>
      <c r="BA313" s="37" t="n">
        <f aca="false">0.5*(B313-B312)*(X313+X312)</f>
        <v>5.6137529335005E-010</v>
      </c>
      <c r="BB313" s="37" t="n">
        <f aca="false">0.5*(B313-B312)*(Y313+Y312)</f>
        <v>7.68910986951735E-013</v>
      </c>
      <c r="BC313" s="37" t="n">
        <f aca="false">0.5*(B313-B312)*(Z313+Z312)</f>
        <v>5.5100280239661E-010</v>
      </c>
      <c r="BD313" s="37" t="n">
        <f aca="false">0.5*(B313-B312)*(AA313+AA312)</f>
        <v>3.63694664419923E-009</v>
      </c>
      <c r="BE313" s="37" t="n">
        <f aca="false">IF(B313&gt;2000,AK313,-999)</f>
        <v>1.33633578977128</v>
      </c>
      <c r="BF313" s="37" t="n">
        <f aca="false">IF(AND(B313&lt;1000,AK313&gt;=-3),B313,1000000000)</f>
        <v>1000000000</v>
      </c>
    </row>
    <row r="314" customFormat="false" ht="15" hidden="false" customHeight="false" outlineLevel="0" collapsed="false">
      <c r="A314" s="5" t="n">
        <v>275</v>
      </c>
      <c r="B314" s="47" t="n">
        <f aca="false">20*10^(A314/100)</f>
        <v>11246.826503807</v>
      </c>
      <c r="C314" s="37" t="n">
        <f aca="false">2*PI()*B314</f>
        <v>70665.895041118</v>
      </c>
      <c r="D314" s="37" t="n">
        <f aca="false">SQRT(L_Rp0^2+L_Rp1^2*C314)</f>
        <v>137618284.381601</v>
      </c>
      <c r="E314" s="5" t="str">
        <f aca="false">COMPLEX(D314,C314*L_Mp)</f>
        <v>137618284.381601+1043927422.11135i</v>
      </c>
      <c r="F314" s="5" t="str">
        <f aca="false">IMDIV(1,E314)</f>
        <v>1.24123205481453e-10-9.41558154897146e-10i</v>
      </c>
      <c r="G314" s="5" t="str">
        <f aca="false">COMPLEX(0,C314*L_Cf)</f>
        <v>7.47233742636333e-11i</v>
      </c>
      <c r="H314" s="5" t="str">
        <f aca="false">COMPLEX(0,C314*L_Cbv)</f>
        <v>7.47233742636333e-10i</v>
      </c>
      <c r="I314" s="5" t="str">
        <f aca="false">COMPLEX(L_Rsq+L_Rh,C314*(L_Md+L_Mh)-1/(C314*L_Cd))</f>
        <v>552400610.124532-16035489068.0073i</v>
      </c>
      <c r="J314" s="5" t="str">
        <f aca="false">IMDIV(1,I314)</f>
        <v>2.14572793010851e-12+6.22877602514164e-11i</v>
      </c>
      <c r="K314" s="5" t="str">
        <f aca="false">IMSUM(F314,G314,H314)</f>
        <v>1.24123205481453e-10-1.1960103799718e-10i</v>
      </c>
      <c r="L314" s="5" t="str">
        <f aca="false">IMSUM(IMPRODUCT(IMSUM(F314,G314),H314),IMPRODUCT(IMSUM(J314,L_Yv),K314))</f>
        <v>6.55692459200453e-19+9.99845704808959e-20i</v>
      </c>
      <c r="M314" s="37" t="n">
        <f aca="false">IMABS(IMDIV(IMPRODUCT(J314,F314,H314),L314))^2</f>
        <v>4.44659113371945E-021</v>
      </c>
      <c r="N314" s="5" t="str">
        <f aca="false">IMDIV(IMPRODUCT(L_Yv,K314,E314),H314)</f>
        <v>0.000302760225639521-0.000379898331057083i</v>
      </c>
      <c r="O314" s="37" t="n">
        <f aca="false">IMABS(IMSUM(1,IMPRODUCT(E314,G314),N314))^2</f>
        <v>0.850729798132938</v>
      </c>
      <c r="P314" s="37" t="n">
        <f aca="false">IMABS(N314)^2</f>
        <v>2.35986496169248E-007</v>
      </c>
      <c r="Q314" s="37" t="n">
        <f aca="false">p_Rb^2/(1+(C314*p_Rb*L_Ctot)^2)</f>
        <v>33010548969900.5</v>
      </c>
      <c r="R314" s="37" t="n">
        <f aca="false">M314*L_Kt^2*Q314</f>
        <v>2.94589572061785E-005</v>
      </c>
      <c r="S314" s="37" t="n">
        <f aca="false">L_kT4*D314</f>
        <v>2.2659703721013E-012</v>
      </c>
      <c r="T314" s="37" t="n">
        <f aca="false">L_kT4*L_Rsq*O314</f>
        <v>4.39443744208041E-012</v>
      </c>
      <c r="U314" s="37" t="n">
        <f aca="false">L_kT4*L_Rh*O314</f>
        <v>3.34347626509203E-012</v>
      </c>
      <c r="V314" s="37" t="n">
        <f aca="false">L_kT4*p_Rv*P314</f>
        <v>1.94283198245932E-015</v>
      </c>
      <c r="W314" s="37" t="n">
        <f aca="false">L_kT4/p_Rb*Q314/R314</f>
        <v>1.84507262313243E-014</v>
      </c>
      <c r="X314" s="37" t="n">
        <f aca="false">p_en^2*(1+p_fc/B314)/R314</f>
        <v>2.1918307888261E-012</v>
      </c>
      <c r="Y314" s="37" t="n">
        <f aca="false">p_in^2*Q314/R314</f>
        <v>2.80140168734292E-015</v>
      </c>
      <c r="Z314" s="37" t="n">
        <f aca="false">p_eo^2/L_G^2/R314</f>
        <v>2.15200175806455E-012</v>
      </c>
      <c r="AA314" s="37" t="n">
        <f aca="false">SUM(S314:Z314)</f>
        <v>1.43709115860655E-011</v>
      </c>
      <c r="AB314" s="47" t="n">
        <f aca="false">10*LOG10(AA314/L_PREF^2)</f>
        <v>-14.4457567383804</v>
      </c>
      <c r="AC314" s="47" t="n">
        <f aca="false">10*LOG10(S314/L_PREF^2)</f>
        <v>-22.4680576422823</v>
      </c>
      <c r="AD314" s="47" t="n">
        <f aca="false">10*LOG10(T314/L_PREF^2)</f>
        <v>-19.591567049643</v>
      </c>
      <c r="AE314" s="47" t="n">
        <f aca="false">10*LOG10(U314/L_PREF^2)</f>
        <v>-20.7786174678177</v>
      </c>
      <c r="AF314" s="47" t="n">
        <f aca="false">10*LOG10(V314/L_PREF^2)</f>
        <v>-53.1362474721089</v>
      </c>
      <c r="AG314" s="47" t="n">
        <f aca="false">10*LOG10(W314/L_PREF^2)</f>
        <v>-43.3604652641285</v>
      </c>
      <c r="AH314" s="47" t="n">
        <f aca="false">10*LOG10(X314/L_PREF^2)</f>
        <v>-22.612529681195</v>
      </c>
      <c r="AI314" s="47" t="n">
        <f aca="false">10*LOG10(Y314/L_PREF^2)</f>
        <v>-51.5468460542877</v>
      </c>
      <c r="AJ314" s="47" t="n">
        <f aca="false">10*LOG10(Z314/L_PREF^2)</f>
        <v>-22.6921736953927</v>
      </c>
      <c r="AK314" s="47" t="n">
        <f aca="false">10*LOG10(R314/$R$6)</f>
        <v>1.40446464896669</v>
      </c>
      <c r="AL314" s="37" t="n">
        <f aca="false">(12194^2*B314^4/((B314^2+20.6^2)*SQRT((B314^2+107.7^2)*(B314^2+737.9^2))*(B314^2+12194^2))*1.2589254)^2</f>
        <v>0.46071022849556</v>
      </c>
      <c r="AM314" s="37" t="n">
        <f aca="false">0.5*(B314-B313)*(S314*AL314+S313*AL313)</f>
        <v>2.71840875930721E-010</v>
      </c>
      <c r="AN314" s="37" t="n">
        <f aca="false">0.5*(B314-B313)*(T314*AL314+T313*AL313)</f>
        <v>5.31371764593175E-010</v>
      </c>
      <c r="AO314" s="37" t="n">
        <f aca="false">0.5*(B314-B313)*(U314*AL314+U313*AL313)</f>
        <v>4.0429040264509E-010</v>
      </c>
      <c r="AP314" s="37" t="n">
        <f aca="false">0.5*(B314-B313)*(V314*AL314+V313*AL313)</f>
        <v>2.84017313192135E-013</v>
      </c>
      <c r="AQ314" s="37" t="n">
        <f aca="false">0.5*(B314-B313)*(W314*AL314+W313*AL313)</f>
        <v>2.29465093762991E-012</v>
      </c>
      <c r="AR314" s="37" t="n">
        <f aca="false">0.5*(B314-B313)*(X314*AL314+X313*AL313)</f>
        <v>2.66167294006867E-010</v>
      </c>
      <c r="AS314" s="37" t="n">
        <f aca="false">0.5*(B314-B313)*(Y314*AL314+Y313*AL313)</f>
        <v>3.48400324623864E-013</v>
      </c>
      <c r="AT314" s="37" t="n">
        <f aca="false">0.5*(B314-B313)*(Z314*AL314+Z313*AL313)</f>
        <v>2.61303024984972E-010</v>
      </c>
      <c r="AU314" s="37" t="n">
        <f aca="false">0.5*(B314-B313)*(AA314*AL314+AA313*AL313)</f>
        <v>1.73790043073627E-009</v>
      </c>
      <c r="AV314" s="37" t="n">
        <f aca="false">0.5*(B314-B313)*(S314+S313)</f>
        <v>5.77822711868448E-010</v>
      </c>
      <c r="AW314" s="37" t="n">
        <f aca="false">0.5*(B314-B313)*(T314+T313)</f>
        <v>1.12929741635461E-009</v>
      </c>
      <c r="AX314" s="37" t="n">
        <f aca="false">0.5*(B314-B313)*(U314+U313)</f>
        <v>8.59217853838387E-010</v>
      </c>
      <c r="AY314" s="37" t="n">
        <f aca="false">0.5*(B314-B313)*(V314+V313)</f>
        <v>6.01489865003174E-013</v>
      </c>
      <c r="AZ314" s="37" t="n">
        <f aca="false">0.5*(B314-B313)*(W314+W313)</f>
        <v>4.87396132109341E-012</v>
      </c>
      <c r="BA314" s="37" t="n">
        <f aca="false">0.5*(B314-B313)*(X314+X313)</f>
        <v>5.65622956626469E-010</v>
      </c>
      <c r="BB314" s="37" t="n">
        <f aca="false">0.5*(B314-B313)*(Y314+Y313)</f>
        <v>7.40020923717058E-013</v>
      </c>
      <c r="BC314" s="37" t="n">
        <f aca="false">0.5*(B314-B313)*(Z314+Z313)</f>
        <v>5.5528725096472E-010</v>
      </c>
      <c r="BD314" s="37" t="n">
        <f aca="false">0.5*(B314-B313)*(AA314+AA313)</f>
        <v>3.69346366176244E-009</v>
      </c>
      <c r="BE314" s="37" t="n">
        <f aca="false">IF(B314&gt;2000,AK314,-999)</f>
        <v>1.40446464896669</v>
      </c>
      <c r="BF314" s="37" t="n">
        <f aca="false">IF(AND(B314&lt;1000,AK314&gt;=-3),B314,1000000000)</f>
        <v>1000000000</v>
      </c>
    </row>
    <row r="315" customFormat="false" ht="15" hidden="false" customHeight="false" outlineLevel="0" collapsed="false">
      <c r="A315" s="5" t="n">
        <v>276</v>
      </c>
      <c r="B315" s="47" t="n">
        <f aca="false">20*10^(A315/100)</f>
        <v>11508.7987467431</v>
      </c>
      <c r="C315" s="37" t="n">
        <f aca="false">2*PI()*B315</f>
        <v>72311.9151888233</v>
      </c>
      <c r="D315" s="37" t="n">
        <f aca="false">SQRT(L_Rp0^2+L_Rp1^2*C315)</f>
        <v>138719452.986623</v>
      </c>
      <c r="E315" s="5" t="str">
        <f aca="false">COMPLEX(D315,C315*L_Mp)</f>
        <v>138719452.986623+1068243615.49626i</v>
      </c>
      <c r="F315" s="5" t="str">
        <f aca="false">IMDIV(1,E315)</f>
        <v>1.19545799957615e-10-9.2059213624804e-10i</v>
      </c>
      <c r="G315" s="5" t="str">
        <f aca="false">COMPLEX(0,C315*L_Cf)</f>
        <v>7.64639052435479e-11i</v>
      </c>
      <c r="H315" s="5" t="str">
        <f aca="false">COMPLEX(0,C315*L_Cbv)</f>
        <v>7.6463905243548e-10i</v>
      </c>
      <c r="I315" s="5" t="str">
        <f aca="false">COMPLEX(L_Rsq+L_Rh,C315*(L_Md+L_Mh)-1/(C315*L_Cd))</f>
        <v>552400610.124532-15658213575.7518i</v>
      </c>
      <c r="J315" s="5" t="str">
        <f aca="false">IMDIV(1,I315)</f>
        <v>2.25024365168227e-12+6.37848602078432e-11i</v>
      </c>
      <c r="K315" s="5" t="str">
        <f aca="false">IMSUM(F315,G315,H315)</f>
        <v>1.19545799957615e-10-7.9489178569012e-11i</v>
      </c>
      <c r="L315" s="5" t="str">
        <f aca="false">IMSUM(IMPRODUCT(IMSUM(F315,G315),H315),IMPRODUCT(IMSUM(J315,L_Yv),K315))</f>
        <v>6.51031715609729e-19+9.86967509643731e-20i</v>
      </c>
      <c r="M315" s="37" t="n">
        <f aca="false">IMABS(IMDIV(IMPRODUCT(J315,F315,H315),L315))^2</f>
        <v>4.73383057717361E-021</v>
      </c>
      <c r="N315" s="5" t="str">
        <f aca="false">IMDIV(IMPRODUCT(L_Yv,K315,E315),H315)</f>
        <v>0.000305182796570572-0.000265477247496255i</v>
      </c>
      <c r="O315" s="37" t="n">
        <f aca="false">IMABS(IMSUM(1,IMPRODUCT(E315,G315),N315))^2</f>
        <v>0.843975355314096</v>
      </c>
      <c r="P315" s="37" t="n">
        <f aca="false">IMABS(N315)^2</f>
        <v>1.63614708260819E-007</v>
      </c>
      <c r="Q315" s="37" t="n">
        <f aca="false">p_Rb^2/(1+(C315*p_Rb*L_Ctot)^2)</f>
        <v>31524829526799.3</v>
      </c>
      <c r="R315" s="37" t="n">
        <f aca="false">M315*L_Kt^2*Q315</f>
        <v>2.99504176176593E-005</v>
      </c>
      <c r="S315" s="37" t="n">
        <f aca="false">L_kT4*D315</f>
        <v>2.2841017958789E-012</v>
      </c>
      <c r="T315" s="37" t="n">
        <f aca="false">L_kT4*L_Rsq*O315</f>
        <v>4.35954742589825E-012</v>
      </c>
      <c r="U315" s="37" t="n">
        <f aca="false">L_kT4*L_Rh*O315</f>
        <v>3.31693044608078E-012</v>
      </c>
      <c r="V315" s="37" t="n">
        <f aca="false">L_kT4*p_Rv*P315</f>
        <v>1.34700880418976E-015</v>
      </c>
      <c r="W315" s="37" t="n">
        <f aca="false">L_kT4/p_Rb*Q315/R315</f>
        <v>1.73311727856294E-014</v>
      </c>
      <c r="X315" s="37" t="n">
        <f aca="false">p_en^2*(1+p_fc/B315)/R315</f>
        <v>2.15543225771705E-012</v>
      </c>
      <c r="Y315" s="37" t="n">
        <f aca="false">p_in^2*Q315/R315</f>
        <v>2.63141819333195E-015</v>
      </c>
      <c r="Z315" s="37" t="n">
        <f aca="false">p_eo^2/L_G^2/R315</f>
        <v>2.11668927317612E-012</v>
      </c>
      <c r="AA315" s="37" t="n">
        <f aca="false">SUM(S315:Z315)</f>
        <v>1.42540107985342E-011</v>
      </c>
      <c r="AB315" s="47" t="n">
        <f aca="false">10*LOG10(AA315/L_PREF^2)</f>
        <v>-14.4812290785468</v>
      </c>
      <c r="AC315" s="47" t="n">
        <f aca="false">10*LOG10(S315/L_PREF^2)</f>
        <v>-22.4334453606093</v>
      </c>
      <c r="AD315" s="47" t="n">
        <f aca="false">10*LOG10(T315/L_PREF^2)</f>
        <v>-19.6261858477425</v>
      </c>
      <c r="AE315" s="47" t="n">
        <f aca="false">10*LOG10(U315/L_PREF^2)</f>
        <v>-20.8132362659172</v>
      </c>
      <c r="AF315" s="47" t="n">
        <f aca="false">10*LOG10(V315/L_PREF^2)</f>
        <v>-54.7268955700176</v>
      </c>
      <c r="AG315" s="47" t="n">
        <f aca="false">10*LOG10(W315/L_PREF^2)</f>
        <v>-43.6323203928376</v>
      </c>
      <c r="AH315" s="47" t="n">
        <f aca="false">10*LOG10(X315/L_PREF^2)</f>
        <v>-22.6852561320416</v>
      </c>
      <c r="AI315" s="47" t="n">
        <f aca="false">10*LOG10(Y315/L_PREF^2)</f>
        <v>-51.8187011829968</v>
      </c>
      <c r="AJ315" s="47" t="n">
        <f aca="false">10*LOG10(Z315/L_PREF^2)</f>
        <v>-22.7640288241082</v>
      </c>
      <c r="AK315" s="47" t="n">
        <f aca="false">10*LOG10(R315/$R$6)</f>
        <v>1.47631977768222</v>
      </c>
      <c r="AL315" s="37" t="n">
        <f aca="false">(12194^2*B315^4/((B315^2+20.6^2)*SQRT((B315^2+107.7^2)*(B315^2+737.9^2))*(B315^2+12194^2))*1.2589254)^2</f>
        <v>0.441466941516265</v>
      </c>
      <c r="AM315" s="37" t="n">
        <f aca="false">0.5*(B315-B314)*(S315*AL315+S314*AL314)</f>
        <v>2.68824279134201E-010</v>
      </c>
      <c r="AN315" s="37" t="n">
        <f aca="false">0.5*(B315-B314)*(T315*AL315+T314*AL314)</f>
        <v>5.17284934878744E-010</v>
      </c>
      <c r="AO315" s="37" t="n">
        <f aca="false">0.5*(B315-B314)*(U315*AL315+U314*AL314)</f>
        <v>3.93572539113895E-010</v>
      </c>
      <c r="AP315" s="37" t="n">
        <f aca="false">0.5*(B315-B314)*(V315*AL315+V314*AL314)</f>
        <v>1.95135582047063E-013</v>
      </c>
      <c r="AQ315" s="37" t="n">
        <f aca="false">0.5*(B315-B314)*(W315*AL315+W314*AL314)</f>
        <v>2.1156325762132E-012</v>
      </c>
      <c r="AR315" s="37" t="n">
        <f aca="false">0.5*(B315-B314)*(X315*AL315+X314*AL314)</f>
        <v>2.56909753778687E-010</v>
      </c>
      <c r="AS315" s="37" t="n">
        <f aca="false">0.5*(B315-B314)*(Y315*AL315+Y314*AL314)</f>
        <v>3.21219695880551E-013</v>
      </c>
      <c r="AT315" s="37" t="n">
        <f aca="false">0.5*(B315-B314)*(Z315*AL315+Z314*AL314)</f>
        <v>2.52265851892979E-010</v>
      </c>
      <c r="AU315" s="37" t="n">
        <f aca="false">0.5*(B315-B314)*(AA315*AL315+AA314*AL314)</f>
        <v>1.69148934665265E-009</v>
      </c>
      <c r="AV315" s="37" t="n">
        <f aca="false">0.5*(B315-B314)*(S315+S314)</f>
        <v>5.95996305683565E-010</v>
      </c>
      <c r="AW315" s="37" t="n">
        <f aca="false">0.5*(B315-B314)*(T315+T314)</f>
        <v>1.14665052524675E-009</v>
      </c>
      <c r="AX315" s="37" t="n">
        <f aca="false">0.5*(B315-B314)*(U315+U314)</f>
        <v>8.7242084249647E-010</v>
      </c>
      <c r="AY315" s="37" t="n">
        <f aca="false">0.5*(B315-B314)*(V315+V314)</f>
        <v>4.30923484890648E-013</v>
      </c>
      <c r="AZ315" s="37" t="n">
        <f aca="false">0.5*(B315-B314)*(W315+W314)</f>
        <v>4.68693217099313E-012</v>
      </c>
      <c r="BA315" s="37" t="n">
        <f aca="false">0.5*(B315-B314)*(X315+X314)</f>
        <v>5.69431125468178E-010</v>
      </c>
      <c r="BB315" s="37" t="n">
        <f aca="false">0.5*(B315-B314)*(Y315+Y314)</f>
        <v>7.11624004804255E-013</v>
      </c>
      <c r="BC315" s="37" t="n">
        <f aca="false">0.5*(B315-B314)*(Z315+Z314)</f>
        <v>5.59139281927777E-010</v>
      </c>
      <c r="BD315" s="37" t="n">
        <f aca="false">0.5*(B315-B314)*(AA315+AA314)</f>
        <v>3.74946756048343E-009</v>
      </c>
      <c r="BE315" s="37" t="n">
        <f aca="false">IF(B315&gt;2000,AK315,-999)</f>
        <v>1.47631977768222</v>
      </c>
      <c r="BF315" s="37" t="n">
        <f aca="false">IF(AND(B315&lt;1000,AK315&gt;=-3),B315,1000000000)</f>
        <v>1000000000</v>
      </c>
    </row>
    <row r="316" customFormat="false" ht="15" hidden="false" customHeight="false" outlineLevel="0" collapsed="false">
      <c r="A316" s="5" t="n">
        <v>277</v>
      </c>
      <c r="B316" s="47" t="n">
        <f aca="false">20*10^(A316/100)</f>
        <v>11776.8731071118</v>
      </c>
      <c r="C316" s="37" t="n">
        <f aca="false">2*PI()*B316</f>
        <v>73996.2760711231</v>
      </c>
      <c r="D316" s="37" t="n">
        <f aca="false">SQRT(L_Rp0^2+L_Rp1^2*C316)</f>
        <v>139837294.759806</v>
      </c>
      <c r="E316" s="5" t="str">
        <f aca="false">COMPLEX(D316,C316*L_Mp)</f>
        <v>139837294.759806+1093126205.78597i</v>
      </c>
      <c r="F316" s="5" t="str">
        <f aca="false">IMDIV(1,E316)</f>
        <v>1.15141762078504e-10-9.00078035152062e-10i</v>
      </c>
      <c r="G316" s="5" t="str">
        <f aca="false">COMPLEX(0,C316*L_Cf)</f>
        <v>7.82449783981423e-11i</v>
      </c>
      <c r="H316" s="5" t="str">
        <f aca="false">COMPLEX(0,C316*L_Cbv)</f>
        <v>7.82449783981423e-10i</v>
      </c>
      <c r="I316" s="5" t="str">
        <f aca="false">COMPLEX(L_Rsq+L_Rh,C316*(L_Md+L_Mh)-1/(C316*L_Cd))</f>
        <v>552400610.124532-15289240275.5952i</v>
      </c>
      <c r="J316" s="5" t="str">
        <f aca="false">IMDIV(1,I316)</f>
        <v>2.36002057358315e-12+6.53202059221591e-11i</v>
      </c>
      <c r="K316" s="5" t="str">
        <f aca="false">IMSUM(F316,G316,H316)</f>
        <v>1.15141762078504e-10-3.93832727724966e-11i</v>
      </c>
      <c r="L316" s="5" t="str">
        <f aca="false">IMSUM(IMPRODUCT(IMSUM(F316,G316),H316),IMPRODUCT(IMSUM(J316,L_Yv),K316))</f>
        <v>6.46117641664826e-19+9.74420185952309e-20i</v>
      </c>
      <c r="M316" s="37" t="n">
        <f aca="false">IMABS(IMDIV(IMPRODUCT(J316,F316,H316),L316))^2</f>
        <v>5.04422270582376E-021</v>
      </c>
      <c r="N316" s="5" t="str">
        <f aca="false">IMDIV(IMPRODUCT(L_Yv,K316,E316),H316)</f>
        <v>0.000307642048471573-0.000151196923486077i</v>
      </c>
      <c r="O316" s="37" t="n">
        <f aca="false">IMABS(IMSUM(1,IMPRODUCT(E316,G316),N316))^2</f>
        <v>0.836931572653841</v>
      </c>
      <c r="P316" s="37" t="n">
        <f aca="false">IMABS(N316)^2</f>
        <v>1.17504139659436E-007</v>
      </c>
      <c r="Q316" s="37" t="n">
        <f aca="false">p_Rb^2/(1+(C316*p_Rb*L_Ctot)^2)</f>
        <v>30105978473725.7</v>
      </c>
      <c r="R316" s="37" t="n">
        <f aca="false">M316*L_Kt^2*Q316</f>
        <v>3.04778568262432E-005</v>
      </c>
      <c r="S316" s="37" t="n">
        <f aca="false">L_kT4*D316</f>
        <v>2.30250775370718E-012</v>
      </c>
      <c r="T316" s="37" t="n">
        <f aca="false">L_kT4*L_Rsq*O316</f>
        <v>4.32316282725831E-012</v>
      </c>
      <c r="U316" s="37" t="n">
        <f aca="false">L_kT4*L_Rh*O316</f>
        <v>3.28924748470724E-012</v>
      </c>
      <c r="V316" s="37" t="n">
        <f aca="false">L_kT4*p_Rv*P316</f>
        <v>9.67389254502051E-016</v>
      </c>
      <c r="W316" s="37" t="n">
        <f aca="false">L_kT4/p_Rb*Q316/R316</f>
        <v>1.62647132086713E-014</v>
      </c>
      <c r="X316" s="37" t="n">
        <f aca="false">p_en^2*(1+p_fc/B316)/R316</f>
        <v>2.11771576777052E-012</v>
      </c>
      <c r="Y316" s="37" t="n">
        <f aca="false">p_in^2*Q316/R316</f>
        <v>2.46949602176445E-015</v>
      </c>
      <c r="Z316" s="37" t="n">
        <f aca="false">p_eo^2/L_G^2/R316</f>
        <v>2.08005858351093E-012</v>
      </c>
      <c r="AA316" s="37" t="n">
        <f aca="false">SUM(S316:Z316)</f>
        <v>1.41323940154391E-011</v>
      </c>
      <c r="AB316" s="47" t="n">
        <f aca="false">10*LOG10(AA316/L_PREF^2)</f>
        <v>-14.5184425413425</v>
      </c>
      <c r="AC316" s="47" t="n">
        <f aca="false">10*LOG10(S316/L_PREF^2)</f>
        <v>-22.3985888996762</v>
      </c>
      <c r="AD316" s="47" t="n">
        <f aca="false">10*LOG10(T316/L_PREF^2)</f>
        <v>-19.662583982537</v>
      </c>
      <c r="AE316" s="47" t="n">
        <f aca="false">10*LOG10(U316/L_PREF^2)</f>
        <v>-20.8496344007117</v>
      </c>
      <c r="AF316" s="47" t="n">
        <f aca="false">10*LOG10(V316/L_PREF^2)</f>
        <v>-56.1645873227427</v>
      </c>
      <c r="AG316" s="47" t="n">
        <f aca="false">10*LOG10(W316/L_PREF^2)</f>
        <v>-43.9081358144078</v>
      </c>
      <c r="AH316" s="47" t="n">
        <f aca="false">10*LOG10(X316/L_PREF^2)</f>
        <v>-22.7619232109585</v>
      </c>
      <c r="AI316" s="47" t="n">
        <f aca="false">10*LOG10(Y316/L_PREF^2)</f>
        <v>-52.0945166045669</v>
      </c>
      <c r="AJ316" s="47" t="n">
        <f aca="false">10*LOG10(Z316/L_PREF^2)</f>
        <v>-22.8398442456845</v>
      </c>
      <c r="AK316" s="47" t="n">
        <f aca="false">10*LOG10(R316/$R$6)</f>
        <v>1.55213519925851</v>
      </c>
      <c r="AL316" s="37" t="n">
        <f aca="false">(12194^2*B316^4/((B316^2+20.6^2)*SQRT((B316^2+107.7^2)*(B316^2+737.9^2))*(B316^2+12194^2))*1.2589254)^2</f>
        <v>0.422576886058726</v>
      </c>
      <c r="AM316" s="37" t="n">
        <f aca="false">0.5*(B316-B315)*(S316*AL316+S315*AL315)</f>
        <v>2.6557349340432E-010</v>
      </c>
      <c r="AN316" s="37" t="n">
        <f aca="false">0.5*(B316-B315)*(T316*AL316+T315*AL315)</f>
        <v>5.02835757183561E-010</v>
      </c>
      <c r="AO316" s="37" t="n">
        <f aca="false">0.5*(B316-B315)*(U316*AL316+U315*AL315)</f>
        <v>3.82578985715836E-010</v>
      </c>
      <c r="AP316" s="37" t="n">
        <f aca="false">0.5*(B316-B315)*(V316*AL316+V315*AL315)</f>
        <v>1.34500438917527E-013</v>
      </c>
      <c r="AQ316" s="37" t="n">
        <f aca="false">0.5*(B316-B315)*(W316*AL316+W315*AL315)</f>
        <v>1.9467870618032E-012</v>
      </c>
      <c r="AR316" s="37" t="n">
        <f aca="false">0.5*(B316-B315)*(X316*AL316+X315*AL315)</f>
        <v>2.47492927380373E-010</v>
      </c>
      <c r="AS316" s="37" t="n">
        <f aca="false">0.5*(B316-B315)*(Y316*AL316+Y315*AL315)</f>
        <v>2.95583625894025E-013</v>
      </c>
      <c r="AT316" s="37" t="n">
        <f aca="false">0.5*(B316-B315)*(Z316*AL316+Z315*AL315)</f>
        <v>2.43067448267513E-010</v>
      </c>
      <c r="AU316" s="37" t="n">
        <f aca="false">0.5*(B316-B315)*(AA316*AL316+AA315*AL315)</f>
        <v>1.64392548307822E-009</v>
      </c>
      <c r="AV316" s="37" t="n">
        <f aca="false">0.5*(B316-B315)*(S316+S315)</f>
        <v>6.1477621063301E-010</v>
      </c>
      <c r="AW316" s="37" t="n">
        <f aca="false">0.5*(B316-B315)*(T316+T315)</f>
        <v>1.16380599869062E-009</v>
      </c>
      <c r="AX316" s="37" t="n">
        <f aca="false">0.5*(B316-B315)*(U316+U315)</f>
        <v>8.85473461638738E-010</v>
      </c>
      <c r="AY316" s="37" t="n">
        <f aca="false">0.5*(B316-B315)*(V316+V315)</f>
        <v>3.10215389611124E-013</v>
      </c>
      <c r="AZ316" s="37" t="n">
        <f aca="false">0.5*(B316-B315)*(W316+W315)</f>
        <v>4.50309782447009E-012</v>
      </c>
      <c r="BA316" s="37" t="n">
        <f aca="false">0.5*(B316-B315)*(X316+X315)</f>
        <v>5.72760711846565E-010</v>
      </c>
      <c r="BB316" s="37" t="n">
        <f aca="false">0.5*(B316-B315)*(Y316+Y315)</f>
        <v>6.83712157753656E-013</v>
      </c>
      <c r="BC316" s="37" t="n">
        <f aca="false">0.5*(B316-B315)*(Z316+Z315)</f>
        <v>5.62520248654938E-010</v>
      </c>
      <c r="BD316" s="37" t="n">
        <f aca="false">0.5*(B316-B315)*(AA316+AA315)</f>
        <v>3.80483365683571E-009</v>
      </c>
      <c r="BE316" s="37" t="n">
        <f aca="false">IF(B316&gt;2000,AK316,-999)</f>
        <v>1.55213519925851</v>
      </c>
      <c r="BF316" s="37" t="n">
        <f aca="false">IF(AND(B316&lt;1000,AK316&gt;=-3),B316,1000000000)</f>
        <v>1000000000</v>
      </c>
    </row>
    <row r="317" customFormat="false" ht="15" hidden="false" customHeight="false" outlineLevel="0" collapsed="false">
      <c r="A317" s="5" t="n">
        <v>278</v>
      </c>
      <c r="B317" s="47" t="n">
        <f aca="false">20*10^(A317/100)</f>
        <v>12051.1917214872</v>
      </c>
      <c r="C317" s="37" t="n">
        <f aca="false">2*PI()*B317</f>
        <v>75719.8707584523</v>
      </c>
      <c r="D317" s="37" t="n">
        <f aca="false">SQRT(L_Rp0^2+L_Rp1^2*C317)</f>
        <v>140971998.644012</v>
      </c>
      <c r="E317" s="5" t="str">
        <f aca="false">COMPLEX(D317,C317*L_Mp)</f>
        <v>140971998.644012+1118588386.05924i</v>
      </c>
      <c r="F317" s="5" t="str">
        <f aca="false">IMDIV(1,E317)</f>
        <v>1.10904372442808e-10-8.80006981322481e-10i</v>
      </c>
      <c r="G317" s="5" t="str">
        <f aca="false">COMPLEX(0,C317*L_Cf)</f>
        <v>8.00675380759779e-11i</v>
      </c>
      <c r="H317" s="5" t="str">
        <f aca="false">COMPLEX(0,C317*L_Cbv)</f>
        <v>8.00675380759779e-10i</v>
      </c>
      <c r="I317" s="5" t="str">
        <f aca="false">COMPLEX(L_Rsq+L_Rh,C317*(L_Md+L_Mh)-1/(C317*L_Cd))</f>
        <v>552400610.124532-14928373533.0097i</v>
      </c>
      <c r="J317" s="5" t="str">
        <f aca="false">IMDIV(1,I317)</f>
        <v>2.47534029284597e-12+6.68949379049087e-11i</v>
      </c>
      <c r="K317" s="5" t="str">
        <f aca="false">IMSUM(F317,G317,H317)</f>
        <v>1.10904372442808e-10+7.35937513275822e-13i</v>
      </c>
      <c r="L317" s="5" t="str">
        <f aca="false">IMSUM(IMPRODUCT(IMSUM(F317,G317),H317),IMPRODUCT(IMSUM(J317,L_Yv),K317))</f>
        <v>6.40938922618553e-19+9.62206353123203e-20i</v>
      </c>
      <c r="M317" s="37" t="n">
        <f aca="false">IMABS(IMDIV(IMPRODUCT(J317,F317,H317),L317))^2</f>
        <v>5.38018295569488E-021</v>
      </c>
      <c r="N317" s="5" t="str">
        <f aca="false">IMDIV(IMPRODUCT(L_Yv,K317,E317),H317)</f>
        <v>0.000310138397016825-3.69967660860316e-05i</v>
      </c>
      <c r="O317" s="37" t="n">
        <f aca="false">IMABS(IMSUM(1,IMPRODUCT(E317,G317),N317))^2</f>
        <v>0.829587614451722</v>
      </c>
      <c r="P317" s="37" t="n">
        <f aca="false">IMABS(N317)^2</f>
        <v>9.75545860049873E-008</v>
      </c>
      <c r="Q317" s="37" t="n">
        <f aca="false">p_Rb^2/(1+(C317*p_Rb*L_Ctot)^2)</f>
        <v>28750986237368</v>
      </c>
      <c r="R317" s="37" t="n">
        <f aca="false">M317*L_Kt^2*Q317</f>
        <v>3.10446820403477E-005</v>
      </c>
      <c r="S317" s="37" t="n">
        <f aca="false">L_kT4*D317</f>
        <v>2.32119135664754E-012</v>
      </c>
      <c r="T317" s="37" t="n">
        <f aca="false">L_kT4*L_Rsq*O317</f>
        <v>4.28522767444329E-012</v>
      </c>
      <c r="U317" s="37" t="n">
        <f aca="false">L_kT4*L_Rh*O317</f>
        <v>3.26038479529105E-012</v>
      </c>
      <c r="V317" s="37" t="n">
        <f aca="false">L_kT4*p_Rv*P317</f>
        <v>8.0314836993951E-016</v>
      </c>
      <c r="W317" s="37" t="n">
        <f aca="false">L_kT4/p_Rb*Q317/R317</f>
        <v>1.52490791384798E-014</v>
      </c>
      <c r="X317" s="37" t="n">
        <f aca="false">p_en^2*(1+p_fc/B317)/R317</f>
        <v>2.07865127194768E-012</v>
      </c>
      <c r="Y317" s="37" t="n">
        <f aca="false">p_in^2*Q317/R317</f>
        <v>2.31529076380951E-015</v>
      </c>
      <c r="Z317" s="37" t="n">
        <f aca="false">p_eo^2/L_G^2/R317</f>
        <v>2.04208010943876E-012</v>
      </c>
      <c r="AA317" s="37" t="n">
        <f aca="false">SUM(S317:Z317)</f>
        <v>1.40059027260405E-011</v>
      </c>
      <c r="AB317" s="47" t="n">
        <f aca="false">10*LOG10(AA317/L_PREF^2)</f>
        <v>-14.5574888557263</v>
      </c>
      <c r="AC317" s="47" t="n">
        <f aca="false">10*LOG10(S317/L_PREF^2)</f>
        <v>-22.3634904660214</v>
      </c>
      <c r="AD317" s="47" t="n">
        <f aca="false">10*LOG10(T317/L_PREF^2)</f>
        <v>-19.7008609035984</v>
      </c>
      <c r="AE317" s="47" t="n">
        <f aca="false">10*LOG10(U317/L_PREF^2)</f>
        <v>-20.8879113217731</v>
      </c>
      <c r="AF317" s="47" t="n">
        <f aca="false">10*LOG10(V317/L_PREF^2)</f>
        <v>-56.9726420907068</v>
      </c>
      <c r="AG317" s="47" t="n">
        <f aca="false">10*LOG10(W317/L_PREF^2)</f>
        <v>-44.1881637303217</v>
      </c>
      <c r="AH317" s="47" t="n">
        <f aca="false">10*LOG10(X317/L_PREF^2)</f>
        <v>-22.8427835595141</v>
      </c>
      <c r="AI317" s="47" t="n">
        <f aca="false">10*LOG10(Y317/L_PREF^2)</f>
        <v>-52.3745445204808</v>
      </c>
      <c r="AJ317" s="47" t="n">
        <f aca="false">10*LOG10(Z317/L_PREF^2)</f>
        <v>-22.9198721616043</v>
      </c>
      <c r="AK317" s="47" t="n">
        <f aca="false">10*LOG10(R317/$R$6)</f>
        <v>1.63216311517832</v>
      </c>
      <c r="AL317" s="37" t="n">
        <f aca="false">(12194^2*B317^4/((B317^2+20.6^2)*SQRT((B317^2+107.7^2)*(B317^2+737.9^2))*(B317^2+12194^2))*1.2589254)^2</f>
        <v>0.404063572471138</v>
      </c>
      <c r="AM317" s="37" t="n">
        <f aca="false">0.5*(B317-B316)*(S317*AL317+S316*AL316)</f>
        <v>2.62097093100896E-010</v>
      </c>
      <c r="AN317" s="37" t="n">
        <f aca="false">0.5*(B317-B316)*(T317*AL317+T316*AL316)</f>
        <v>4.88063987527845E-010</v>
      </c>
      <c r="AO317" s="37" t="n">
        <f aca="false">0.5*(B317-B316)*(U317*AL317+U316*AL316)</f>
        <v>3.71339990534257E-010</v>
      </c>
      <c r="AP317" s="37" t="n">
        <f aca="false">0.5*(B317-B316)*(V317*AL317+V316*AL316)</f>
        <v>1.00581572396279E-013</v>
      </c>
      <c r="AQ317" s="37" t="n">
        <f aca="false">0.5*(B317-B316)*(W317*AL317+W316*AL316)</f>
        <v>1.78782894747825E-012</v>
      </c>
      <c r="AR317" s="37" t="n">
        <f aca="false">0.5*(B317-B316)*(X317*AL317+X316*AL316)</f>
        <v>2.37944651023357E-010</v>
      </c>
      <c r="AS317" s="37" t="n">
        <f aca="false">0.5*(B317-B316)*(Y317*AL317+Y316*AL316)</f>
        <v>2.7144877482617E-013</v>
      </c>
      <c r="AT317" s="37" t="n">
        <f aca="false">0.5*(B317-B316)*(Z317*AL317+Z316*AL316)</f>
        <v>2.33735214022833E-010</v>
      </c>
      <c r="AU317" s="37" t="n">
        <f aca="false">0.5*(B317-B316)*(AA317*AL317+AA316*AL316)</f>
        <v>1.59534079550389E-009</v>
      </c>
      <c r="AV317" s="37" t="n">
        <f aca="false">0.5*(B317-B316)*(S317+S316)</f>
        <v>6.34183366620569E-010</v>
      </c>
      <c r="AW317" s="37" t="n">
        <f aca="false">0.5*(B317-B316)*(T317+T316)</f>
        <v>1.18072087721444E-009</v>
      </c>
      <c r="AX317" s="37" t="n">
        <f aca="false">0.5*(B317-B316)*(U317+U316)</f>
        <v>8.98343025858663E-010</v>
      </c>
      <c r="AY317" s="37" t="n">
        <f aca="false">0.5*(B317-B316)*(V317+V316)</f>
        <v>2.42845713918134E-013</v>
      </c>
      <c r="AZ317" s="37" t="n">
        <f aca="false">0.5*(B317-B316)*(W317+W316)</f>
        <v>4.32240992519183E-012</v>
      </c>
      <c r="BA317" s="37" t="n">
        <f aca="false">0.5*(B317-B316)*(X317+X316)</f>
        <v>5.75570795872986E-010</v>
      </c>
      <c r="BB317" s="37" t="n">
        <f aca="false">0.5*(B317-B316)*(Y317+Y316)</f>
        <v>6.56278040550116E-013</v>
      </c>
      <c r="BC317" s="37" t="n">
        <f aca="false">0.5*(B317-B316)*(Z317+Z316)</f>
        <v>5.65389687256529E-010</v>
      </c>
      <c r="BD317" s="37" t="n">
        <f aca="false">0.5*(B317-B316)*(AA317+AA316)</f>
        <v>3.85942928650285E-009</v>
      </c>
      <c r="BE317" s="37" t="n">
        <f aca="false">IF(B317&gt;2000,AK317,-999)</f>
        <v>1.63216311517832</v>
      </c>
      <c r="BF317" s="37" t="n">
        <f aca="false">IF(AND(B317&lt;1000,AK317&gt;=-3),B317,1000000000)</f>
        <v>1000000000</v>
      </c>
    </row>
    <row r="318" customFormat="false" ht="15" hidden="false" customHeight="false" outlineLevel="0" collapsed="false">
      <c r="A318" s="5" t="n">
        <v>279</v>
      </c>
      <c r="B318" s="47" t="n">
        <f aca="false">20*10^(A318/100)</f>
        <v>12331.9000372296</v>
      </c>
      <c r="C318" s="37" t="n">
        <f aca="false">2*PI()*B318</f>
        <v>77483.6131235287</v>
      </c>
      <c r="D318" s="37" t="n">
        <f aca="false">SQRT(L_Rp0^2+L_Rp1^2*C318)</f>
        <v>142123755.120148</v>
      </c>
      <c r="E318" s="5" t="str">
        <f aca="false">COMPLEX(D318,C318*L_Mp)</f>
        <v>142123755.120148+1144643656.70106i</v>
      </c>
      <c r="F318" s="5" t="str">
        <f aca="false">IMDIV(1,E318)</f>
        <v>1.06827174120887e-10-8.60370225353256e-10i</v>
      </c>
      <c r="G318" s="5" t="str">
        <f aca="false">COMPLEX(0,C318*L_Cf)</f>
        <v>8.19325506223207e-11i</v>
      </c>
      <c r="H318" s="5" t="str">
        <f aca="false">COMPLEX(0,C318*L_Cbv)</f>
        <v>8.19325506223207e-10i</v>
      </c>
      <c r="I318" s="5" t="str">
        <f aca="false">COMPLEX(L_Rsq+L_Rh,C318*(L_Md+L_Mh)-1/(C318*L_Cd))</f>
        <v>552400610.124532-14575422011.6717i</v>
      </c>
      <c r="J318" s="5" t="str">
        <f aca="false">IMDIV(1,I318)</f>
        <v>2.5965011183401e-12+6.85102421321598e-11i</v>
      </c>
      <c r="K318" s="5" t="str">
        <f aca="false">IMSUM(F318,G318,H318)</f>
        <v>1.06827174120887e-10+4.08878314922718e-11i</v>
      </c>
      <c r="L318" s="5" t="str">
        <f aca="false">IMSUM(IMPRODUCT(IMSUM(F318,G318),H318),IMPRODUCT(IMSUM(J318,L_Yv),K318))</f>
        <v>6.35483637901661e-19+9.50329250434875e-20i</v>
      </c>
      <c r="M318" s="37" t="n">
        <f aca="false">IMABS(IMDIV(IMPRODUCT(J318,F318,H318),L318))^2</f>
        <v>5.7444480453622E-021</v>
      </c>
      <c r="N318" s="5" t="str">
        <f aca="false">IMDIV(IMPRODUCT(L_Yv,K318,E318),H318)</f>
        <v>0.000312672261264326+7.71837751389187e-05i</v>
      </c>
      <c r="O318" s="37" t="n">
        <f aca="false">IMABS(IMSUM(1,IMPRODUCT(E318,G318),N318))^2</f>
        <v>0.821932404683341</v>
      </c>
      <c r="P318" s="37" t="n">
        <f aca="false">IMABS(N318)^2</f>
        <v>1.03721278108838E-007</v>
      </c>
      <c r="Q318" s="37" t="n">
        <f aca="false">p_Rb^2/(1+(C318*p_Rb*L_Ctot)^2)</f>
        <v>27456978697526.3</v>
      </c>
      <c r="R318" s="37" t="n">
        <f aca="false">M318*L_Kt^2*Q318</f>
        <v>3.16547201018394E-005</v>
      </c>
      <c r="S318" s="37" t="n">
        <f aca="false">L_kT4*D318</f>
        <v>2.34015574108619E-012</v>
      </c>
      <c r="T318" s="37" t="n">
        <f aca="false">L_kT4*L_Rsq*O318</f>
        <v>4.24568475434459E-012</v>
      </c>
      <c r="U318" s="37" t="n">
        <f aca="false">L_kT4*L_Rh*O318</f>
        <v>3.23029884764815E-012</v>
      </c>
      <c r="V318" s="37" t="n">
        <f aca="false">L_kT4*p_Rv*P318</f>
        <v>8.5391757427885E-016</v>
      </c>
      <c r="W318" s="37" t="n">
        <f aca="false">L_kT4/p_Rb*Q318/R318</f>
        <v>1.42821094425476E-014</v>
      </c>
      <c r="X318" s="37" t="n">
        <f aca="false">p_en^2*(1+p_fc/B318)/R318</f>
        <v>2.03821038453617E-012</v>
      </c>
      <c r="Y318" s="37" t="n">
        <f aca="false">p_in^2*Q318/R318</f>
        <v>2.16847429144784E-015</v>
      </c>
      <c r="Z318" s="37" t="n">
        <f aca="false">p_eo^2/L_G^2/R318</f>
        <v>2.00272589662737E-012</v>
      </c>
      <c r="AA318" s="37" t="n">
        <f aca="false">SUM(S318:Z318)</f>
        <v>1.38743801255507E-011</v>
      </c>
      <c r="AB318" s="47" t="n">
        <f aca="false">10*LOG10(AA318/L_PREF^2)</f>
        <v>-14.5984640234885</v>
      </c>
      <c r="AC318" s="47" t="n">
        <f aca="false">10*LOG10(S318/L_PREF^2)</f>
        <v>-22.3281522996756</v>
      </c>
      <c r="AD318" s="47" t="n">
        <f aca="false">10*LOG10(T318/L_PREF^2)</f>
        <v>-19.7411224703055</v>
      </c>
      <c r="AE318" s="47" t="n">
        <f aca="false">10*LOG10(U318/L_PREF^2)</f>
        <v>-20.9281728884802</v>
      </c>
      <c r="AF318" s="47" t="n">
        <f aca="false">10*LOG10(V318/L_PREF^2)</f>
        <v>-56.7064403956576</v>
      </c>
      <c r="AG318" s="47" t="n">
        <f aca="false">10*LOG10(W318/L_PREF^2)</f>
        <v>-44.4726763461607</v>
      </c>
      <c r="AH318" s="47" t="n">
        <f aca="false">10*LOG10(X318/L_PREF^2)</f>
        <v>-22.9281098136932</v>
      </c>
      <c r="AI318" s="47" t="n">
        <f aca="false">10*LOG10(Y318/L_PREF^2)</f>
        <v>-52.6590571363199</v>
      </c>
      <c r="AJ318" s="47" t="n">
        <f aca="false">10*LOG10(Z318/L_PREF^2)</f>
        <v>-23.004384777449</v>
      </c>
      <c r="AK318" s="47" t="n">
        <f aca="false">10*LOG10(R318/$R$6)</f>
        <v>1.71667573102298</v>
      </c>
      <c r="AL318" s="37" t="n">
        <f aca="false">(12194^2*B318^4/((B318^2+20.6^2)*SQRT((B318^2+107.7^2)*(B318^2+737.9^2))*(B318^2+12194^2))*1.2589254)^2</f>
        <v>0.385948840650504</v>
      </c>
      <c r="AM318" s="37" t="n">
        <f aca="false">0.5*(B318-B317)*(S318*AL318+S317*AL317)</f>
        <v>2.58404533659431E-010</v>
      </c>
      <c r="AN318" s="37" t="n">
        <f aca="false">0.5*(B318-B317)*(T318*AL318+T317*AL317)</f>
        <v>4.73010566697661E-010</v>
      </c>
      <c r="AO318" s="37" t="n">
        <f aca="false">0.5*(B318-B317)*(U318*AL318+U317*AL317)</f>
        <v>3.59886703073113E-010</v>
      </c>
      <c r="AP318" s="37" t="n">
        <f aca="false">0.5*(B318-B317)*(V318*AL318+V317*AL317)</f>
        <v>9.18044612863746E-014</v>
      </c>
      <c r="AQ318" s="37" t="n">
        <f aca="false">0.5*(B318-B317)*(W318*AL318+W317*AL317)</f>
        <v>1.63846089083412E-012</v>
      </c>
      <c r="AR318" s="37" t="n">
        <f aca="false">0.5*(B318-B317)*(X318*AL318+X317*AL317)</f>
        <v>2.28293363391397E-010</v>
      </c>
      <c r="AS318" s="37" t="n">
        <f aca="false">0.5*(B318-B317)*(Y318*AL318+Y317*AL317)</f>
        <v>2.48769996729751E-013</v>
      </c>
      <c r="AT318" s="37" t="n">
        <f aca="false">0.5*(B318-B317)*(Z318*AL318+Z317*AL317)</f>
        <v>2.24297161696402E-010</v>
      </c>
      <c r="AU318" s="37" t="n">
        <f aca="false">0.5*(B318-B317)*(AA318*AL318+AA317*AL317)</f>
        <v>1.54587136386685E-009</v>
      </c>
      <c r="AV318" s="37" t="n">
        <f aca="false">0.5*(B318-B317)*(S318+S317)</f>
        <v>6.54239446447997E-010</v>
      </c>
      <c r="AW318" s="37" t="n">
        <f aca="false">0.5*(B318-B317)*(T318+T317)</f>
        <v>1.19734902981587E-009</v>
      </c>
      <c r="AX318" s="37" t="n">
        <f aca="false">0.5*(B318-B317)*(U318+U317)</f>
        <v>9.10994436713405E-010</v>
      </c>
      <c r="AY318" s="37" t="n">
        <f aca="false">0.5*(B318-B317)*(V318+V317)</f>
        <v>2.3257609513789E-013</v>
      </c>
      <c r="AZ318" s="37" t="n">
        <f aca="false">0.5*(B318-B317)*(W318+W317)</f>
        <v>4.14482510422708E-012</v>
      </c>
      <c r="BA318" s="37" t="n">
        <f aca="false">0.5*(B318-B317)*(X318+X317)</f>
        <v>5.77818650868216E-010</v>
      </c>
      <c r="BB318" s="37" t="n">
        <f aca="false">0.5*(B318-B317)*(Y318+Y317)</f>
        <v>6.29315068423169E-013</v>
      </c>
      <c r="BC318" s="37" t="n">
        <f aca="false">0.5*(B318-B317)*(Z318+Z317)</f>
        <v>5.6770534073397E-010</v>
      </c>
      <c r="BD318" s="37" t="n">
        <f aca="false">0.5*(B318-B317)*(AA318+AA317)</f>
        <v>3.91311362084725E-009</v>
      </c>
      <c r="BE318" s="37" t="n">
        <f aca="false">IF(B318&gt;2000,AK318,-999)</f>
        <v>1.71667573102298</v>
      </c>
      <c r="BF318" s="37" t="n">
        <f aca="false">IF(AND(B318&lt;1000,AK318&gt;=-3),B318,1000000000)</f>
        <v>1000000000</v>
      </c>
    </row>
    <row r="319" customFormat="false" ht="15" hidden="false" customHeight="false" outlineLevel="0" collapsed="false">
      <c r="A319" s="5" t="n">
        <v>280</v>
      </c>
      <c r="B319" s="47" t="n">
        <f aca="false">20*10^(A319/100)</f>
        <v>12619.1468896039</v>
      </c>
      <c r="C319" s="37" t="n">
        <f aca="false">2*PI()*B319</f>
        <v>79288.4383259</v>
      </c>
      <c r="D319" s="37" t="n">
        <f aca="false">SQRT(L_Rp0^2+L_Rp1^2*C319)</f>
        <v>143292756.233408</v>
      </c>
      <c r="E319" s="5" t="str">
        <f aca="false">COMPLEX(D319,C319*L_Mp)</f>
        <v>143292756.233408+1171305832.56081i</v>
      </c>
      <c r="F319" s="5" t="str">
        <f aca="false">IMDIV(1,E319)</f>
        <v>1.02903962692263e-10-8.41159140652819e-10i</v>
      </c>
      <c r="G319" s="5" t="str">
        <f aca="false">COMPLEX(0,C319*L_Cf)</f>
        <v>8.38410048915089e-11i</v>
      </c>
      <c r="H319" s="5" t="str">
        <f aca="false">COMPLEX(0,C319*L_Cbv)</f>
        <v>8.38410048915089e-10i</v>
      </c>
      <c r="I319" s="5" t="str">
        <f aca="false">COMPLEX(L_Rsq+L_Rh,C319*(L_Md+L_Mh)-1/(C319*L_Cd))</f>
        <v>552400610.124532-14230198572.0129i</v>
      </c>
      <c r="J319" s="5" t="str">
        <f aca="false">IMDIV(1,I319)</f>
        <v>2.72381922039436e-12+7.01673525880774e-11i</v>
      </c>
      <c r="K319" s="5" t="str">
        <f aca="false">IMSUM(F319,G319,H319)</f>
        <v>1.02903962692263e-10+8.10919131537789e-11i</v>
      </c>
      <c r="L319" s="5" t="str">
        <f aca="false">IMSUM(IMPRODUCT(IMSUM(F319,G319),H319),IMPRODUCT(IMSUM(J319,L_Yv),K319))</f>
        <v>6.29739230102441e-19+9.38792785652894e-20i</v>
      </c>
      <c r="M319" s="37" t="n">
        <f aca="false">IMABS(IMDIV(IMPRODUCT(J319,F319,H319),L319))^2</f>
        <v>6.14012856229337E-021</v>
      </c>
      <c r="N319" s="5" t="str">
        <f aca="false">IMDIV(IMPRODUCT(L_Yv,K319,E319),H319)</f>
        <v>0.000315244063713499+0.000191405240223089i</v>
      </c>
      <c r="O319" s="37" t="n">
        <f aca="false">IMABS(IMSUM(1,IMPRODUCT(E319,G319),N319))^2</f>
        <v>0.813954641734723</v>
      </c>
      <c r="P319" s="37" t="n">
        <f aca="false">IMABS(N319)^2</f>
        <v>1.3601478569145E-007</v>
      </c>
      <c r="Q319" s="37" t="n">
        <f aca="false">p_Rb^2/(1+(C319*p_Rb*L_Ctot)^2)</f>
        <v>26221211090718.5</v>
      </c>
      <c r="R319" s="37" t="n">
        <f aca="false">M319*L_Kt^2*Q319</f>
        <v>3.23122824431485E-005</v>
      </c>
      <c r="S319" s="37" t="n">
        <f aca="false">L_kT4*D319</f>
        <v>2.35940406916631E-012</v>
      </c>
      <c r="T319" s="37" t="n">
        <f aca="false">L_kT4*L_Rsq*O319</f>
        <v>4.2044756885726E-012</v>
      </c>
      <c r="U319" s="37" t="n">
        <f aca="false">L_kT4*L_Rh*O319</f>
        <v>3.19894522499878E-012</v>
      </c>
      <c r="V319" s="37" t="n">
        <f aca="false">L_kT4*p_Rv*P319</f>
        <v>1.11978388602023E-015</v>
      </c>
      <c r="W319" s="37" t="n">
        <f aca="false">L_kT4/p_Rb*Q319/R319</f>
        <v>1.33617455788659E-014</v>
      </c>
      <c r="X319" s="37" t="n">
        <f aca="false">p_en^2*(1+p_fc/B319)/R319</f>
        <v>1.99636673562395E-012</v>
      </c>
      <c r="Y319" s="37" t="n">
        <f aca="false">p_in^2*Q319/R319</f>
        <v>2.02873405313081E-015</v>
      </c>
      <c r="Z319" s="37" t="n">
        <f aca="false">p_eo^2/L_G^2/R319</f>
        <v>1.96196996637379E-012</v>
      </c>
      <c r="AA319" s="37" t="n">
        <f aca="false">SUM(S319:Z319)</f>
        <v>1.37376719482535E-011</v>
      </c>
      <c r="AB319" s="47" t="n">
        <f aca="false">10*LOG10(AA319/L_PREF^2)</f>
        <v>-14.6414684999394</v>
      </c>
      <c r="AC319" s="47" t="n">
        <f aca="false">10*LOG10(S319/L_PREF^2)</f>
        <v>-22.292576672369</v>
      </c>
      <c r="AD319" s="47" t="n">
        <f aca="false">10*LOG10(T319/L_PREF^2)</f>
        <v>-19.7834814571411</v>
      </c>
      <c r="AE319" s="47" t="n">
        <f aca="false">10*LOG10(U319/L_PREF^2)</f>
        <v>-20.9705318753158</v>
      </c>
      <c r="AF319" s="47" t="n">
        <f aca="false">10*LOG10(V319/L_PREF^2)</f>
        <v>-55.5292577773396</v>
      </c>
      <c r="AG319" s="47" t="n">
        <f aca="false">10*LOG10(W319/L_PREF^2)</f>
        <v>-44.7619679323722</v>
      </c>
      <c r="AH319" s="47" t="n">
        <f aca="false">10*LOG10(X319/L_PREF^2)</f>
        <v>-23.0181966648697</v>
      </c>
      <c r="AI319" s="47" t="n">
        <f aca="false">10*LOG10(Y319/L_PREF^2)</f>
        <v>-52.9483487225314</v>
      </c>
      <c r="AJ319" s="47" t="n">
        <f aca="false">10*LOG10(Z319/L_PREF^2)</f>
        <v>-23.0936763636658</v>
      </c>
      <c r="AK319" s="47" t="n">
        <f aca="false">10*LOG10(R319/$R$6)</f>
        <v>1.80596731723984</v>
      </c>
      <c r="AL319" s="37" t="n">
        <f aca="false">(12194^2*B319^4/((B319^2+20.6^2)*SQRT((B319^2+107.7^2)*(B319^2+737.9^2))*(B319^2+12194^2))*1.2589254)^2</f>
        <v>0.368252762820677</v>
      </c>
      <c r="AM319" s="37" t="n">
        <f aca="false">0.5*(B319-B318)*(S319*AL319+S318*AL318)</f>
        <v>2.54506091666671E-010</v>
      </c>
      <c r="AN319" s="37" t="n">
        <f aca="false">0.5*(B319-B318)*(T319*AL319+T318*AL318)</f>
        <v>4.57717359988892E-010</v>
      </c>
      <c r="AO319" s="37" t="n">
        <f aca="false">0.5*(B319-B318)*(U319*AL319+U318*AL318)</f>
        <v>3.48250976243034E-010</v>
      </c>
      <c r="AP319" s="37" t="n">
        <f aca="false">0.5*(B319-B318)*(V319*AL319+V318*AL318)</f>
        <v>1.06558816928392E-013</v>
      </c>
      <c r="AQ319" s="37" t="n">
        <f aca="false">0.5*(B319-B318)*(W319*AL319+W318*AL318)</f>
        <v>1.49837484839627E-012</v>
      </c>
      <c r="AR319" s="37" t="n">
        <f aca="false">0.5*(B319-B318)*(X319*AL319+X318*AL318)</f>
        <v>2.1856792539512E-010</v>
      </c>
      <c r="AS319" s="37" t="n">
        <f aca="false">0.5*(B319-B318)*(Y319*AL319+Y318*AL318)</f>
        <v>2.27500520897827E-013</v>
      </c>
      <c r="AT319" s="37" t="n">
        <f aca="false">0.5*(B319-B318)*(Z319*AL319+Z318*AL318)</f>
        <v>2.1478173866915E-010</v>
      </c>
      <c r="AU319" s="37" t="n">
        <f aca="false">0.5*(B319-B318)*(AA319*AL319+AA318*AL318)</f>
        <v>1.49565652614909E-009</v>
      </c>
      <c r="AV319" s="37" t="n">
        <f aca="false">0.5*(B319-B318)*(S319+S318)</f>
        <v>6.74966881519703E-010</v>
      </c>
      <c r="AW319" s="37" t="n">
        <f aca="false">0.5*(B319-B318)*(T319+T318)</f>
        <v>1.21364099464254E-009</v>
      </c>
      <c r="AX319" s="37" t="n">
        <f aca="false">0.5*(B319-B318)*(U319+U318)</f>
        <v>9.23390061506711E-010</v>
      </c>
      <c r="AY319" s="37" t="n">
        <f aca="false">0.5*(B319-B318)*(V319+V318)</f>
        <v>2.83469765998654E-013</v>
      </c>
      <c r="AZ319" s="37" t="n">
        <f aca="false">0.5*(B319-B318)*(W319+W318)</f>
        <v>3.97030517119511E-012</v>
      </c>
      <c r="BA319" s="37" t="n">
        <f aca="false">0.5*(B319-B318)*(X319+X318)</f>
        <v>5.79459789213515E-010</v>
      </c>
      <c r="BB319" s="37" t="n">
        <f aca="false">0.5*(B319-B318)*(Y319+Y318)</f>
        <v>6.02817442869508E-013</v>
      </c>
      <c r="BC319" s="37" t="n">
        <f aca="false">0.5*(B319-B318)*(Z319+Z318)</f>
        <v>5.69423203634082E-010</v>
      </c>
      <c r="BD319" s="37" t="n">
        <f aca="false">0.5*(B319-B318)*(AA319+AA318)</f>
        <v>3.96573752289662E-009</v>
      </c>
      <c r="BE319" s="37" t="n">
        <f aca="false">IF(B319&gt;2000,AK319,-999)</f>
        <v>1.80596731723984</v>
      </c>
      <c r="BF319" s="37" t="n">
        <f aca="false">IF(AND(B319&lt;1000,AK319&gt;=-3),B319,1000000000)</f>
        <v>1000000000</v>
      </c>
    </row>
    <row r="320" customFormat="false" ht="15" hidden="false" customHeight="false" outlineLevel="0" collapsed="false">
      <c r="A320" s="5" t="n">
        <v>281</v>
      </c>
      <c r="B320" s="47" t="n">
        <f aca="false">20*10^(A320/100)</f>
        <v>12913.0845806931</v>
      </c>
      <c r="C320" s="37" t="n">
        <f aca="false">2*PI()*B320</f>
        <v>81135.3033077782</v>
      </c>
      <c r="D320" s="37" t="n">
        <f aca="false">SQRT(L_Rp0^2+L_Rp1^2*C320)</f>
        <v>144479195.620184</v>
      </c>
      <c r="E320" s="5" t="str">
        <f aca="false">COMPLEX(D320,C320*L_Mp)</f>
        <v>144479195.620184+1198589050.27705i</v>
      </c>
      <c r="F320" s="5" t="str">
        <f aca="false">IMDIV(1,E320)</f>
        <v>9.91287766193937e-11-8.22365225064738e-10i</v>
      </c>
      <c r="G320" s="5" t="str">
        <f aca="false">COMPLEX(0,C320*L_Cf)</f>
        <v>8.57939127712575e-11i</v>
      </c>
      <c r="H320" s="5" t="str">
        <f aca="false">COMPLEX(0,C320*L_Cbv)</f>
        <v>8.57939127712575e-10i</v>
      </c>
      <c r="I320" s="5" t="str">
        <f aca="false">COMPLEX(L_Rsq+L_Rh,C320*(L_Md+L_Mh)-1/(C320*L_Cd))</f>
        <v>552400610.124532-13892520171.9959i</v>
      </c>
      <c r="J320" s="5" t="str">
        <f aca="false">IMDIV(1,I320)</f>
        <v>2.85762987424666e-12+7.18675539897032e-11i</v>
      </c>
      <c r="K320" s="5" t="str">
        <f aca="false">IMSUM(F320,G320,H320)</f>
        <v>9.91287766193937e-11+1.21367815419095e-10i</v>
      </c>
      <c r="L320" s="5" t="str">
        <f aca="false">IMSUM(IMPRODUCT(IMSUM(F320,G320),H320),IMPRODUCT(IMSUM(J320,L_Yv),K320))</f>
        <v>6.23692472046635e-19+9.27601587756366e-20i</v>
      </c>
      <c r="M320" s="37" t="n">
        <f aca="false">IMABS(IMDIV(IMPRODUCT(J320,F320,H320),L320))^2</f>
        <v>6.57077183616278E-021</v>
      </c>
      <c r="N320" s="5" t="str">
        <f aca="false">IMDIV(IMPRODUCT(L_Yv,K320,E320),H320)</f>
        <v>0.000317854230364406+0.000305728190899174i</v>
      </c>
      <c r="O320" s="37" t="n">
        <f aca="false">IMABS(IMSUM(1,IMPRODUCT(E320,G320),N320))^2</f>
        <v>0.805642816344579</v>
      </c>
      <c r="P320" s="37" t="n">
        <f aca="false">IMABS(N320)^2</f>
        <v>1.94501038471025E-007</v>
      </c>
      <c r="Q320" s="37" t="n">
        <f aca="false">p_Rb^2/(1+(C320*p_Rb*L_Ctot)^2)</f>
        <v>25041062188168.8</v>
      </c>
      <c r="R320" s="37" t="n">
        <f aca="false">M320*L_Kt^2*Q320</f>
        <v>3.30222422343416E-005</v>
      </c>
      <c r="S320" s="37" t="n">
        <f aca="false">L_kT4*D320</f>
        <v>2.37893952923116E-012</v>
      </c>
      <c r="T320" s="37" t="n">
        <f aca="false">L_kT4*L_Rsq*O320</f>
        <v>4.16154102613731E-012</v>
      </c>
      <c r="U320" s="37" t="n">
        <f aca="false">L_kT4*L_Rh*O320</f>
        <v>3.16627869448283E-012</v>
      </c>
      <c r="V320" s="37" t="n">
        <f aca="false">L_kT4*p_Rv*P320</f>
        <v>1.60129009200612E-015</v>
      </c>
      <c r="W320" s="37" t="n">
        <f aca="false">L_kT4/p_Rb*Q320/R320</f>
        <v>1.24860271694966E-014</v>
      </c>
      <c r="X320" s="37" t="n">
        <f aca="false">p_en^2*(1+p_fc/B320)/R320</f>
        <v>1.9530963663933E-012</v>
      </c>
      <c r="Y320" s="37" t="n">
        <f aca="false">p_in^2*Q320/R320</f>
        <v>1.89577240170923E-015</v>
      </c>
      <c r="Z320" s="37" t="n">
        <f aca="false">p_eo^2/L_G^2/R320</f>
        <v>1.91978870630765E-012</v>
      </c>
      <c r="AA320" s="37" t="n">
        <f aca="false">SUM(S320:Z320)</f>
        <v>1.35956274122155E-011</v>
      </c>
      <c r="AB320" s="47" t="n">
        <f aca="false">10*LOG10(AA320/L_PREF^2)</f>
        <v>-14.6866073708185</v>
      </c>
      <c r="AC320" s="47" t="n">
        <f aca="false">10*LOG10(S320/L_PREF^2)</f>
        <v>-22.2567658857401</v>
      </c>
      <c r="AD320" s="47" t="n">
        <f aca="false">10*LOG10(T320/L_PREF^2)</f>
        <v>-19.8280581088904</v>
      </c>
      <c r="AE320" s="47" t="n">
        <f aca="false">10*LOG10(U320/L_PREF^2)</f>
        <v>-21.0151085270651</v>
      </c>
      <c r="AF320" s="47" t="n">
        <f aca="false">10*LOG10(V320/L_PREF^2)</f>
        <v>-53.9758997487089</v>
      </c>
      <c r="AG320" s="47" t="n">
        <f aca="false">10*LOG10(W320/L_PREF^2)</f>
        <v>-45.056357157103</v>
      </c>
      <c r="AH320" s="47" t="n">
        <f aca="false">10*LOG10(X320/L_PREF^2)</f>
        <v>-23.1133631928417</v>
      </c>
      <c r="AI320" s="47" t="n">
        <f aca="false">10*LOG10(Y320/L_PREF^2)</f>
        <v>-53.2427379472621</v>
      </c>
      <c r="AJ320" s="47" t="n">
        <f aca="false">10*LOG10(Z320/L_PREF^2)</f>
        <v>-23.1880655884017</v>
      </c>
      <c r="AK320" s="47" t="n">
        <f aca="false">10*LOG10(R320/$R$6)</f>
        <v>1.90035654197573</v>
      </c>
      <c r="AL320" s="37" t="n">
        <f aca="false">(12194^2*B320^4/((B320^2+20.6^2)*SQRT((B320^2+107.7^2)*(B320^2+737.9^2))*(B320^2+12194^2))*1.2589254)^2</f>
        <v>0.350993561913758</v>
      </c>
      <c r="AM320" s="37" t="n">
        <f aca="false">0.5*(B320-B319)*(S320*AL320+S319*AL319)</f>
        <v>2.50412797821376E-010</v>
      </c>
      <c r="AN320" s="37" t="n">
        <f aca="false">0.5*(B320-B319)*(T320*AL320+T319*AL319)</f>
        <v>4.42226889507959E-010</v>
      </c>
      <c r="AO320" s="37" t="n">
        <f aca="false">0.5*(B320-B319)*(U320*AL320+U319*AL319)</f>
        <v>3.36465162684248E-010</v>
      </c>
      <c r="AP320" s="37" t="n">
        <f aca="false">0.5*(B320-B319)*(V320*AL320+V319*AL319)</f>
        <v>1.43207328268446E-013</v>
      </c>
      <c r="AQ320" s="37" t="n">
        <f aca="false">0.5*(B320-B319)*(W320*AL320+W319*AL319)</f>
        <v>1.36725335639519E-012</v>
      </c>
      <c r="AR320" s="37" t="n">
        <f aca="false">0.5*(B320-B319)*(X320*AL320+X319*AL319)</f>
        <v>2.08797436130714E-010</v>
      </c>
      <c r="AS320" s="37" t="n">
        <f aca="false">0.5*(B320-B319)*(Y320*AL320+Y319*AL319)</f>
        <v>2.07592146325822E-013</v>
      </c>
      <c r="AT320" s="37" t="n">
        <f aca="false">0.5*(B320-B319)*(Z320*AL320+Z319*AL319)</f>
        <v>2.05217645479264E-010</v>
      </c>
      <c r="AU320" s="37" t="n">
        <f aca="false">0.5*(B320-B319)*(AA320*AL320+AA319*AL319)</f>
        <v>1.44483798445455E-009</v>
      </c>
      <c r="AV320" s="37" t="n">
        <f aca="false">0.5*(B320-B319)*(S320+S319)</f>
        <v>6.96388888450244E-010</v>
      </c>
      <c r="AW320" s="37" t="n">
        <f aca="false">0.5*(B320-B319)*(T320+T319)</f>
        <v>1.22954381836796E-009</v>
      </c>
      <c r="AX320" s="37" t="n">
        <f aca="false">0.5*(B320-B319)*(U320+U319)</f>
        <v>9.3548961107925E-010</v>
      </c>
      <c r="AY320" s="37" t="n">
        <f aca="false">0.5*(B320-B319)*(V320+V319)</f>
        <v>3.99913101192056E-013</v>
      </c>
      <c r="AZ320" s="37" t="n">
        <f aca="false">0.5*(B320-B319)*(W320+W319)</f>
        <v>3.79881732072667E-012</v>
      </c>
      <c r="BA320" s="37" t="n">
        <f aca="false">0.5*(B320-B319)*(X320+X319)</f>
        <v>5.80448032624572E-010</v>
      </c>
      <c r="BB320" s="37" t="n">
        <f aca="false">0.5*(B320-B319)*(Y320+Y319)</f>
        <v>5.76780183000274E-013</v>
      </c>
      <c r="BC320" s="37" t="n">
        <f aca="false">0.5*(B320-B319)*(Z320+Z319)</f>
        <v>5.7049759080683E-010</v>
      </c>
      <c r="BD320" s="37" t="n">
        <f aca="false">0.5*(B320-B319)*(AA320+AA319)</f>
        <v>4.01714345193377E-009</v>
      </c>
      <c r="BE320" s="37" t="n">
        <f aca="false">IF(B320&gt;2000,AK320,-999)</f>
        <v>1.90035654197573</v>
      </c>
      <c r="BF320" s="37" t="n">
        <f aca="false">IF(AND(B320&lt;1000,AK320&gt;=-3),B320,1000000000)</f>
        <v>1000000000</v>
      </c>
    </row>
    <row r="321" customFormat="false" ht="15" hidden="false" customHeight="false" outlineLevel="0" collapsed="false">
      <c r="A321" s="5" t="n">
        <v>282</v>
      </c>
      <c r="B321" s="47" t="n">
        <f aca="false">20*10^(A321/100)</f>
        <v>13213.8689601519</v>
      </c>
      <c r="C321" s="37" t="n">
        <f aca="false">2*PI()*B321</f>
        <v>83025.1873014229</v>
      </c>
      <c r="D321" s="37" t="n">
        <f aca="false">SQRT(L_Rp0^2+L_Rp1^2*C321)</f>
        <v>145683268.535649</v>
      </c>
      <c r="E321" s="5" t="str">
        <f aca="false">COMPLEX(D321,C321*L_Mp)</f>
        <v>145683268.535649+1226507775.77295i</v>
      </c>
      <c r="F321" s="5" t="str">
        <f aca="false">IMDIV(1,E321)</f>
        <v>9.54958879505722e-11-8.03980102197241e-10i</v>
      </c>
      <c r="G321" s="5" t="str">
        <f aca="false">COMPLEX(0,C321*L_Cf)</f>
        <v>8.7792309719174e-11i</v>
      </c>
      <c r="H321" s="5" t="str">
        <f aca="false">COMPLEX(0,C321*L_Cbv)</f>
        <v>8.77923097191741e-10i</v>
      </c>
      <c r="I321" s="5" t="str">
        <f aca="false">COMPLEX(L_Rsq+L_Rh,C321*(L_Md+L_Mh)-1/(C321*L_Cd))</f>
        <v>552400610.124532-13562207770.0634i</v>
      </c>
      <c r="J321" s="5" t="str">
        <f aca="false">IMDIV(1,I321)</f>
        <v>2.99828880631842e-12+7.36121847091709e-11i</v>
      </c>
      <c r="K321" s="5" t="str">
        <f aca="false">IMSUM(F321,G321,H321)</f>
        <v>9.54958879505722e-11+1.61735304713674e-10i</v>
      </c>
      <c r="L321" s="5" t="str">
        <f aca="false">IMSUM(IMPRODUCT(IMSUM(F321,G321),H321),IMPRODUCT(IMSUM(J321,L_Yv),K321))</f>
        <v>6.17329431846477e-19+9.16761064245625e-20i</v>
      </c>
      <c r="M321" s="37" t="n">
        <f aca="false">IMABS(IMDIV(IMPRODUCT(J321,F321,H321),L321))^2</f>
        <v>7.04043745676902E-021</v>
      </c>
      <c r="N321" s="5" t="str">
        <f aca="false">IMDIV(IMPRODUCT(L_Yv,K321,E321),H321)</f>
        <v>0.000320503190778428+0.000420213242708864i</v>
      </c>
      <c r="O321" s="37" t="n">
        <f aca="false">IMABS(IMSUM(1,IMPRODUCT(E321,G321),N321))^2</f>
        <v>0.796985233148097</v>
      </c>
      <c r="P321" s="37" t="n">
        <f aca="false">IMABS(N321)^2</f>
        <v>2.79301464647044E-007</v>
      </c>
      <c r="Q321" s="37" t="n">
        <f aca="false">p_Rb^2/(1+(C321*p_Rb*L_Ctot)^2)</f>
        <v>23914028735829.9</v>
      </c>
      <c r="R321" s="37" t="n">
        <f aca="false">M321*L_Kt^2*Q321</f>
        <v>3.37901264242582E-005</v>
      </c>
      <c r="S321" s="37" t="n">
        <f aca="false">L_kT4*D321</f>
        <v>2.39876533627819E-012</v>
      </c>
      <c r="T321" s="37" t="n">
        <f aca="false">L_kT4*L_Rsq*O321</f>
        <v>4.11682035473254E-012</v>
      </c>
      <c r="U321" s="37" t="n">
        <f aca="false">L_kT4*L_Rh*O321</f>
        <v>3.13225329182969E-012</v>
      </c>
      <c r="V321" s="37" t="n">
        <f aca="false">L_kT4*p_Rv*P321</f>
        <v>2.29943588752991E-015</v>
      </c>
      <c r="W321" s="37" t="n">
        <f aca="false">L_kT4/p_Rb*Q321/R321</f>
        <v>1.1653087776813E-014</v>
      </c>
      <c r="X321" s="37" t="n">
        <f aca="false">p_en^2*(1+p_fc/B321)/R321</f>
        <v>1.90837816910936E-012</v>
      </c>
      <c r="Y321" s="37" t="n">
        <f aca="false">p_in^2*Q321/R321</f>
        <v>1.76930595313353E-015</v>
      </c>
      <c r="Z321" s="37" t="n">
        <f aca="false">p_eo^2/L_G^2/R321</f>
        <v>1.87616130530166E-012</v>
      </c>
      <c r="AA321" s="37" t="n">
        <f aca="false">SUM(S321:Z321)</f>
        <v>1.34481002868689E-011</v>
      </c>
      <c r="AB321" s="47" t="n">
        <f aca="false">10*LOG10(AA321/L_PREF^2)</f>
        <v>-14.7339905220891</v>
      </c>
      <c r="AC321" s="47" t="n">
        <f aca="false">10*LOG10(S321/L_PREF^2)</f>
        <v>-22.2207222695506</v>
      </c>
      <c r="AD321" s="47" t="n">
        <f aca="false">10*LOG10(T321/L_PREF^2)</f>
        <v>-19.8749807518075</v>
      </c>
      <c r="AE321" s="47" t="n">
        <f aca="false">10*LOG10(U321/L_PREF^2)</f>
        <v>-21.0620311699823</v>
      </c>
      <c r="AF321" s="47" t="n">
        <f aca="false">10*LOG10(V321/L_PREF^2)</f>
        <v>-52.4043868617205</v>
      </c>
      <c r="AG321" s="47" t="n">
        <f aca="false">10*LOG10(W321/L_PREF^2)</f>
        <v>-45.356189735411</v>
      </c>
      <c r="AH321" s="47" t="n">
        <f aca="false">10*LOG10(X321/L_PREF^2)</f>
        <v>-23.2139555152406</v>
      </c>
      <c r="AI321" s="47" t="n">
        <f aca="false">10*LOG10(Y321/L_PREF^2)</f>
        <v>-53.5425705255701</v>
      </c>
      <c r="AJ321" s="47" t="n">
        <f aca="false">10*LOG10(Z321/L_PREF^2)</f>
        <v>-23.2878981667146</v>
      </c>
      <c r="AK321" s="47" t="n">
        <f aca="false">10*LOG10(R321/$R$6)</f>
        <v>2.00018912028863</v>
      </c>
      <c r="AL321" s="37" t="n">
        <f aca="false">(12194^2*B321^4/((B321^2+20.6^2)*SQRT((B321^2+107.7^2)*(B321^2+737.9^2))*(B321^2+12194^2))*1.2589254)^2</f>
        <v>0.334187546301126</v>
      </c>
      <c r="AM321" s="37" t="n">
        <f aca="false">0.5*(B321-B320)*(S321*AL321+S320*AL320)</f>
        <v>2.46136363585259E-010</v>
      </c>
      <c r="AN321" s="37" t="n">
        <f aca="false">0.5*(B321-B320)*(T321*AL321+T320*AL320)</f>
        <v>4.26582062236054E-010</v>
      </c>
      <c r="AO321" s="37" t="n">
        <f aca="false">0.5*(B321-B320)*(U321*AL321+U320*AL320)</f>
        <v>3.24561907866194E-010</v>
      </c>
      <c r="AP321" s="37" t="n">
        <f aca="false">0.5*(B321-B320)*(V321*AL321+V320*AL320)</f>
        <v>2.00094605216581E-013</v>
      </c>
      <c r="AQ321" s="37" t="n">
        <f aca="false">0.5*(B321-B320)*(W321*AL321+W320*AL320)</f>
        <v>1.24477088268797E-012</v>
      </c>
      <c r="AR321" s="37" t="n">
        <f aca="false">0.5*(B321-B320)*(X321*AL321+X320*AL320)</f>
        <v>1.990110472313E-010</v>
      </c>
      <c r="AS321" s="37" t="n">
        <f aca="false">0.5*(B321-B320)*(Y321*AL321+Y320*AL320)</f>
        <v>1.88995446975808E-013</v>
      </c>
      <c r="AT321" s="37" t="n">
        <f aca="false">0.5*(B321-B320)*(Z321*AL321+Z320*AL320)</f>
        <v>1.95633652391241E-010</v>
      </c>
      <c r="AU321" s="37" t="n">
        <f aca="false">0.5*(B321-B320)*(AA321*AL321+AA320*AL320)</f>
        <v>1.39355889424493E-009</v>
      </c>
      <c r="AV321" s="37" t="n">
        <f aca="false">0.5*(B321-B320)*(S321+S320)</f>
        <v>7.18529496604766E-010</v>
      </c>
      <c r="AW321" s="37" t="n">
        <f aca="false">0.5*(B321-B320)*(T321+T320)</f>
        <v>1.24500089544033E-009</v>
      </c>
      <c r="AX321" s="37" t="n">
        <f aca="false">0.5*(B321-B320)*(U321+U320)</f>
        <v>9.47250017502215E-010</v>
      </c>
      <c r="AY321" s="37" t="n">
        <f aca="false">0.5*(B321-B320)*(V321+V320)</f>
        <v>5.86638721596788E-013</v>
      </c>
      <c r="AZ321" s="37" t="n">
        <f aca="false">0.5*(B321-B320)*(W321+W320)</f>
        <v>3.63033435490522E-012</v>
      </c>
      <c r="BA321" s="37" t="n">
        <f aca="false">0.5*(B321-B320)*(X321+X320)</f>
        <v>5.80735610978567E-010</v>
      </c>
      <c r="BB321" s="37" t="n">
        <f aca="false">0.5*(B321-B320)*(Y321+Y320)</f>
        <v>5.51199159314635E-013</v>
      </c>
      <c r="BC321" s="37" t="n">
        <f aca="false">0.5*(B321-B320)*(Z321+Z320)</f>
        <v>5.70881234349271E-010</v>
      </c>
      <c r="BD321" s="37" t="n">
        <f aca="false">0.5*(B321-B320)*(AA321+AA320)</f>
        <v>4.06716542711096E-009</v>
      </c>
      <c r="BE321" s="37" t="n">
        <f aca="false">IF(B321&gt;2000,AK321,-999)</f>
        <v>2.00018912028863</v>
      </c>
      <c r="BF321" s="37" t="n">
        <f aca="false">IF(AND(B321&lt;1000,AK321&gt;=-3),B321,1000000000)</f>
        <v>1000000000</v>
      </c>
    </row>
    <row r="322" customFormat="false" ht="15" hidden="false" customHeight="false" outlineLevel="0" collapsed="false">
      <c r="A322" s="5" t="n">
        <v>283</v>
      </c>
      <c r="B322" s="47" t="n">
        <f aca="false">20*10^(A322/100)</f>
        <v>13521.6595078396</v>
      </c>
      <c r="C322" s="37" t="n">
        <f aca="false">2*PI()*B322</f>
        <v>84959.0923483432</v>
      </c>
      <c r="D322" s="37" t="n">
        <f aca="false">SQRT(L_Rp0^2+L_Rp1^2*C322)</f>
        <v>146905171.881986</v>
      </c>
      <c r="E322" s="5" t="str">
        <f aca="false">COMPLEX(D322,C322*L_Mp)</f>
        <v>146905171.881986+1255076811.92631i</v>
      </c>
      <c r="F322" s="5" t="str">
        <f aca="false">IMDIV(1,E322)</f>
        <v>9.19997933445474e-11-7.85995522482438e-10i</v>
      </c>
      <c r="G322" s="5" t="str">
        <f aca="false">COMPLEX(0,C322*L_Cf)</f>
        <v>8.98372553117724e-11i</v>
      </c>
      <c r="H322" s="5" t="str">
        <f aca="false">COMPLEX(0,C322*L_Cbv)</f>
        <v>8.98372553117724e-10i</v>
      </c>
      <c r="I322" s="5" t="str">
        <f aca="false">COMPLEX(L_Rsq+L_Rh,C322*(L_Md+L_Mh)-1/(C322*L_Cd))</f>
        <v>552400610.124532-13239086230.2076i</v>
      </c>
      <c r="J322" s="5" t="str">
        <f aca="false">IMDIV(1,I322)</f>
        <v>3.14617365330471e-12+7.54026399100433e-11i</v>
      </c>
      <c r="K322" s="5" t="str">
        <f aca="false">IMSUM(F322,G322,H322)</f>
        <v>9.19997933445474e-11+2.02214285947058e-10i</v>
      </c>
      <c r="L322" s="5" t="str">
        <f aca="false">IMSUM(IMPRODUCT(IMSUM(F322,G322),H322),IMPRODUCT(IMSUM(J322,L_Yv),K322))</f>
        <v>6.10635435776809e-19+9.06277463532639e-20i</v>
      </c>
      <c r="M322" s="37" t="n">
        <f aca="false">IMABS(IMDIV(IMPRODUCT(J322,F322,H322),L322))^2</f>
        <v>7.55378841807932E-021</v>
      </c>
      <c r="N322" s="5" t="str">
        <f aca="false">IMDIV(IMPRODUCT(L_Yv,K322,E322),H322)</f>
        <v>0.000323191378140369+0.00053492109714201i</v>
      </c>
      <c r="O322" s="37" t="n">
        <f aca="false">IMABS(IMSUM(1,IMPRODUCT(E322,G322),N322))^2</f>
        <v>0.787970036257707</v>
      </c>
      <c r="P322" s="37" t="n">
        <f aca="false">IMABS(N322)^2</f>
        <v>3.90593247071877E-007</v>
      </c>
      <c r="Q322" s="37" t="n">
        <f aca="false">p_Rb^2/(1+(C322*p_Rb*L_Ctot)^2)</f>
        <v>22837720144645.6</v>
      </c>
      <c r="R322" s="37" t="n">
        <f aca="false">M322*L_Kt^2*Q322</f>
        <v>3.46222260765932E-005</v>
      </c>
      <c r="S322" s="37" t="n">
        <f aca="false">L_kT4*D322</f>
        <v>2.41888473242393E-012</v>
      </c>
      <c r="T322" s="37" t="n">
        <f aca="false">L_kT4*L_Rsq*O322</f>
        <v>4.07025243287321E-012</v>
      </c>
      <c r="U322" s="37" t="n">
        <f aca="false">L_kT4*L_Rh*O322</f>
        <v>3.0968224218939E-012</v>
      </c>
      <c r="V322" s="37" t="n">
        <f aca="false">L_kT4*p_Rv*P322</f>
        <v>3.21567998534811E-015</v>
      </c>
      <c r="W322" s="37" t="n">
        <f aca="false">L_kT4/p_Rb*Q322/R322</f>
        <v>1.08611508729222E-014</v>
      </c>
      <c r="X322" s="37" t="n">
        <f aca="false">p_en^2*(1+p_fc/B322)/R322</f>
        <v>1.86219437599369E-012</v>
      </c>
      <c r="Y322" s="37" t="n">
        <f aca="false">p_in^2*Q322/R322</f>
        <v>1.64906497448509E-015</v>
      </c>
      <c r="Z322" s="37" t="n">
        <f aca="false">p_eo^2/L_G^2/R322</f>
        <v>1.83107023673743E-012</v>
      </c>
      <c r="AA322" s="37" t="n">
        <f aca="false">SUM(S322:Z322)</f>
        <v>1.32949500957549E-011</v>
      </c>
      <c r="AB322" s="47" t="n">
        <f aca="false">10*LOG10(AA322/L_PREF^2)</f>
        <v>-14.7837327983555</v>
      </c>
      <c r="AC322" s="47" t="n">
        <f aca="false">10*LOG10(S322/L_PREF^2)</f>
        <v>-22.1844481799087</v>
      </c>
      <c r="AD322" s="47" t="n">
        <f aca="false">10*LOG10(T322/L_PREF^2)</f>
        <v>-19.9243864677001</v>
      </c>
      <c r="AE322" s="47" t="n">
        <f aca="false">10*LOG10(U322/L_PREF^2)</f>
        <v>-21.1114368858748</v>
      </c>
      <c r="AF322" s="47" t="n">
        <f aca="false">10*LOG10(V322/L_PREF^2)</f>
        <v>-50.9478716876171</v>
      </c>
      <c r="AG322" s="47" t="n">
        <f aca="false">10*LOG10(W322/L_PREF^2)</f>
        <v>-45.6618414477885</v>
      </c>
      <c r="AH322" s="47" t="n">
        <f aca="false">10*LOG10(X322/L_PREF^2)</f>
        <v>-23.3203498062484</v>
      </c>
      <c r="AI322" s="47" t="n">
        <f aca="false">10*LOG10(Y322/L_PREF^2)</f>
        <v>-53.8482222379477</v>
      </c>
      <c r="AJ322" s="47" t="n">
        <f aca="false">10*LOG10(Z322/L_PREF^2)</f>
        <v>-23.3935498790969</v>
      </c>
      <c r="AK322" s="47" t="n">
        <f aca="false">10*LOG10(R322/$R$6)</f>
        <v>2.10584083267086</v>
      </c>
      <c r="AL322" s="37" t="n">
        <f aca="false">(12194^2*B322^4/((B322^2+20.6^2)*SQRT((B322^2+107.7^2)*(B322^2+737.9^2))*(B322^2+12194^2))*1.2589254)^2</f>
        <v>0.317849061367978</v>
      </c>
      <c r="AM322" s="37" t="n">
        <f aca="false">0.5*(B322-B321)*(S322*AL322+S321*AL321)</f>
        <v>2.41689102423366E-010</v>
      </c>
      <c r="AN322" s="37" t="n">
        <f aca="false">0.5*(B322-B321)*(T322*AL322+T321*AL321)</f>
        <v>4.10825897117141E-010</v>
      </c>
      <c r="AO322" s="37" t="n">
        <f aca="false">0.5*(B322-B321)*(U322*AL322+U321*AL321)</f>
        <v>3.12573942444387E-010</v>
      </c>
      <c r="AP322" s="37" t="n">
        <f aca="false">0.5*(B322-B321)*(V322*AL322+V321*AL321)</f>
        <v>2.7555621336917E-013</v>
      </c>
      <c r="AQ322" s="37" t="n">
        <f aca="false">0.5*(B322-B321)*(W322*AL322+W321*AL321)</f>
        <v>1.13059523372117E-012</v>
      </c>
      <c r="AR322" s="37" t="n">
        <f aca="false">0.5*(B322-B321)*(X322*AL322+X321*AL321)</f>
        <v>1.89237777818444E-010</v>
      </c>
      <c r="AS322" s="37" t="n">
        <f aca="false">0.5*(B322-B321)*(Y322*AL322+Y321*AL321)</f>
        <v>1.71659985397822E-013</v>
      </c>
      <c r="AT322" s="37" t="n">
        <f aca="false">0.5*(B322-B321)*(Z322*AL322+Z321*AL321)</f>
        <v>1.86058416403071E-010</v>
      </c>
      <c r="AU322" s="37" t="n">
        <f aca="false">0.5*(B322-B321)*(AA322*AL322+AA321*AL321)</f>
        <v>1.3419629476389E-009</v>
      </c>
      <c r="AV322" s="37" t="n">
        <f aca="false">0.5*(B322-B321)*(S322+S321)</f>
        <v>7.41413576606815E-010</v>
      </c>
      <c r="AW322" s="37" t="n">
        <f aca="false">0.5*(B322-B321)*(T322+T321)</f>
        <v>1.25995180862822E-009</v>
      </c>
      <c r="AX322" s="37" t="n">
        <f aca="false">0.5*(B322-B321)*(U322+U321)</f>
        <v>9.58625312757641E-010</v>
      </c>
      <c r="AY322" s="37" t="n">
        <f aca="false">0.5*(B322-B321)*(V322+V321)</f>
        <v>8.48750267537193E-013</v>
      </c>
      <c r="AZ322" s="37" t="n">
        <f aca="false">0.5*(B322-B321)*(W322+W321)</f>
        <v>3.46483492238706E-012</v>
      </c>
      <c r="BA322" s="37" t="n">
        <f aca="false">0.5*(B322-B321)*(X322+X321)</f>
        <v>5.8027329437678E-010</v>
      </c>
      <c r="BB322" s="37" t="n">
        <f aca="false">0.5*(B322-B321)*(Y322+Y321)</f>
        <v>5.26071130005763E-013</v>
      </c>
      <c r="BC322" s="37" t="n">
        <f aca="false">0.5*(B322-B321)*(Z322+Z321)</f>
        <v>5.7052541336471E-010</v>
      </c>
      <c r="BD322" s="37" t="n">
        <f aca="false">0.5*(B322-B321)*(AA322+AA321)</f>
        <v>4.11562906205409E-009</v>
      </c>
      <c r="BE322" s="37" t="n">
        <f aca="false">IF(B322&gt;2000,AK322,-999)</f>
        <v>2.10584083267086</v>
      </c>
      <c r="BF322" s="37" t="n">
        <f aca="false">IF(AND(B322&lt;1000,AK322&gt;=-3),B322,1000000000)</f>
        <v>1000000000</v>
      </c>
    </row>
    <row r="323" customFormat="false" ht="15" hidden="false" customHeight="false" outlineLevel="0" collapsed="false">
      <c r="A323" s="5" t="n">
        <v>284</v>
      </c>
      <c r="B323" s="47" t="n">
        <f aca="false">20*10^(A323/100)</f>
        <v>13836.6194183787</v>
      </c>
      <c r="C323" s="37" t="n">
        <f aca="false">2*PI()*B323</f>
        <v>86938.043830593</v>
      </c>
      <c r="D323" s="37" t="n">
        <f aca="false">SQRT(L_Rp0^2+L_Rp1^2*C323)</f>
        <v>148145104.237261</v>
      </c>
      <c r="E323" s="5" t="str">
        <f aca="false">COMPLEX(D323,C323*L_Mp)</f>
        <v>148145104.237261+1284311306.41827i</v>
      </c>
      <c r="F323" s="5" t="str">
        <f aca="false">IMDIV(1,E323)</f>
        <v>8.8635205409242e-11-7.68403363984835e-10i</v>
      </c>
      <c r="G323" s="5" t="str">
        <f aca="false">COMPLEX(0,C323*L_Cf)</f>
        <v>9.19298338062736e-11i</v>
      </c>
      <c r="H323" s="5" t="str">
        <f aca="false">COMPLEX(0,C323*L_Cbv)</f>
        <v>9.19298338062736e-10i</v>
      </c>
      <c r="I323" s="5" t="str">
        <f aca="false">COMPLEX(L_Rsq+L_Rh,C323*(L_Md+L_Mh)-1/(C323*L_Cd))</f>
        <v>552400610.124532-12922984229.111i</v>
      </c>
      <c r="J323" s="5" t="str">
        <f aca="false">IMDIV(1,I323)</f>
        <v>3.30168554518112e-12+7.72403749160243e-11i</v>
      </c>
      <c r="K323" s="5" t="str">
        <f aca="false">IMSUM(F323,G323,H323)</f>
        <v>8.8635205409242e-11+2.42824807884175e-10i</v>
      </c>
      <c r="L323" s="5" t="str">
        <f aca="false">IMSUM(IMPRODUCT(IMSUM(F323,G323),H323),IMPRODUCT(IMSUM(J323,L_Yv),K323))</f>
        <v>6.0359502882401e-19+8.9615794297105e-20i</v>
      </c>
      <c r="M323" s="37" t="n">
        <f aca="false">IMABS(IMDIV(IMPRODUCT(J323,F323,H323),L323))^2</f>
        <v>8.11620168227085E-021</v>
      </c>
      <c r="N323" s="5" t="str">
        <f aca="false">IMDIV(IMPRODUCT(L_Yv,K323,E323),H323)</f>
        <v>0.000325919229321975+0.000649912573821406i</v>
      </c>
      <c r="O323" s="37" t="n">
        <f aca="false">IMABS(IMSUM(1,IMPRODUCT(E323,G323),N323))^2</f>
        <v>0.778585239362555</v>
      </c>
      <c r="P323" s="37" t="n">
        <f aca="false">IMABS(N323)^2</f>
        <v>5.28609697652984E-007</v>
      </c>
      <c r="Q323" s="37" t="n">
        <f aca="false">p_Rb^2/(1+(C323*p_Rb*L_Ctot)^2)</f>
        <v>21809853419791.4</v>
      </c>
      <c r="R323" s="37" t="n">
        <f aca="false">M323*L_Kt^2*Q323</f>
        <v>3.55257293043756E-005</v>
      </c>
      <c r="S323" s="37" t="n">
        <f aca="false">L_kT4*D323</f>
        <v>2.43930098737935E-012</v>
      </c>
      <c r="T323" s="37" t="n">
        <f aca="false">L_kT4*L_Rsq*O323</f>
        <v>4.02177534537388E-012</v>
      </c>
      <c r="U323" s="37" t="n">
        <f aca="false">L_kT4*L_Rh*O323</f>
        <v>3.0599389769499E-012</v>
      </c>
      <c r="V323" s="37" t="n">
        <f aca="false">L_kT4*p_Rv*P323</f>
        <v>4.35194319806254E-015</v>
      </c>
      <c r="W323" s="37" t="n">
        <f aca="false">L_kT4/p_Rb*Q323/R323</f>
        <v>1.01085259931511E-014</v>
      </c>
      <c r="X323" s="37" t="n">
        <f aca="false">p_en^2*(1+p_fc/B323)/R323</f>
        <v>1.81453110151068E-012</v>
      </c>
      <c r="Y323" s="37" t="n">
        <f aca="false">p_in^2*Q323/R323</f>
        <v>1.53479279995423E-015</v>
      </c>
      <c r="Z323" s="37" t="n">
        <f aca="false">p_eo^2/L_G^2/R323</f>
        <v>1.7845017946088E-012</v>
      </c>
      <c r="AA323" s="37" t="n">
        <f aca="false">SUM(S323:Z323)</f>
        <v>1.31360434678138E-011</v>
      </c>
      <c r="AB323" s="47" t="n">
        <f aca="false">10*LOG10(AA323/L_PREF^2)</f>
        <v>-14.8359541444842</v>
      </c>
      <c r="AC323" s="47" t="n">
        <f aca="false">10*LOG10(S323/L_PREF^2)</f>
        <v>-22.1479459975019</v>
      </c>
      <c r="AD323" s="47" t="n">
        <f aca="false">10*LOG10(T323/L_PREF^2)</f>
        <v>-19.9764218389106</v>
      </c>
      <c r="AE323" s="47" t="n">
        <f aca="false">10*LOG10(U323/L_PREF^2)</f>
        <v>-21.1634722570853</v>
      </c>
      <c r="AF323" s="47" t="n">
        <f aca="false">10*LOG10(V323/L_PREF^2)</f>
        <v>-49.6337677304983</v>
      </c>
      <c r="AG323" s="47" t="n">
        <f aca="false">10*LOG10(W323/L_PREF^2)</f>
        <v>-45.9737215915056</v>
      </c>
      <c r="AH323" s="47" t="n">
        <f aca="false">10*LOG10(X323/L_PREF^2)</f>
        <v>-23.4329557481304</v>
      </c>
      <c r="AI323" s="47" t="n">
        <f aca="false">10*LOG10(Y323/L_PREF^2)</f>
        <v>-54.1601023816648</v>
      </c>
      <c r="AJ323" s="47" t="n">
        <f aca="false">10*LOG10(Z323/L_PREF^2)</f>
        <v>-23.5054300228184</v>
      </c>
      <c r="AK323" s="47" t="n">
        <f aca="false">10*LOG10(R323/$R$6)</f>
        <v>2.21772097639238</v>
      </c>
      <c r="AL323" s="37" t="n">
        <f aca="false">(12194^2*B323^4/((B323^2+20.6^2)*SQRT((B323^2+107.7^2)*(B323^2+737.9^2))*(B323^2+12194^2))*1.2589254)^2</f>
        <v>0.301990458167383</v>
      </c>
      <c r="AM323" s="37" t="n">
        <f aca="false">0.5*(B323-B322)*(S323*AL323+S322*AL322)</f>
        <v>2.37083846607495E-010</v>
      </c>
      <c r="AN323" s="37" t="n">
        <f aca="false">0.5*(B323-B322)*(T323*AL323+T322*AL322)</f>
        <v>3.95001254416476E-010</v>
      </c>
      <c r="AO323" s="37" t="n">
        <f aca="false">0.5*(B323-B322)*(U323*AL323+U322*AL322)</f>
        <v>3.0053387634478E-010</v>
      </c>
      <c r="AP323" s="37" t="n">
        <f aca="false">0.5*(B323-B322)*(V323*AL323+V322*AL322)</f>
        <v>3.67927692755845E-013</v>
      </c>
      <c r="AQ323" s="37" t="n">
        <f aca="false">0.5*(B323-B322)*(W323*AL323+W322*AL322)</f>
        <v>1.02438899984185E-012</v>
      </c>
      <c r="AR323" s="37" t="n">
        <f aca="false">0.5*(B323-B322)*(X323*AL323+X322*AL322)</f>
        <v>1.79506332235691E-010</v>
      </c>
      <c r="AS323" s="37" t="n">
        <f aca="false">0.5*(B323-B322)*(Y323*AL323+Y322*AL322)</f>
        <v>1.55534532173615E-013</v>
      </c>
      <c r="AT323" s="37" t="n">
        <f aca="false">0.5*(B323-B322)*(Z323*AL323+Z322*AL322)</f>
        <v>1.76520300851471E-010</v>
      </c>
      <c r="AU323" s="37" t="n">
        <f aca="false">0.5*(B323-B322)*(AA323*AL323+AA322*AL322)</f>
        <v>1.29019346168068E-009</v>
      </c>
      <c r="AV323" s="37" t="n">
        <f aca="false">0.5*(B323-B322)*(S323+S322)</f>
        <v>7.65066869845754E-010</v>
      </c>
      <c r="AW323" s="37" t="n">
        <f aca="false">0.5*(B323-B322)*(T323+T322)</f>
        <v>1.27433217255825E-009</v>
      </c>
      <c r="AX323" s="37" t="n">
        <f aca="false">0.5*(B323-B322)*(U323+U322)</f>
        <v>9.69566509695171E-010</v>
      </c>
      <c r="AY323" s="37" t="n">
        <f aca="false">0.5*(B323-B322)*(V323+V322)</f>
        <v>1.19174896042027E-012</v>
      </c>
      <c r="AZ323" s="37" t="n">
        <f aca="false">0.5*(B323-B322)*(W323+W322)</f>
        <v>3.30230377488599E-012</v>
      </c>
      <c r="BA323" s="37" t="n">
        <f aca="false">0.5*(B323-B322)*(X323+X322)</f>
        <v>5.79010563735776E-010</v>
      </c>
      <c r="BB323" s="37" t="n">
        <f aca="false">0.5*(B323-B322)*(Y323+Y322)</f>
        <v>5.01393779903291E-013</v>
      </c>
      <c r="BC323" s="37" t="n">
        <f aca="false">0.5*(B323-B322)*(Z323+Z322)</f>
        <v>5.69380121770216E-010</v>
      </c>
      <c r="BD323" s="37" t="n">
        <f aca="false">0.5*(B323-B322)*(AA323+AA322)</f>
        <v>4.16235168412038E-009</v>
      </c>
      <c r="BE323" s="37" t="n">
        <f aca="false">IF(B323&gt;2000,AK323,-999)</f>
        <v>2.21772097639238</v>
      </c>
      <c r="BF323" s="37" t="n">
        <f aca="false">IF(AND(B323&lt;1000,AK323&gt;=-3),B323,1000000000)</f>
        <v>1000000000</v>
      </c>
    </row>
    <row r="324" customFormat="false" ht="15" hidden="false" customHeight="false" outlineLevel="0" collapsed="false">
      <c r="A324" s="5" t="n">
        <v>285</v>
      </c>
      <c r="B324" s="47" t="n">
        <f aca="false">20*10^(A324/100)</f>
        <v>14158.9156876828</v>
      </c>
      <c r="C324" s="37" t="n">
        <f aca="false">2*PI()*B324</f>
        <v>88963.0910144429</v>
      </c>
      <c r="D324" s="37" t="n">
        <f aca="false">SQRT(L_Rp0^2+L_Rp1^2*C324)</f>
        <v>149403265.884931</v>
      </c>
      <c r="E324" s="5" t="str">
        <f aca="false">COMPLEX(D324,C324*L_Mp)</f>
        <v>149403265.884931+1314226759.76475i</v>
      </c>
      <c r="F324" s="5" t="str">
        <f aca="false">IMDIV(1,E324)</f>
        <v>8.53970443467847e-11-7.51195632977667e-10i</v>
      </c>
      <c r="G324" s="5" t="str">
        <f aca="false">COMPLEX(0,C324*L_Cf)</f>
        <v>9.40711547154942e-11i</v>
      </c>
      <c r="H324" s="5" t="str">
        <f aca="false">COMPLEX(0,C324*L_Cbv)</f>
        <v>9.40711547154942e-10i</v>
      </c>
      <c r="I324" s="5" t="str">
        <f aca="false">COMPLEX(L_Rsq+L_Rh,C324*(L_Md+L_Mh)-1/(C324*L_Cd))</f>
        <v>552400610.124532-12613734165.3087i</v>
      </c>
      <c r="J324" s="5" t="str">
        <f aca="false">IMDIV(1,I324)</f>
        <v>3.46525082447961e-12+7.9126908832068e-11i</v>
      </c>
      <c r="K324" s="5" t="str">
        <f aca="false">IMSUM(F324,G324,H324)</f>
        <v>8.53970443467847e-11+2.83587068892769e-10i</v>
      </c>
      <c r="L324" s="5" t="str">
        <f aca="false">IMSUM(IMPRODUCT(IMSUM(F324,G324),H324),IMPRODUCT(IMSUM(J324,L_Yv),K324))</f>
        <v>5.96191932740186e-19+8.86410643145571e-20i</v>
      </c>
      <c r="M324" s="37" t="n">
        <f aca="false">IMABS(IMDIV(IMPRODUCT(J324,F324,H324),L324))^2</f>
        <v>8.73390302283288E-021</v>
      </c>
      <c r="N324" s="5" t="str">
        <f aca="false">IMDIV(IMPRODUCT(L_Yv,K324,E324),H324)</f>
        <v>0.000328687184946848+0.000765248642750023i</v>
      </c>
      <c r="O324" s="37" t="n">
        <f aca="false">IMABS(IMSUM(1,IMPRODUCT(E324,G324),N324))^2</f>
        <v>0.768818760879143</v>
      </c>
      <c r="P324" s="37" t="n">
        <f aca="false">IMABS(N324)^2</f>
        <v>6.93640750779026E-007</v>
      </c>
      <c r="Q324" s="37" t="n">
        <f aca="false">p_Rb^2/(1+(C324*p_Rb*L_Ctot)^2)</f>
        <v>20828248318135.5</v>
      </c>
      <c r="R324" s="37" t="n">
        <f aca="false">M324*L_Kt^2*Q324</f>
        <v>3.65088822836576E-005</v>
      </c>
      <c r="S324" s="37" t="n">
        <f aca="false">L_kT4*D324</f>
        <v>2.46001739893576E-012</v>
      </c>
      <c r="T324" s="37" t="n">
        <f aca="false">L_kT4*L_Rsq*O324</f>
        <v>3.9713266849191E-012</v>
      </c>
      <c r="U324" s="37" t="n">
        <f aca="false">L_kT4*L_Rh*O324</f>
        <v>3.02155547483856E-012</v>
      </c>
      <c r="V324" s="37" t="n">
        <f aca="false">L_kT4*p_Rv*P324</f>
        <v>5.71061250040375E-015</v>
      </c>
      <c r="W324" s="37" t="n">
        <f aca="false">L_kT4/p_Rb*Q324/R324</f>
        <v>9.39360506481564E-015</v>
      </c>
      <c r="X324" s="37" t="n">
        <f aca="false">p_en^2*(1+p_fc/B324)/R324</f>
        <v>1.76537894295191E-012</v>
      </c>
      <c r="Y324" s="37" t="n">
        <f aca="false">p_in^2*Q324/R324</f>
        <v>1.42624527343164E-015</v>
      </c>
      <c r="Z324" s="37" t="n">
        <f aca="false">p_eo^2/L_G^2/R324</f>
        <v>1.73644668729895E-012</v>
      </c>
      <c r="AA324" s="37" t="n">
        <f aca="false">SUM(S324:Z324)</f>
        <v>1.29712556517829E-011</v>
      </c>
      <c r="AB324" s="47" t="n">
        <f aca="false">10*LOG10(AA324/L_PREF^2)</f>
        <v>-14.8907797235681</v>
      </c>
      <c r="AC324" s="47" t="n">
        <f aca="false">10*LOG10(S324/L_PREF^2)</f>
        <v>-22.1112181258431</v>
      </c>
      <c r="AD324" s="47" t="n">
        <f aca="false">10*LOG10(T324/L_PREF^2)</f>
        <v>-20.0312437733836</v>
      </c>
      <c r="AE324" s="47" t="n">
        <f aca="false">10*LOG10(U324/L_PREF^2)</f>
        <v>-21.2182941915583</v>
      </c>
      <c r="AF324" s="47" t="n">
        <f aca="false">10*LOG10(V324/L_PREF^2)</f>
        <v>-48.4537729967063</v>
      </c>
      <c r="AG324" s="47" t="n">
        <f aca="false">10*LOG10(W324/L_PREF^2)</f>
        <v>-46.2922769413272</v>
      </c>
      <c r="AH324" s="47" t="n">
        <f aca="false">10*LOG10(X324/L_PREF^2)</f>
        <v>-23.5522204921391</v>
      </c>
      <c r="AI324" s="47" t="n">
        <f aca="false">10*LOG10(Y324/L_PREF^2)</f>
        <v>-54.4786577314864</v>
      </c>
      <c r="AJ324" s="47" t="n">
        <f aca="false">10*LOG10(Z324/L_PREF^2)</f>
        <v>-23.6239853726443</v>
      </c>
      <c r="AK324" s="47" t="n">
        <f aca="false">10*LOG10(R324/$R$6)</f>
        <v>2.33627632621827</v>
      </c>
      <c r="AL324" s="37" t="n">
        <f aca="false">(12194^2*B324^4/((B324^2+20.6^2)*SQRT((B324^2+107.7^2)*(B324^2+737.9^2))*(B324^2+12194^2))*1.2589254)^2</f>
        <v>0.286622079132289</v>
      </c>
      <c r="AM324" s="37" t="n">
        <f aca="false">0.5*(B324-B323)*(S324*AL324+S323*AL323)</f>
        <v>2.3233386061393E-010</v>
      </c>
      <c r="AN324" s="37" t="n">
        <f aca="false">0.5*(B324-B323)*(T324*AL324+T323*AL323)</f>
        <v>3.79150570525573E-010</v>
      </c>
      <c r="AO324" s="37" t="n">
        <f aca="false">0.5*(B324-B323)*(U324*AL324+U323*AL323)</f>
        <v>2.88473996992027E-010</v>
      </c>
      <c r="AP324" s="37" t="n">
        <f aca="false">0.5*(B324-B323)*(V324*AL324+V323*AL323)</f>
        <v>4.75553454912918E-013</v>
      </c>
      <c r="AQ324" s="37" t="n">
        <f aca="false">0.5*(B324-B323)*(W324*AL324+W323*AL323)</f>
        <v>9.25811022011173E-013</v>
      </c>
      <c r="AR324" s="37" t="n">
        <f aca="false">0.5*(B324-B323)*(X324*AL324+X323*AL323)</f>
        <v>1.69844922680914E-010</v>
      </c>
      <c r="AS324" s="37" t="n">
        <f aca="false">0.5*(B324-B323)*(Y324*AL324+Y323*AL323)</f>
        <v>1.40567288610006E-013</v>
      </c>
      <c r="AT324" s="37" t="n">
        <f aca="false">0.5*(B324-B323)*(Z324*AL324+Z323*AL323)</f>
        <v>1.67047199713E-010</v>
      </c>
      <c r="AU324" s="37" t="n">
        <f aca="false">0.5*(B324-B323)*(AA324*AL324+AA323*AL323)</f>
        <v>1.23839248229098E-009</v>
      </c>
      <c r="AV324" s="37" t="n">
        <f aca="false">0.5*(B324-B323)*(S324+S323)</f>
        <v>7.89516019021018E-010</v>
      </c>
      <c r="AW324" s="37" t="n">
        <f aca="false">0.5*(B324-B323)*(T324+T323)</f>
        <v>1.28807348226498E-009</v>
      </c>
      <c r="AX324" s="37" t="n">
        <f aca="false">0.5*(B324-B323)*(U324+U323)</f>
        <v>9.80021486802311E-010</v>
      </c>
      <c r="AY324" s="37" t="n">
        <f aca="false">0.5*(B324-B323)*(V324+V323)</f>
        <v>1.62156208063988E-012</v>
      </c>
      <c r="AZ324" s="37" t="n">
        <f aca="false">0.5*(B324-B323)*(W324+W323)</f>
        <v>3.14273204173054E-012</v>
      </c>
      <c r="BA324" s="37" t="n">
        <f aca="false">0.5*(B324-B323)*(X324+X323)</f>
        <v>5.76895825887172E-010</v>
      </c>
      <c r="BB324" s="37" t="n">
        <f aca="false">0.5*(B324-B323)*(Y324+Y323)</f>
        <v>4.7716576215974E-013</v>
      </c>
      <c r="BC324" s="37" t="n">
        <f aca="false">0.5*(B324-B323)*(Z324+Z323)</f>
        <v>5.6739428006529E-010</v>
      </c>
      <c r="BD324" s="37" t="n">
        <f aca="false">0.5*(B324-B323)*(AA324+AA323)</f>
        <v>4.2071425539253E-009</v>
      </c>
      <c r="BE324" s="37" t="n">
        <f aca="false">IF(B324&gt;2000,AK324,-999)</f>
        <v>2.33627632621827</v>
      </c>
      <c r="BF324" s="37" t="n">
        <f aca="false">IF(AND(B324&lt;1000,AK324&gt;=-3),B324,1000000000)</f>
        <v>1000000000</v>
      </c>
    </row>
    <row r="325" customFormat="false" ht="15" hidden="false" customHeight="false" outlineLevel="0" collapsed="false">
      <c r="A325" s="5" t="n">
        <v>286</v>
      </c>
      <c r="B325" s="47" t="n">
        <f aca="false">20*10^(A325/100)</f>
        <v>14488.7192014998</v>
      </c>
      <c r="C325" s="37" t="n">
        <f aca="false">2*PI()*B325</f>
        <v>91035.3076067143</v>
      </c>
      <c r="D325" s="37" t="n">
        <f aca="false">SQRT(L_Rp0^2+L_Rp1^2*C325)</f>
        <v>150679858.843975</v>
      </c>
      <c r="E325" s="5" t="str">
        <f aca="false">COMPLEX(D325,C325*L_Mp)</f>
        <v>150679858.843975+1344839033.53511i</v>
      </c>
      <c r="F325" s="5" t="str">
        <f aca="false">IMDIV(1,E325)</f>
        <v>8.22804298969013e-11-7.34364464304292e-10i</v>
      </c>
      <c r="G325" s="5" t="str">
        <f aca="false">COMPLEX(0,C325*L_Cf)</f>
        <v>9.62623533961238e-11i</v>
      </c>
      <c r="H325" s="5" t="str">
        <f aca="false">COMPLEX(0,C325*L_Cbv)</f>
        <v>9.62623533961238e-10i</v>
      </c>
      <c r="I325" s="5" t="str">
        <f aca="false">COMPLEX(L_Rsq+L_Rh,C325*(L_Md+L_Mh)-1/(C325*L_Cd))</f>
        <v>552400610.124532-12311172070.3233i</v>
      </c>
      <c r="J325" s="5" t="str">
        <f aca="false">IMDIV(1,I325)</f>
        <v>3.63732291559382e-12+8.10638284398537e-11i</v>
      </c>
      <c r="K325" s="5" t="str">
        <f aca="false">IMSUM(F325,G325,H325)</f>
        <v>8.22804298969013e-11+3.2452142305307e-10i</v>
      </c>
      <c r="L325" s="5" t="str">
        <f aca="false">IMSUM(IMPRODUCT(IMSUM(F325,G325),H325),IMPRODUCT(IMSUM(J325,L_Yv),K325))</f>
        <v>5.88409001420078e-19+8.7704476911103e-20i</v>
      </c>
      <c r="M325" s="37" t="n">
        <f aca="false">IMABS(IMDIV(IMPRODUCT(J325,F325,H325),L325))^2</f>
        <v>9.4141324129182E-021</v>
      </c>
      <c r="N325" s="5" t="str">
        <f aca="false">IMDIV(IMPRODUCT(L_Yv,K325,E325),H325)</f>
        <v>0.000331495689456745+0.000880990456638301i</v>
      </c>
      <c r="O325" s="37" t="n">
        <f aca="false">IMABS(IMSUM(1,IMPRODUCT(E325,G325),N325))^2</f>
        <v>0.758658464741505</v>
      </c>
      <c r="P325" s="37" t="n">
        <f aca="false">IMABS(N325)^2</f>
        <v>8.8603357681616E-007</v>
      </c>
      <c r="Q325" s="37" t="n">
        <f aca="false">p_Rb^2/(1+(C325*p_Rb*L_Ctot)^2)</f>
        <v>19890822723651.5</v>
      </c>
      <c r="R325" s="37" t="n">
        <f aca="false">M325*L_Kt^2*Q325</f>
        <v>3.75811853743827E-005</v>
      </c>
      <c r="S325" s="37" t="n">
        <f aca="false">L_kT4*D325</f>
        <v>2.48103729346085E-012</v>
      </c>
      <c r="T325" s="37" t="n">
        <f aca="false">L_kT4*L_Rsq*O325</f>
        <v>3.91884376276467E-012</v>
      </c>
      <c r="U325" s="37" t="n">
        <f aca="false">L_kT4*L_Rh*O325</f>
        <v>2.98162421927768E-012</v>
      </c>
      <c r="V325" s="37" t="n">
        <f aca="false">L_kT4*p_Rv*P325</f>
        <v>7.29454608002942E-015</v>
      </c>
      <c r="W325" s="37" t="n">
        <f aca="false">L_kT4/p_Rb*Q325/R325</f>
        <v>8.71485890280354E-015</v>
      </c>
      <c r="X325" s="37" t="n">
        <f aca="false">p_en^2*(1+p_fc/B325)/R325</f>
        <v>1.71473364458056E-012</v>
      </c>
      <c r="Y325" s="37" t="n">
        <f aca="false">p_in^2*Q325/R325</f>
        <v>1.32319021642743E-015</v>
      </c>
      <c r="Z325" s="37" t="n">
        <f aca="false">p_eo^2/L_G^2/R325</f>
        <v>1.68690069424096E-012</v>
      </c>
      <c r="AA325" s="37" t="n">
        <f aca="false">SUM(S325:Z325)</f>
        <v>1.2800472209524E-011</v>
      </c>
      <c r="AB325" s="47" t="n">
        <f aca="false">10*LOG10(AA325/L_PREF^2)</f>
        <v>-14.9483400025761</v>
      </c>
      <c r="AC325" s="47" t="n">
        <f aca="false">10*LOG10(S325/L_PREF^2)</f>
        <v>-22.0742669895316</v>
      </c>
      <c r="AD325" s="47" t="n">
        <f aca="false">10*LOG10(T325/L_PREF^2)</f>
        <v>-20.089020420427</v>
      </c>
      <c r="AE325" s="47" t="n">
        <f aca="false">10*LOG10(U325/L_PREF^2)</f>
        <v>-21.2760708386017</v>
      </c>
      <c r="AF325" s="47" t="n">
        <f aca="false">10*LOG10(V325/L_PREF^2)</f>
        <v>-47.3906171923446</v>
      </c>
      <c r="AG325" s="47" t="n">
        <f aca="false">10*LOG10(W325/L_PREF^2)</f>
        <v>-46.6179963123363</v>
      </c>
      <c r="AH325" s="47" t="n">
        <f aca="false">10*LOG10(X325/L_PREF^2)</f>
        <v>-23.6786332215188</v>
      </c>
      <c r="AI325" s="47" t="n">
        <f aca="false">10*LOG10(Y325/L_PREF^2)</f>
        <v>-54.8043771024955</v>
      </c>
      <c r="AJ325" s="47" t="n">
        <f aca="false">10*LOG10(Z325/L_PREF^2)</f>
        <v>-23.7497047436574</v>
      </c>
      <c r="AK325" s="47" t="n">
        <f aca="false">10*LOG10(R325/$R$6)</f>
        <v>2.46199569723143</v>
      </c>
      <c r="AL325" s="37" t="n">
        <f aca="false">(12194^2*B325^4/((B325^2+20.6^2)*SQRT((B325^2+107.7^2)*(B325^2+737.9^2))*(B325^2+12194^2))*1.2589254)^2</f>
        <v>0.271752260572767</v>
      </c>
      <c r="AM325" s="37" t="n">
        <f aca="false">0.5*(B325-B324)*(S325*AL325+S324*AL324)</f>
        <v>2.27452752181405E-010</v>
      </c>
      <c r="AN325" s="37" t="n">
        <f aca="false">0.5*(B325-B324)*(T325*AL325+T324*AL324)</f>
        <v>3.63315601254524E-010</v>
      </c>
      <c r="AO325" s="37" t="n">
        <f aca="false">0.5*(B325-B324)*(U325*AL325+U324*AL324)</f>
        <v>2.76426073995279E-010</v>
      </c>
      <c r="AP325" s="37" t="n">
        <f aca="false">0.5*(B325-B324)*(V325*AL325+V324*AL324)</f>
        <v>5.96795456209853E-013</v>
      </c>
      <c r="AQ325" s="37" t="n">
        <f aca="false">0.5*(B325-B324)*(W325*AL325+W324*AL324)</f>
        <v>8.34517863029606E-013</v>
      </c>
      <c r="AR325" s="37" t="n">
        <f aca="false">0.5*(B325-B324)*(X325*AL325+X324*AL324)</f>
        <v>1.60281098747262E-010</v>
      </c>
      <c r="AS325" s="37" t="n">
        <f aca="false">0.5*(B325-B324)*(Y325*AL325+Y324*AL324)</f>
        <v>1.26706110117225E-013</v>
      </c>
      <c r="AT325" s="37" t="n">
        <f aca="false">0.5*(B325-B324)*(Z325*AL325+Z324*AL324)</f>
        <v>1.57666368595253E-010</v>
      </c>
      <c r="AU325" s="37" t="n">
        <f aca="false">0.5*(B325-B324)*(AA325*AL325+AA324*AL324)</f>
        <v>1.18669991420308E-009</v>
      </c>
      <c r="AV325" s="37" t="n">
        <f aca="false">0.5*(B325-B324)*(S325+S324)</f>
        <v>8.14788599757278E-010</v>
      </c>
      <c r="AW325" s="37" t="n">
        <f aca="false">0.5*(B325-B324)*(T325+T324)</f>
        <v>1.30110296913072E-009</v>
      </c>
      <c r="AX325" s="37" t="n">
        <f aca="false">0.5*(B325-B324)*(U325+U324)</f>
        <v>9.89934878597308E-010</v>
      </c>
      <c r="AY325" s="37" t="n">
        <f aca="false">0.5*(B325-B324)*(V325+V324)</f>
        <v>2.14457349878732E-012</v>
      </c>
      <c r="AZ325" s="37" t="n">
        <f aca="false">0.5*(B325-B324)*(W325+W324)</f>
        <v>2.986117523175E-012</v>
      </c>
      <c r="BA325" s="37" t="n">
        <f aca="false">0.5*(B325-B324)*(X325+X324)</f>
        <v>5.73876679923554E-010</v>
      </c>
      <c r="BB325" s="37" t="n">
        <f aca="false">0.5*(B325-B324)*(Y325+Y324)</f>
        <v>4.53386742784393E-013</v>
      </c>
      <c r="BC325" s="37" t="n">
        <f aca="false">0.5*(B325-B324)*(Z325+Z324)</f>
        <v>5.64515997724107E-010</v>
      </c>
      <c r="BD325" s="37" t="n">
        <f aca="false">0.5*(B325-B324)*(AA325+AA324)</f>
        <v>4.24980320289772E-009</v>
      </c>
      <c r="BE325" s="37" t="n">
        <f aca="false">IF(B325&gt;2000,AK325,-999)</f>
        <v>2.46199569723143</v>
      </c>
      <c r="BF325" s="37" t="n">
        <f aca="false">IF(AND(B325&lt;1000,AK325&gt;=-3),B325,1000000000)</f>
        <v>1000000000</v>
      </c>
    </row>
    <row r="326" customFormat="false" ht="15" hidden="false" customHeight="false" outlineLevel="0" collapsed="false">
      <c r="A326" s="5" t="n">
        <v>287</v>
      </c>
      <c r="B326" s="47" t="n">
        <f aca="false">20*10^(A326/100)</f>
        <v>14826.2048260184</v>
      </c>
      <c r="C326" s="37" t="n">
        <f aca="false">2*PI()*B326</f>
        <v>93155.7923240736</v>
      </c>
      <c r="D326" s="37" t="n">
        <f aca="false">SQRT(L_Rp0^2+L_Rp1^2*C326)</f>
        <v>151975086.899625</v>
      </c>
      <c r="E326" s="5" t="str">
        <f aca="false">COMPLEX(D326,C326*L_Mp)</f>
        <v>151975086.899625+1376164358.7621i</v>
      </c>
      <c r="F326" s="5" t="str">
        <f aca="false">IMDIV(1,E326)</f>
        <v>7.92806735706944e-11-7.17902121541154e-10i</v>
      </c>
      <c r="G326" s="5" t="str">
        <f aca="false">COMPLEX(0,C326*L_Cf)</f>
        <v>9.8504591650707e-11i</v>
      </c>
      <c r="H326" s="5" t="str">
        <f aca="false">COMPLEX(0,C326*L_Cbv)</f>
        <v>9.8504591650707e-10i</v>
      </c>
      <c r="I326" s="5" t="str">
        <f aca="false">COMPLEX(L_Rsq+L_Rh,C326*(L_Md+L_Mh)-1/(C326*L_Cd))</f>
        <v>552400610.124532-12015137521.7272i</v>
      </c>
      <c r="J326" s="5" t="str">
        <f aca="false">IMDIV(1,I326)</f>
        <v>3.81838435946132e-12+8.30527923917341e-11i</v>
      </c>
      <c r="K326" s="5" t="str">
        <f aca="false">IMSUM(F326,G326,H326)</f>
        <v>7.92806735706944e-11+3.65648386616623e-10i</v>
      </c>
      <c r="L326" s="5" t="str">
        <f aca="false">IMSUM(IMPRODUCT(IMSUM(F326,G326),H326),IMPRODUCT(IMSUM(J326,L_Yv),K326))</f>
        <v>5.80228173402219e-19+8.68070679352386e-20i</v>
      </c>
      <c r="M326" s="37" t="n">
        <f aca="false">IMABS(IMDIV(IMPRODUCT(J326,F326,H326),L326))^2</f>
        <v>1.01653480985162E-020</v>
      </c>
      <c r="N326" s="5" t="str">
        <f aca="false">IMDIV(IMPRODUCT(L_Yv,K326,E326),H326)</f>
        <v>0.000334345191179175+0.000997199383327974i</v>
      </c>
      <c r="O326" s="37" t="n">
        <f aca="false">IMABS(IMSUM(1,IMPRODUCT(E326,G326),N326))^2</f>
        <v>0.748092207480916</v>
      </c>
      <c r="P326" s="37" t="n">
        <f aca="false">IMABS(N326)^2</f>
        <v>1.10619331697432E-006</v>
      </c>
      <c r="Q326" s="37" t="n">
        <f aca="false">p_Rb^2/(1+(C326*p_Rb*L_Ctot)^2)</f>
        <v>18995588230970.9</v>
      </c>
      <c r="R326" s="37" t="n">
        <f aca="false">M326*L_Kt^2*Q326</f>
        <v>3.87536334252102E-005</v>
      </c>
      <c r="S326" s="37" t="n">
        <f aca="false">L_kT4*D326</f>
        <v>2.50236402640484E-012</v>
      </c>
      <c r="T326" s="37" t="n">
        <f aca="false">L_kT4*L_Rsq*O326</f>
        <v>3.86426385192754E-012</v>
      </c>
      <c r="U326" s="37" t="n">
        <f aca="false">L_kT4*L_Rh*O326</f>
        <v>2.94009748489132E-012</v>
      </c>
      <c r="V326" s="37" t="n">
        <f aca="false">L_kT4*p_Rv*P326</f>
        <v>9.10707938753885E-015</v>
      </c>
      <c r="W326" s="37" t="n">
        <f aca="false">L_kT4/p_Rb*Q326/R326</f>
        <v>8.07083386380712E-015</v>
      </c>
      <c r="X326" s="37" t="n">
        <f aca="false">p_en^2*(1+p_fc/B326)/R326</f>
        <v>1.66259683099843E-012</v>
      </c>
      <c r="Y326" s="37" t="n">
        <f aca="false">p_in^2*Q326/R326</f>
        <v>1.22540692007822E-015</v>
      </c>
      <c r="Z326" s="37" t="n">
        <f aca="false">p_eo^2/L_G^2/R326</f>
        <v>1.63586539106819E-012</v>
      </c>
      <c r="AA326" s="37" t="n">
        <f aca="false">SUM(S326:Z326)</f>
        <v>1.26235909054617E-011</v>
      </c>
      <c r="AB326" s="47" t="n">
        <f aca="false">10*LOG10(AA326/L_PREF^2)</f>
        <v>-15.0087707947873</v>
      </c>
      <c r="AC326" s="47" t="n">
        <f aca="false">10*LOG10(S326/L_PREF^2)</f>
        <v>-22.037095032531</v>
      </c>
      <c r="AD326" s="47" t="n">
        <f aca="false">10*LOG10(T326/L_PREF^2)</f>
        <v>-20.1499321894579</v>
      </c>
      <c r="AE326" s="47" t="n">
        <f aca="false">10*LOG10(U326/L_PREF^2)</f>
        <v>-21.3369826076326</v>
      </c>
      <c r="AF326" s="47" t="n">
        <f aca="false">10*LOG10(V326/L_PREF^2)</f>
        <v>-46.4268086893684</v>
      </c>
      <c r="AG326" s="47" t="n">
        <f aca="false">10*LOG10(W326/L_PREF^2)</f>
        <v>-46.9514158377547</v>
      </c>
      <c r="AH326" s="47" t="n">
        <f aca="false">10*LOG10(X326/L_PREF^2)</f>
        <v>-23.8127304295061</v>
      </c>
      <c r="AI326" s="47" t="n">
        <f aca="false">10*LOG10(Y326/L_PREF^2)</f>
        <v>-55.1377966279139</v>
      </c>
      <c r="AJ326" s="47" t="n">
        <f aca="false">10*LOG10(Z326/L_PREF^2)</f>
        <v>-23.8831242690797</v>
      </c>
      <c r="AK326" s="47" t="n">
        <f aca="false">10*LOG10(R326/$R$6)</f>
        <v>2.59541522265372</v>
      </c>
      <c r="AL326" s="37" t="n">
        <f aca="false">(12194^2*B326^4/((B326^2+20.6^2)*SQRT((B326^2+107.7^2)*(B326^2+737.9^2))*(B326^2+12194^2))*1.2589254)^2</f>
        <v>0.257387351446357</v>
      </c>
      <c r="AM326" s="37" t="n">
        <f aca="false">0.5*(B326-B325)*(S326*AL326+S325*AL325)</f>
        <v>2.22454382112111E-010</v>
      </c>
      <c r="AN326" s="37" t="n">
        <f aca="false">0.5*(B326-B325)*(T326*AL326+T325*AL325)</f>
        <v>3.47537176467502E-010</v>
      </c>
      <c r="AO326" s="37" t="n">
        <f aca="false">0.5*(B326-B325)*(U326*AL326+U325*AL325)</f>
        <v>2.64421172464362E-010</v>
      </c>
      <c r="AP326" s="37" t="n">
        <f aca="false">0.5*(B326-B325)*(V326*AL326+V325*AL325)</f>
        <v>7.30041550846115E-013</v>
      </c>
      <c r="AQ326" s="37" t="n">
        <f aca="false">0.5*(B326-B325)*(W326*AL326+W325*AL325)</f>
        <v>7.50165266764123E-013</v>
      </c>
      <c r="AR326" s="37" t="n">
        <f aca="false">0.5*(B326-B325)*(X326*AL326+X325*AL325)</f>
        <v>1.50841585741416E-010</v>
      </c>
      <c r="AS326" s="37" t="n">
        <f aca="false">0.5*(B326-B325)*(Y326*AL326+Y325*AL325)</f>
        <v>1.13898727765591E-013</v>
      </c>
      <c r="AT326" s="37" t="n">
        <f aca="false">0.5*(B326-B325)*(Z326*AL326+Z325*AL325)</f>
        <v>1.48404264274755E-010</v>
      </c>
      <c r="AU326" s="37" t="n">
        <f aca="false">0.5*(B326-B325)*(AA326*AL326+AA325*AL325)</f>
        <v>1.13525268660552E-009</v>
      </c>
      <c r="AV326" s="37" t="n">
        <f aca="false">0.5*(B326-B325)*(S326+S325)</f>
        <v>8.40913153330736E-010</v>
      </c>
      <c r="AW326" s="37" t="n">
        <f aca="false">0.5*(B326-B325)*(T326+T325)</f>
        <v>1.31334346701977E-009</v>
      </c>
      <c r="AX326" s="37" t="n">
        <f aca="false">0.5*(B326-B325)*(U326+U325)</f>
        <v>9.99247973778282E-010</v>
      </c>
      <c r="AY326" s="37" t="n">
        <f aca="false">0.5*(B326-B325)*(V326+V325)</f>
        <v>2.76765640702087E-012</v>
      </c>
      <c r="AZ326" s="37" t="n">
        <f aca="false">0.5*(B326-B325)*(W326+W325)</f>
        <v>2.83246500315811E-012</v>
      </c>
      <c r="BA326" s="37" t="n">
        <f aca="false">0.5*(B326-B325)*(X326+X325)</f>
        <v>5.69900242378165E-010</v>
      </c>
      <c r="BB326" s="37" t="n">
        <f aca="false">0.5*(B326-B325)*(Y326+Y325)</f>
        <v>4.30057448129907E-013</v>
      </c>
      <c r="BC326" s="37" t="n">
        <f aca="false">0.5*(B326-B325)*(Z326+Z325)</f>
        <v>5.60692893714819E-010</v>
      </c>
      <c r="BD326" s="37" t="n">
        <f aca="false">0.5*(B326-B325)*(AA326+AA325)</f>
        <v>4.29012790908008E-009</v>
      </c>
      <c r="BE326" s="37" t="n">
        <f aca="false">IF(B326&gt;2000,AK326,-999)</f>
        <v>2.59541522265372</v>
      </c>
      <c r="BF326" s="37" t="n">
        <f aca="false">IF(AND(B326&lt;1000,AK326&gt;=-3),B326,1000000000)</f>
        <v>1000000000</v>
      </c>
    </row>
    <row r="327" customFormat="false" ht="15" hidden="false" customHeight="false" outlineLevel="0" collapsed="false">
      <c r="A327" s="5" t="n">
        <v>288</v>
      </c>
      <c r="B327" s="47" t="n">
        <f aca="false">20*10^(A327/100)</f>
        <v>15171.5515005837</v>
      </c>
      <c r="C327" s="37" t="n">
        <f aca="false">2*PI()*B327</f>
        <v>95325.6694755857</v>
      </c>
      <c r="D327" s="37" t="n">
        <f aca="false">SQRT(L_Rp0^2+L_Rp1^2*C327)</f>
        <v>153289155.63471</v>
      </c>
      <c r="E327" s="5" t="str">
        <f aca="false">COMPLEX(D327,C327*L_Mp)</f>
        <v>153289155.63471+1408219344.5478i</v>
      </c>
      <c r="F327" s="5" t="str">
        <f aca="false">IMDIV(1,E327)</f>
        <v>7.6393271166735e-11-7.01800996977521e-10i</v>
      </c>
      <c r="G327" s="5" t="str">
        <f aca="false">COMPLEX(0,C327*L_Cf)</f>
        <v>1.00799058343646e-10i</v>
      </c>
      <c r="H327" s="5" t="str">
        <f aca="false">COMPLEX(0,C327*L_Cbv)</f>
        <v>1.00799058343646e-09i</v>
      </c>
      <c r="I327" s="5" t="str">
        <f aca="false">COMPLEX(L_Rsq+L_Rh,C327*(L_Md+L_Mh)-1/(C327*L_Cd))</f>
        <v>552400610.124532-11725473558.0843i</v>
      </c>
      <c r="J327" s="5" t="str">
        <f aca="false">IMDIV(1,I327)</f>
        <v>4.00894903076582e-12+8.50955357296856e-11i</v>
      </c>
      <c r="K327" s="5" t="str">
        <f aca="false">IMSUM(F327,G327,H327)</f>
        <v>7.6393271166735e-11+4.06988644802585e-10i</v>
      </c>
      <c r="L327" s="5" t="str">
        <f aca="false">IMSUM(IMPRODUCT(IMSUM(F327,G327),H327),IMPRODUCT(IMSUM(J327,L_Yv),K327))</f>
        <v>5.71630421277363e-19+8.59499983327725e-20i</v>
      </c>
      <c r="M327" s="37" t="n">
        <f aca="false">IMABS(IMDIV(IMPRODUCT(J327,F327,H327),L327))^2</f>
        <v>1.09974800108853E-020</v>
      </c>
      <c r="N327" s="5" t="str">
        <f aca="false">IMDIV(IMPRODUCT(L_Yv,K327,E327),H327)</f>
        <v>0.000337236142396362+0.0011139370383302i</v>
      </c>
      <c r="O327" s="37" t="n">
        <f aca="false">IMABS(IMSUM(1,IMPRODUCT(E327,G327),N327))^2</f>
        <v>0.737107892312666</v>
      </c>
      <c r="P327" s="37" t="n">
        <f aca="false">IMABS(N327)^2</f>
        <v>1.35458394110224E-006</v>
      </c>
      <c r="Q327" s="37" t="n">
        <f aca="false">p_Rb^2/(1+(C327*p_Rb*L_Ctot)^2)</f>
        <v>18140645927708.8</v>
      </c>
      <c r="R327" s="37" t="n">
        <f aca="false">M327*L_Kt^2*Q327</f>
        <v>4.00390120747179E-005</v>
      </c>
      <c r="S327" s="37" t="n">
        <f aca="false">L_kT4*D327</f>
        <v>2.52400098281648E-012</v>
      </c>
      <c r="T327" s="37" t="n">
        <f aca="false">L_kT4*L_Rsq*O327</f>
        <v>3.80752446657052E-012</v>
      </c>
      <c r="U327" s="37" t="n">
        <f aca="false">L_kT4*L_Rh*O327</f>
        <v>2.89692772977761E-012</v>
      </c>
      <c r="V327" s="37" t="n">
        <f aca="false">L_kT4*p_Rv*P327</f>
        <v>1.11520321985363E-014</v>
      </c>
      <c r="W327" s="37" t="n">
        <f aca="false">L_kT4/p_Rb*Q327/R327</f>
        <v>7.4601486512988E-015</v>
      </c>
      <c r="X327" s="37" t="n">
        <f aca="false">p_en^2*(1+p_fc/B327)/R327</f>
        <v>1.6089768158145E-012</v>
      </c>
      <c r="Y327" s="37" t="n">
        <f aca="false">p_in^2*Q327/R327</f>
        <v>1.13268566004176E-015</v>
      </c>
      <c r="Z327" s="37" t="n">
        <f aca="false">p_eo^2/L_G^2/R327</f>
        <v>1.58334894927327E-012</v>
      </c>
      <c r="AA327" s="37" t="n">
        <f aca="false">SUM(S327:Z327)</f>
        <v>1.24405238107623E-011</v>
      </c>
      <c r="AB327" s="47" t="n">
        <f aca="false">10*LOG10(AA327/L_PREF^2)</f>
        <v>-15.072213245315</v>
      </c>
      <c r="AC327" s="47" t="n">
        <f aca="false">10*LOG10(S327/L_PREF^2)</f>
        <v>-21.9997047164664</v>
      </c>
      <c r="AD327" s="47" t="n">
        <f aca="false">10*LOG10(T327/L_PREF^2)</f>
        <v>-20.2141728860093</v>
      </c>
      <c r="AE327" s="47" t="n">
        <f aca="false">10*LOG10(U327/L_PREF^2)</f>
        <v>-21.401223304184</v>
      </c>
      <c r="AF327" s="47" t="n">
        <f aca="false">10*LOG10(V327/L_PREF^2)</f>
        <v>-45.5470597666204</v>
      </c>
      <c r="AG327" s="47" t="n">
        <f aca="false">10*LOG10(W327/L_PREF^2)</f>
        <v>-47.2931250999529</v>
      </c>
      <c r="AH327" s="47" t="n">
        <f aca="false">10*LOG10(X327/L_PREF^2)</f>
        <v>-23.9551020505141</v>
      </c>
      <c r="AI327" s="47" t="n">
        <f aca="false">10*LOG10(Y327/L_PREF^2)</f>
        <v>-55.4795058901121</v>
      </c>
      <c r="AJ327" s="47" t="n">
        <f aca="false">10*LOG10(Z327/L_PREF^2)</f>
        <v>-24.0248335312817</v>
      </c>
      <c r="AK327" s="47" t="n">
        <f aca="false">10*LOG10(R327/$R$6)</f>
        <v>2.73712448485567</v>
      </c>
      <c r="AL327" s="37" t="n">
        <f aca="false">(12194^2*B327^4/((B327^2+20.6^2)*SQRT((B327^2+107.7^2)*(B327^2+737.9^2))*(B327^2+12194^2))*1.2589254)^2</f>
        <v>0.243531747666993</v>
      </c>
      <c r="AM327" s="37" t="n">
        <f aca="false">0.5*(B327-B326)*(S327*AL327+S326*AL326)</f>
        <v>2.1735277389168E-010</v>
      </c>
      <c r="AN327" s="37" t="n">
        <f aca="false">0.5*(B327-B326)*(T327*AL327+T326*AL326)</f>
        <v>3.31854968677222E-010</v>
      </c>
      <c r="AO327" s="37" t="n">
        <f aca="false">0.5*(B327-B326)*(U327*AL327+U326*AL326)</f>
        <v>2.52489476946535E-010</v>
      </c>
      <c r="AP327" s="37" t="n">
        <f aca="false">0.5*(B327-B326)*(V327*AL327+V326*AL326)</f>
        <v>8.73713434115155E-013</v>
      </c>
      <c r="AQ327" s="37" t="n">
        <f aca="false">0.5*(B327-B326)*(W327*AL327+W326*AL326)</f>
        <v>6.72409589528718E-013</v>
      </c>
      <c r="AR327" s="37" t="n">
        <f aca="false">0.5*(B327-B326)*(X327*AL327+X326*AL326)</f>
        <v>1.41552133471787E-010</v>
      </c>
      <c r="AS327" s="37" t="n">
        <f aca="false">0.5*(B327-B326)*(Y327*AL327+Y326*AL326)</f>
        <v>1.02092965614184E-013</v>
      </c>
      <c r="AT327" s="37" t="n">
        <f aca="false">0.5*(B327-B326)*(Z327*AL327+Z326*AL326)</f>
        <v>1.39286394465872E-010</v>
      </c>
      <c r="AU327" s="37" t="n">
        <f aca="false">0.5*(B327-B326)*(AA327*AL327+AA326*AL326)</f>
        <v>1.08418396344235E-009</v>
      </c>
      <c r="AV327" s="37" t="n">
        <f aca="false">0.5*(B327-B326)*(S327+S326)</f>
        <v>8.67919220543027E-010</v>
      </c>
      <c r="AW327" s="37" t="n">
        <f aca="false">0.5*(B327-B326)*(T327+T326)</f>
        <v>1.32471329188117E-009</v>
      </c>
      <c r="AX327" s="37" t="n">
        <f aca="false">0.5*(B327-B326)*(U327+U326)</f>
        <v>1.00789862361991E-009</v>
      </c>
      <c r="AY327" s="37" t="n">
        <f aca="false">0.5*(B327-B326)*(V327+V326)</f>
        <v>3.49820840794937E-012</v>
      </c>
      <c r="AZ327" s="37" t="n">
        <f aca="false">0.5*(B327-B326)*(W327+W326)</f>
        <v>2.68178658216195E-012</v>
      </c>
      <c r="BA327" s="37" t="n">
        <f aca="false">0.5*(B327-B326)*(X327+X326)</f>
        <v>5.64913539761187E-010</v>
      </c>
      <c r="BB327" s="37" t="n">
        <f aca="false">0.5*(B327-B326)*(Y327+Y326)</f>
        <v>4.07179715430792E-013</v>
      </c>
      <c r="BC327" s="37" t="n">
        <f aca="false">0.5*(B327-B326)*(Z327+Z326)</f>
        <v>5.55872483574952E-010</v>
      </c>
      <c r="BD327" s="37" t="n">
        <f aca="false">0.5*(B327-B326)*(AA327+AA326)</f>
        <v>4.32790433408579E-009</v>
      </c>
      <c r="BE327" s="37" t="n">
        <f aca="false">IF(B327&gt;2000,AK327,-999)</f>
        <v>2.73712448485567</v>
      </c>
      <c r="BF327" s="37" t="n">
        <f aca="false">IF(AND(B327&lt;1000,AK327&gt;=-3),B327,1000000000)</f>
        <v>1000000000</v>
      </c>
    </row>
    <row r="328" customFormat="false" ht="15" hidden="false" customHeight="false" outlineLevel="0" collapsed="false">
      <c r="A328" s="5" t="n">
        <v>289</v>
      </c>
      <c r="B328" s="47" t="n">
        <f aca="false">20*10^(A328/100)</f>
        <v>15524.9423325738</v>
      </c>
      <c r="C328" s="37" t="n">
        <f aca="false">2*PI()*B328</f>
        <v>97546.0895588383</v>
      </c>
      <c r="D328" s="37" t="n">
        <f aca="false">SQRT(L_Rp0^2+L_Rp1^2*C328)</f>
        <v>154622272.461583</v>
      </c>
      <c r="E328" s="5" t="str">
        <f aca="false">COMPLEX(D328,C328*L_Mp)</f>
        <v>154622272.461583+1441020986.86996i</v>
      </c>
      <c r="F328" s="5" t="str">
        <f aca="false">IMDIV(1,E328)</f>
        <v>7.36138955614095e-11-6.86053611426521e-10i</v>
      </c>
      <c r="G328" s="5" t="str">
        <f aca="false">COMPLEX(0,C328*L_Cf)</f>
        <v>1.03146970031552e-10i</v>
      </c>
      <c r="H328" s="5" t="str">
        <f aca="false">COMPLEX(0,C328*L_Cbv)</f>
        <v>1.03146970031552e-09i</v>
      </c>
      <c r="I328" s="5" t="str">
        <f aca="false">COMPLEX(L_Rsq+L_Rh,C328*(L_Md+L_Mh)-1/(C328*L_Cd))</f>
        <v>552400610.124532-11442026595.7268i</v>
      </c>
      <c r="J328" s="5" t="str">
        <f aca="false">IMDIV(1,I328)</f>
        <v>4.20956455683017e-12+8.71938747584318e-11i</v>
      </c>
      <c r="K328" s="5" t="str">
        <f aca="false">IMSUM(F328,G328,H328)</f>
        <v>7.36138955614095e-11+4.48563058920551e-10i</v>
      </c>
      <c r="L328" s="5" t="str">
        <f aca="false">IMSUM(IMPRODUCT(IMSUM(F328,G328),H328),IMPRODUCT(IMSUM(J328,L_Yv),K328))</f>
        <v>5.62595697767586e-19+8.51345648560232e-20i</v>
      </c>
      <c r="M328" s="37" t="n">
        <f aca="false">IMABS(IMDIV(IMPRODUCT(J328,F328,H328),L328))^2</f>
        <v>1.19222465782724E-020</v>
      </c>
      <c r="N328" s="5" t="str">
        <f aca="false">IMDIV(IMPRODUCT(L_Yv,K328,E328),H328)</f>
        <v>0.000340168999415482+0.00123126531749483i</v>
      </c>
      <c r="O328" s="37" t="n">
        <f aca="false">IMABS(IMSUM(1,IMPRODUCT(E328,G328),N328))^2</f>
        <v>0.725693531021992</v>
      </c>
      <c r="P328" s="37" t="n">
        <f aca="false">IMABS(N328)^2</f>
        <v>1.63172923022897E-006</v>
      </c>
      <c r="Q328" s="37" t="n">
        <f aca="false">p_Rb^2/(1+(C328*p_Rb*L_Ctot)^2)</f>
        <v>17324182366615.9</v>
      </c>
      <c r="R328" s="37" t="n">
        <f aca="false">M328*L_Kt^2*Q328</f>
        <v>4.14522655456596E-005</v>
      </c>
      <c r="S328" s="37" t="n">
        <f aca="false">L_kT4*D328</f>
        <v>2.54595157786871E-012</v>
      </c>
      <c r="T328" s="37" t="n">
        <f aca="false">L_kT4*L_Rsq*O328</f>
        <v>3.74856368167353E-012</v>
      </c>
      <c r="U328" s="37" t="n">
        <f aca="false">L_kT4*L_Rh*O328</f>
        <v>2.8520678387284E-012</v>
      </c>
      <c r="V328" s="37" t="n">
        <f aca="false">L_kT4*p_Rv*P328</f>
        <v>1.34337167027089E-014</v>
      </c>
      <c r="W328" s="37" t="n">
        <f aca="false">L_kT4/p_Rb*Q328/R328</f>
        <v>6.88149126360209E-015</v>
      </c>
      <c r="X328" s="37" t="n">
        <f aca="false">p_en^2*(1+p_fc/B328)/R328</f>
        <v>1.55388949213384E-012</v>
      </c>
      <c r="Y328" s="37" t="n">
        <f aca="false">p_in^2*Q328/R328</f>
        <v>1.0448272331179E-015</v>
      </c>
      <c r="Z328" s="37" t="n">
        <f aca="false">p_eo^2/L_G^2/R328</f>
        <v>1.52936701683082E-012</v>
      </c>
      <c r="AA328" s="37" t="n">
        <f aca="false">SUM(S328:Z328)</f>
        <v>1.22511996424347E-011</v>
      </c>
      <c r="AB328" s="47" t="n">
        <f aca="false">10*LOG10(AA328/L_PREF^2)</f>
        <v>-15.1388137425348</v>
      </c>
      <c r="AC328" s="47" t="n">
        <f aca="false">10*LOG10(S328/L_PREF^2)</f>
        <v>-21.9620985189422</v>
      </c>
      <c r="AD328" s="47" t="n">
        <f aca="false">10*LOG10(T328/L_PREF^2)</f>
        <v>-20.2819509816411</v>
      </c>
      <c r="AE328" s="47" t="n">
        <f aca="false">10*LOG10(U328/L_PREF^2)</f>
        <v>-21.4690013998158</v>
      </c>
      <c r="AF328" s="47" t="n">
        <f aca="false">10*LOG10(V328/L_PREF^2)</f>
        <v>-44.7386380589942</v>
      </c>
      <c r="AG328" s="47" t="n">
        <f aca="false">10*LOG10(W328/L_PREF^2)</f>
        <v>-47.6437742847418</v>
      </c>
      <c r="AH328" s="47" t="n">
        <f aca="false">10*LOG10(X328/L_PREF^2)</f>
        <v>-24.1063986145959</v>
      </c>
      <c r="AI328" s="47" t="n">
        <f aca="false">10*LOG10(Y328/L_PREF^2)</f>
        <v>-55.830155074901</v>
      </c>
      <c r="AJ328" s="47" t="n">
        <f aca="false">10*LOG10(Z328/L_PREF^2)</f>
        <v>-24.1754827160741</v>
      </c>
      <c r="AK328" s="47" t="n">
        <f aca="false">10*LOG10(R328/$R$6)</f>
        <v>2.88777366964811</v>
      </c>
      <c r="AL328" s="37" t="n">
        <f aca="false">(12194^2*B328^4/((B328^2+20.6^2)*SQRT((B328^2+107.7^2)*(B328^2+737.9^2))*(B328^2+12194^2))*1.2589254)^2</f>
        <v>0.230187941016923</v>
      </c>
      <c r="AM328" s="37" t="n">
        <f aca="false">0.5*(B328-B327)*(S328*AL328+S327*AL327)</f>
        <v>2.12162024180244E-010</v>
      </c>
      <c r="AN328" s="37" t="n">
        <f aca="false">0.5*(B328-B327)*(T328*AL328+T327*AL327)</f>
        <v>3.16307277936199E-010</v>
      </c>
      <c r="AO328" s="37" t="n">
        <f aca="false">0.5*(B328-B327)*(U328*AL328+U327*AL327)</f>
        <v>2.40660127762537E-010</v>
      </c>
      <c r="AP328" s="37" t="n">
        <f aca="false">0.5*(B328-B327)*(V328*AL328+V327*AL327)</f>
        <v>1.02627409519693E-012</v>
      </c>
      <c r="AQ328" s="37" t="n">
        <f aca="false">0.5*(B328-B327)*(W328*AL328+W327*AL327)</f>
        <v>6.00909188712361E-013</v>
      </c>
      <c r="AR328" s="37" t="n">
        <f aca="false">0.5*(B328-B327)*(X328*AL328+X327*AL327)</f>
        <v>1.32437376997859E-010</v>
      </c>
      <c r="AS328" s="37" t="n">
        <f aca="false">0.5*(B328-B327)*(Y328*AL328+Y327*AL327)</f>
        <v>9.12369515483209E-014</v>
      </c>
      <c r="AT328" s="37" t="n">
        <f aca="false">0.5*(B328-B327)*(Z328*AL328+Z327*AL327)</f>
        <v>1.30337179307332E-010</v>
      </c>
      <c r="AU328" s="37" t="n">
        <f aca="false">0.5*(B328-B327)*(AA328*AL328+AA327*AL327)</f>
        <v>1.03362240641963E-009</v>
      </c>
      <c r="AV328" s="37" t="n">
        <f aca="false">0.5*(B328-B327)*(S328+S327)</f>
        <v>8.95837376785611E-010</v>
      </c>
      <c r="AW328" s="37" t="n">
        <f aca="false">0.5*(B328-B327)*(T328+T327)</f>
        <v>1.3351261386495E-009</v>
      </c>
      <c r="AX328" s="37" t="n">
        <f aca="false">0.5*(B328-B327)*(U328+U327)</f>
        <v>1.01582116353106E-009</v>
      </c>
      <c r="AY328" s="37" t="n">
        <f aca="false">0.5*(B328-B327)*(V328+V327)</f>
        <v>4.3441891296562E-012</v>
      </c>
      <c r="AZ328" s="37" t="n">
        <f aca="false">0.5*(B328-B327)*(W328+W327)</f>
        <v>2.53410203081511E-012</v>
      </c>
      <c r="BA328" s="37" t="n">
        <f aca="false">0.5*(B328-B327)*(X328+X327)</f>
        <v>5.58863978019766E-010</v>
      </c>
      <c r="BB328" s="37" t="n">
        <f aca="false">0.5*(B328-B327)*(Y328+Y327)</f>
        <v>3.84756546491504E-013</v>
      </c>
      <c r="BC328" s="37" t="n">
        <f aca="false">0.5*(B328-B327)*(Z328+Z327)</f>
        <v>5.50002642505303E-010</v>
      </c>
      <c r="BD328" s="37" t="n">
        <f aca="false">0.5*(B328-B327)*(AA328+AA327)</f>
        <v>4.36291434719821E-009</v>
      </c>
      <c r="BE328" s="37" t="n">
        <f aca="false">IF(B328&gt;2000,AK328,-999)</f>
        <v>2.88777366964811</v>
      </c>
      <c r="BF328" s="37" t="n">
        <f aca="false">IF(AND(B328&lt;1000,AK328&gt;=-3),B328,1000000000)</f>
        <v>1000000000</v>
      </c>
    </row>
    <row r="329" customFormat="false" ht="15" hidden="false" customHeight="false" outlineLevel="0" collapsed="false">
      <c r="A329" s="5" t="n">
        <v>290</v>
      </c>
      <c r="B329" s="47" t="n">
        <f aca="false">20*10^(A329/100)</f>
        <v>15886.5646944856</v>
      </c>
      <c r="C329" s="37" t="n">
        <f aca="false">2*PI()*B329</f>
        <v>99818.22986995</v>
      </c>
      <c r="D329" s="37" t="n">
        <f aca="false">SQRT(L_Rp0^2+L_Rp1^2*C329)</f>
        <v>155974646.654618</v>
      </c>
      <c r="E329" s="5" t="str">
        <f aca="false">COMPLEX(D329,C329*L_Mp)</f>
        <v>155974646.654618+1474586677.59353i</v>
      </c>
      <c r="F329" s="5" t="str">
        <f aca="false">IMDIV(1,E329)</f>
        <v>7.09383897654521e-11-6.70652613880923e-10i</v>
      </c>
      <c r="G329" s="5" t="str">
        <f aca="false">COMPLEX(0,C329*L_Cf)</f>
        <v>1.0554957160828e-10i</v>
      </c>
      <c r="H329" s="5" t="str">
        <f aca="false">COMPLEX(0,C329*L_Cbv)</f>
        <v>1.0554957160828e-09i</v>
      </c>
      <c r="I329" s="5" t="str">
        <f aca="false">COMPLEX(L_Rsq+L_Rh,C329*(L_Md+L_Mh)-1/(C329*L_Cd))</f>
        <v>552400610.124532-11164646347.3236i</v>
      </c>
      <c r="J329" s="5" t="str">
        <f aca="false">IMDIV(1,I329)</f>
        <v>4.42081495966918e-12+8.93497123048744e-11i</v>
      </c>
      <c r="K329" s="5" t="str">
        <f aca="false">IMSUM(F329,G329,H329)</f>
        <v>7.09383897654521e-11+4.90392673810157e-10i</v>
      </c>
      <c r="L329" s="5" t="str">
        <f aca="false">IMSUM(IMPRODUCT(IMSUM(F329,G329),H329),IMPRODUCT(IMSUM(J329,L_Yv),K329))</f>
        <v>5.53102878216997e-19+8.43622118362732e-20i</v>
      </c>
      <c r="M329" s="37" t="n">
        <f aca="false">IMABS(IMDIV(IMPRODUCT(J329,F329,H329),L329))^2</f>
        <v>1.29535536517042E-020</v>
      </c>
      <c r="N329" s="5" t="str">
        <f aca="false">IMDIV(IMPRODUCT(L_Yv,K329,E329),H329)</f>
        <v>0.00034314422264016+0.00134924642982853i</v>
      </c>
      <c r="O329" s="37" t="n">
        <f aca="false">IMABS(IMSUM(1,IMPRODUCT(E329,G329),N329))^2</f>
        <v>0.713837314523081</v>
      </c>
      <c r="P329" s="37" t="n">
        <f aca="false">IMABS(N329)^2</f>
        <v>1.93821388593636E-006</v>
      </c>
      <c r="Q329" s="37" t="n">
        <f aca="false">p_Rb^2/(1+(C329*p_Rb*L_Ctot)^2)</f>
        <v>16544465719014.4</v>
      </c>
      <c r="R329" s="37" t="n">
        <f aca="false">M329*L_Kt^2*Q329</f>
        <v>4.30109564367608E-005</v>
      </c>
      <c r="S329" s="37" t="n">
        <f aca="false">L_kT4*D329</f>
        <v>2.56821925739387E-012</v>
      </c>
      <c r="T329" s="37" t="n">
        <f aca="false">L_kT4*L_Rsq*O329</f>
        <v>3.68732049750557E-012</v>
      </c>
      <c r="U329" s="37" t="n">
        <f aca="false">L_kT4*L_Rh*O329</f>
        <v>2.8054714005351E-012</v>
      </c>
      <c r="V329" s="37" t="n">
        <f aca="false">L_kT4*p_Rv*P329</f>
        <v>1.59569466370789E-014</v>
      </c>
      <c r="W329" s="37" t="n">
        <f aca="false">L_kT4/p_Rb*Q329/R329</f>
        <v>6.33361607763118E-015</v>
      </c>
      <c r="X329" s="37" t="n">
        <f aca="false">p_en^2*(1+p_fc/B329)/R329</f>
        <v>1.49735931184106E-012</v>
      </c>
      <c r="Y329" s="37" t="n">
        <f aca="false">p_in^2*Q329/R329</f>
        <v>9.61642514468369E-016</v>
      </c>
      <c r="Z329" s="37" t="n">
        <f aca="false">p_eo^2/L_G^2/R329</f>
        <v>1.47394368668959E-012</v>
      </c>
      <c r="AA329" s="37" t="n">
        <f aca="false">SUM(S329:Z329)</f>
        <v>1.20555663591944E-011</v>
      </c>
      <c r="AB329" s="47" t="n">
        <f aca="false">10*LOG10(AA329/L_PREF^2)</f>
        <v>-15.2087237338801</v>
      </c>
      <c r="AC329" s="47" t="n">
        <f aca="false">10*LOG10(S329/L_PREF^2)</f>
        <v>-21.9242789318837</v>
      </c>
      <c r="AD329" s="47" t="n">
        <f aca="false">10*LOG10(T329/L_PREF^2)</f>
        <v>-20.3534910372216</v>
      </c>
      <c r="AE329" s="47" t="n">
        <f aca="false">10*LOG10(U329/L_PREF^2)</f>
        <v>-21.5405414553964</v>
      </c>
      <c r="AF329" s="47" t="n">
        <f aca="false">10*LOG10(V329/L_PREF^2)</f>
        <v>-43.9911019864474</v>
      </c>
      <c r="AG329" s="47" t="n">
        <f aca="false">10*LOG10(W329/L_PREF^2)</f>
        <v>-48.0040825695573</v>
      </c>
      <c r="AH329" s="47" t="n">
        <f aca="false">10*LOG10(X329/L_PREF^2)</f>
        <v>-24.2673396357974</v>
      </c>
      <c r="AI329" s="47" t="n">
        <f aca="false">10*LOG10(Y329/L_PREF^2)</f>
        <v>-56.1904633597165</v>
      </c>
      <c r="AJ329" s="47" t="n">
        <f aca="false">10*LOG10(Z329/L_PREF^2)</f>
        <v>-24.335791000893</v>
      </c>
      <c r="AK329" s="47" t="n">
        <f aca="false">10*LOG10(R329/$R$6)</f>
        <v>3.04808195446695</v>
      </c>
      <c r="AL329" s="37" t="n">
        <f aca="false">(12194^2*B329^4/((B329^2+20.6^2)*SQRT((B329^2+107.7^2)*(B329^2+737.9^2))*(B329^2+12194^2))*1.2589254)^2</f>
        <v>0.217356581550064</v>
      </c>
      <c r="AM329" s="37" t="n">
        <f aca="false">0.5*(B329-B328)*(S329*AL329+S328*AL328)</f>
        <v>2.06896215181074E-010</v>
      </c>
      <c r="AN329" s="37" t="n">
        <f aca="false">0.5*(B329-B328)*(T329*AL329+T328*AL328)</f>
        <v>3.00930835044875E-010</v>
      </c>
      <c r="AO329" s="37" t="n">
        <f aca="false">0.5*(B329-B328)*(U329*AL329+U328*AL328)</f>
        <v>2.28961071278906E-010</v>
      </c>
      <c r="AP329" s="37" t="n">
        <f aca="false">0.5*(B329-B328)*(V329*AL329+V328*AL328)</f>
        <v>1.18623470863192E-012</v>
      </c>
      <c r="AQ329" s="37" t="n">
        <f aca="false">0.5*(B329-B328)*(W329*AL329+W328*AL328)</f>
        <v>5.35325754917967E-013</v>
      </c>
      <c r="AR329" s="37" t="n">
        <f aca="false">0.5*(B329-B328)*(X329*AL329+X328*AL328)</f>
        <v>1.23520710606134E-010</v>
      </c>
      <c r="AS329" s="37" t="n">
        <f aca="false">0.5*(B329-B328)*(Y329*AL329+Y328*AL328)</f>
        <v>8.12793195402408E-014</v>
      </c>
      <c r="AT329" s="37" t="n">
        <f aca="false">0.5*(B329-B328)*(Z329*AL329+Z328*AL328)</f>
        <v>1.21579825830969E-010</v>
      </c>
      <c r="AU329" s="37" t="n">
        <f aca="false">0.5*(B329-B328)*(AA329*AL329+AA328*AL328)</f>
        <v>9.83691497725048E-010</v>
      </c>
      <c r="AV329" s="37" t="n">
        <f aca="false">0.5*(B329-B328)*(S329+S328)</f>
        <v>9.24699268334015E-010</v>
      </c>
      <c r="AW329" s="37" t="n">
        <f aca="false">0.5*(B329-B328)*(T329+T328)</f>
        <v>1.34449099988862E-009</v>
      </c>
      <c r="AX329" s="37" t="n">
        <f aca="false">0.5*(B329-B328)*(U329+U328)</f>
        <v>1.02294635115554E-009</v>
      </c>
      <c r="AY329" s="37" t="n">
        <f aca="false">0.5*(B329-B328)*(V329+V328)</f>
        <v>5.31416054754411E-012</v>
      </c>
      <c r="AZ329" s="37" t="n">
        <f aca="false">0.5*(B329-B328)*(W329+W328)</f>
        <v>2.38943916482728E-012</v>
      </c>
      <c r="BA329" s="37" t="n">
        <f aca="false">0.5*(B329-B328)*(X329+X328)</f>
        <v>5.51699899636958E-010</v>
      </c>
      <c r="BB329" s="37" t="n">
        <f aca="false">0.5*(B329-B328)*(Y329+Y328)</f>
        <v>3.62792164613346E-013</v>
      </c>
      <c r="BC329" s="37" t="n">
        <f aca="false">0.5*(B329-B328)*(Z329+Z328)</f>
        <v>5.43032155081E-010</v>
      </c>
      <c r="BD329" s="37" t="n">
        <f aca="false">0.5*(B329-B328)*(AA329+AA328)</f>
        <v>4.39493506597311E-009</v>
      </c>
      <c r="BE329" s="37" t="n">
        <f aca="false">IF(B329&gt;2000,AK329,-999)</f>
        <v>3.04808195446695</v>
      </c>
      <c r="BF329" s="37" t="n">
        <f aca="false">IF(AND(B329&lt;1000,AK329&gt;=-3),B329,1000000000)</f>
        <v>1000000000</v>
      </c>
    </row>
    <row r="330" customFormat="false" ht="15" hidden="false" customHeight="false" outlineLevel="0" collapsed="false">
      <c r="A330" s="5" t="n">
        <v>291</v>
      </c>
      <c r="B330" s="47" t="n">
        <f aca="false">20*10^(A330/100)</f>
        <v>16256.610323282</v>
      </c>
      <c r="C330" s="37" t="n">
        <f aca="false">2*PI()*B330</f>
        <v>102143.295127789</v>
      </c>
      <c r="D330" s="37" t="n">
        <f aca="false">SQRT(L_Rp0^2+L_Rp1^2*C330)</f>
        <v>157346489.383286</v>
      </c>
      <c r="E330" s="5" t="str">
        <f aca="false">COMPLEX(D330,C330*L_Mp)</f>
        <v>157346489.383286+1508934213.69202i</v>
      </c>
      <c r="F330" s="5" t="str">
        <f aca="false">IMDIV(1,E330)</f>
        <v>6.83627602386739e-11-6.55590781026457e-10i</v>
      </c>
      <c r="G330" s="5" t="str">
        <f aca="false">COMPLEX(0,C330*L_Cf)</f>
        <v>1.08008136964988e-10i</v>
      </c>
      <c r="H330" s="5" t="str">
        <f aca="false">COMPLEX(0,C330*L_Cbv)</f>
        <v>1.08008136964988e-09i</v>
      </c>
      <c r="I330" s="5" t="str">
        <f aca="false">COMPLEX(L_Rsq+L_Rh,C330*(L_Md+L_Mh)-1/(C330*L_Cd))</f>
        <v>552400610.124532-10893185742.1952i</v>
      </c>
      <c r="J330" s="5" t="str">
        <f aca="false">IMDIV(1,I330)</f>
        <v>4.64332354528011e-12+9.15650433992855e-11i</v>
      </c>
      <c r="K330" s="5" t="str">
        <f aca="false">IMSUM(F330,G330,H330)</f>
        <v>6.83627602386739e-11+5.32498725588411e-10i</v>
      </c>
      <c r="L330" s="5" t="str">
        <f aca="false">IMSUM(IMPRODUCT(IMSUM(F330,G330),H330),IMPRODUCT(IMSUM(J330,L_Yv),K330))</f>
        <v>5.43129699210561e-19+8.36345441413156e-20i</v>
      </c>
      <c r="M330" s="37" t="n">
        <f aca="false">IMABS(IMDIV(IMPRODUCT(J330,F330,H330),L330))^2</f>
        <v>1.41080006846061E-020</v>
      </c>
      <c r="N330" s="5" t="str">
        <f aca="false">IMDIV(IMPRODUCT(L_Yv,K330,E330),H330)</f>
        <v>0.00034616227664323+0.0014679429304787i</v>
      </c>
      <c r="O330" s="37" t="n">
        <f aca="false">IMABS(IMSUM(1,IMPRODUCT(E330,G330),N330))^2</f>
        <v>0.701527693055121</v>
      </c>
      <c r="P330" s="37" t="n">
        <f aca="false">IMABS(N330)^2</f>
        <v>2.27468476891322E-006</v>
      </c>
      <c r="Q330" s="37" t="n">
        <f aca="false">p_Rb^2/(1+(C330*p_Rb*L_Ctot)^2)</f>
        <v>15799842101356.3</v>
      </c>
      <c r="R330" s="37" t="n">
        <f aca="false">M330*L_Kt^2*Q330</f>
        <v>4.47358448898887E-005</v>
      </c>
      <c r="S330" s="37" t="n">
        <f aca="false">L_kT4*D330</f>
        <v>2.59080749842822E-012</v>
      </c>
      <c r="T330" s="37" t="n">
        <f aca="false">L_kT4*L_Rsq*O330</f>
        <v>3.62373525387668E-012</v>
      </c>
      <c r="U330" s="37" t="n">
        <f aca="false">L_kT4*L_Rh*O330</f>
        <v>2.75709302316932E-012</v>
      </c>
      <c r="V330" s="37" t="n">
        <f aca="false">L_kT4*p_Rv*P330</f>
        <v>1.87270474827855E-014</v>
      </c>
      <c r="W330" s="37" t="n">
        <f aca="false">L_kT4/p_Rb*Q330/R330</f>
        <v>5.81534106107695E-015</v>
      </c>
      <c r="X330" s="37" t="n">
        <f aca="false">p_en^2*(1+p_fc/B330)/R330</f>
        <v>1.43942036112554E-012</v>
      </c>
      <c r="Y330" s="37" t="n">
        <f aca="false">p_in^2*Q330/R330</f>
        <v>8.82952034338769E-016</v>
      </c>
      <c r="Z330" s="37" t="n">
        <f aca="false">p_eo^2/L_G^2/R330</f>
        <v>1.41711256050902E-012</v>
      </c>
      <c r="AA330" s="37" t="n">
        <f aca="false">SUM(S330:Z330)</f>
        <v>1.1853594037687E-011</v>
      </c>
      <c r="AB330" s="47" t="n">
        <f aca="false">10*LOG10(AA330/L_PREF^2)</f>
        <v>-15.2820994190324</v>
      </c>
      <c r="AC330" s="47" t="n">
        <f aca="false">10*LOG10(S330/L_PREF^2)</f>
        <v>-21.8862484599023</v>
      </c>
      <c r="AD330" s="47" t="n">
        <f aca="false">10*LOG10(T330/L_PREF^2)</f>
        <v>-20.4290353024273</v>
      </c>
      <c r="AE330" s="47" t="n">
        <f aca="false">10*LOG10(U330/L_PREF^2)</f>
        <v>-21.6160857206021</v>
      </c>
      <c r="AF330" s="47" t="n">
        <f aca="false">10*LOG10(V330/L_PREF^2)</f>
        <v>-43.2959067967668</v>
      </c>
      <c r="AG330" s="47" t="n">
        <f aca="false">10*LOG10(W330/L_PREF^2)</f>
        <v>-48.3748480079315</v>
      </c>
      <c r="AH330" s="47" t="n">
        <f aca="false">10*LOG10(X330/L_PREF^2)</f>
        <v>-24.4387234967933</v>
      </c>
      <c r="AI330" s="47" t="n">
        <f aca="false">10*LOG10(Y330/L_PREF^2)</f>
        <v>-56.5612287980906</v>
      </c>
      <c r="AJ330" s="47" t="n">
        <f aca="false">10*LOG10(Z330/L_PREF^2)</f>
        <v>-24.5065564392703</v>
      </c>
      <c r="AK330" s="47" t="n">
        <f aca="false">10*LOG10(R330/$R$6)</f>
        <v>3.21884739284433</v>
      </c>
      <c r="AL330" s="37" t="n">
        <f aca="false">(12194^2*B330^4/((B330^2+20.6^2)*SQRT((B330^2+107.7^2)*(B330^2+737.9^2))*(B330^2+12194^2))*1.2589254)^2</f>
        <v>0.205036552227195</v>
      </c>
      <c r="AM330" s="37" t="n">
        <f aca="false">0.5*(B330-B329)*(S330*AL330+S329*AL329)</f>
        <v>2.01569329833331E-010</v>
      </c>
      <c r="AN330" s="37" t="n">
        <f aca="false">0.5*(B330-B329)*(T330*AL330+T329*AL329)</f>
        <v>2.85760624756449E-010</v>
      </c>
      <c r="AO330" s="37" t="n">
        <f aca="false">0.5*(B330-B329)*(U330*AL330+U329*AL329)</f>
        <v>2.17418925394632E-010</v>
      </c>
      <c r="AP330" s="37" t="n">
        <f aca="false">0.5*(B330-B329)*(V330*AL330+V329*AL329)</f>
        <v>1.35216090449136E-012</v>
      </c>
      <c r="AQ330" s="37" t="n">
        <f aca="false">0.5*(B330-B329)*(W330*AL330+W329*AL329)</f>
        <v>4.75325575255722E-013</v>
      </c>
      <c r="AR330" s="37" t="n">
        <f aca="false">0.5*(B330-B329)*(X330*AL330+X329*AL329)</f>
        <v>1.14824176037931E-010</v>
      </c>
      <c r="AS330" s="37" t="n">
        <f aca="false">0.5*(B330-B329)*(Y330*AL330+Y329*AL329)</f>
        <v>7.21694014568361E-014</v>
      </c>
      <c r="AT330" s="37" t="n">
        <f aca="false">0.5*(B330-B329)*(Z330*AL330+Z329*AL329)</f>
        <v>1.13036216440692E-010</v>
      </c>
      <c r="AU330" s="37" t="n">
        <f aca="false">0.5*(B330-B329)*(AA330*AL330+AA329*AL329)</f>
        <v>9.34508928344238E-010</v>
      </c>
      <c r="AV330" s="37" t="n">
        <f aca="false">0.5*(B330-B329)*(S330+S329)</f>
        <v>9.54537649917732E-010</v>
      </c>
      <c r="AW330" s="37" t="n">
        <f aca="false">0.5*(B330-B329)*(T330+T329)</f>
        <v>1.35271211134277E-009</v>
      </c>
      <c r="AX330" s="37" t="n">
        <f aca="false">0.5*(B330-B329)*(U330+U329)</f>
        <v>1.029201324945E-009</v>
      </c>
      <c r="AY330" s="37" t="n">
        <f aca="false">0.5*(B330-B329)*(V330+V329)</f>
        <v>6.41733020662735E-012</v>
      </c>
      <c r="AZ330" s="37" t="n">
        <f aca="false">0.5*(B330-B329)*(W330+W329)</f>
        <v>2.24783424180668E-012</v>
      </c>
      <c r="BA330" s="37" t="n">
        <f aca="false">0.5*(B330-B329)*(X330+X329)</f>
        <v>5.43371240359658E-010</v>
      </c>
      <c r="BB330" s="37" t="n">
        <f aca="false">0.5*(B330-B329)*(Y330+Y329)</f>
        <v>3.41292074843843E-013</v>
      </c>
      <c r="BC330" s="37" t="n">
        <f aca="false">0.5*(B330-B329)*(Z330+Z329)</f>
        <v>5.34911363440136E-010</v>
      </c>
      <c r="BD330" s="37" t="n">
        <f aca="false">0.5*(B330-B329)*(AA330+AA329)</f>
        <v>4.42374014652857E-009</v>
      </c>
      <c r="BE330" s="37" t="n">
        <f aca="false">IF(B330&gt;2000,AK330,-999)</f>
        <v>3.21884739284433</v>
      </c>
      <c r="BF330" s="37" t="n">
        <f aca="false">IF(AND(B330&lt;1000,AK330&gt;=-3),B330,1000000000)</f>
        <v>1000000000</v>
      </c>
    </row>
    <row r="331" customFormat="false" ht="15" hidden="false" customHeight="false" outlineLevel="0" collapsed="false">
      <c r="A331" s="5" t="n">
        <v>292</v>
      </c>
      <c r="B331" s="47" t="n">
        <f aca="false">20*10^(A331/100)</f>
        <v>16635.2754220534</v>
      </c>
      <c r="C331" s="37" t="n">
        <f aca="false">2*PI()*B331</f>
        <v>104522.518112732</v>
      </c>
      <c r="D331" s="37" t="n">
        <f aca="false">SQRT(L_Rp0^2+L_Rp1^2*C331)</f>
        <v>158738013.745777</v>
      </c>
      <c r="E331" s="5" t="str">
        <f aca="false">COMPLEX(D331,C331*L_Mp)</f>
        <v>158738013.745777+1544081806.68371i</v>
      </c>
      <c r="F331" s="5" t="str">
        <f aca="false">IMDIV(1,E331)</f>
        <v>6.58831704549125e-11-6.40861016624497e-10i</v>
      </c>
      <c r="G331" s="5" t="str">
        <f aca="false">COMPLEX(0,C331*L_Cf)</f>
        <v>1.10523969665572e-10i</v>
      </c>
      <c r="H331" s="5" t="str">
        <f aca="false">COMPLEX(0,C331*L_Cbv)</f>
        <v>1.10523969665572e-09i</v>
      </c>
      <c r="I331" s="5" t="str">
        <f aca="false">COMPLEX(L_Rsq+L_Rh,C331*(L_Md+L_Mh)-1/(C331*L_Cd))</f>
        <v>552400610.124532-10627500848.3358i</v>
      </c>
      <c r="J331" s="5" t="str">
        <f aca="false">IMDIV(1,I331)</f>
        <v>4.87775606720815e-12+9.3841961417355e-11i</v>
      </c>
      <c r="K331" s="5" t="str">
        <f aca="false">IMSUM(F331,G331,H331)</f>
        <v>6.58831704549125e-11+5.74902649696795e-10i</v>
      </c>
      <c r="L331" s="5" t="str">
        <f aca="false">IMSUM(IMPRODUCT(IMSUM(F331,G331),H331),IMPRODUCT(IMSUM(J331,L_Yv),K331))</f>
        <v>5.32652693009914e-19+8.29533414551937e-20i</v>
      </c>
      <c r="M331" s="37" t="n">
        <f aca="false">IMABS(IMDIV(IMPRODUCT(J331,F331,H331),L331))^2</f>
        <v>1.54055282675949E-020</v>
      </c>
      <c r="N331" s="5" t="str">
        <f aca="false">IMDIV(IMPRODUCT(L_Yv,K331,E331),H331)</f>
        <v>0.000349223630240709+0.00158741775390113i</v>
      </c>
      <c r="O331" s="37" t="n">
        <f aca="false">IMABS(IMSUM(1,IMPRODUCT(E331,G331),N331))^2</f>
        <v>0.688753467078324</v>
      </c>
      <c r="P331" s="37" t="n">
        <f aca="false">IMABS(N331)^2</f>
        <v>2.641852269319E-006</v>
      </c>
      <c r="Q331" s="37" t="n">
        <f aca="false">p_Rb^2/(1+(C331*p_Rb*L_Ctot)^2)</f>
        <v>15088732067115.4</v>
      </c>
      <c r="R331" s="37" t="n">
        <f aca="false">M331*L_Kt^2*Q331</f>
        <v>4.66516240424943E-005</v>
      </c>
      <c r="S331" s="37" t="n">
        <f aca="false">L_kT4*D331</f>
        <v>2.61371980976556E-012</v>
      </c>
      <c r="T331" s="37" t="n">
        <f aca="false">L_kT4*L_Rsq*O331</f>
        <v>3.55775009966058E-012</v>
      </c>
      <c r="U331" s="37" t="n">
        <f aca="false">L_kT4*L_Rh*O331</f>
        <v>2.70688869101582E-012</v>
      </c>
      <c r="V331" s="37" t="n">
        <f aca="false">L_kT4*p_Rv*P331</f>
        <v>2.17498677470281E-014</v>
      </c>
      <c r="W331" s="37" t="n">
        <f aca="false">L_kT4/p_Rb*Q331/R331</f>
        <v>5.32554510600369E-015</v>
      </c>
      <c r="X331" s="37" t="n">
        <f aca="false">p_en^2*(1+p_fc/B331)/R331</f>
        <v>1.38011754018318E-012</v>
      </c>
      <c r="Y331" s="37" t="n">
        <f aca="false">p_in^2*Q331/R331</f>
        <v>8.08585573214519E-016</v>
      </c>
      <c r="Z331" s="37" t="n">
        <f aca="false">p_eo^2/L_G^2/R331</f>
        <v>1.35891791549847E-012</v>
      </c>
      <c r="AA331" s="37" t="n">
        <f aca="false">SUM(S331:Z331)</f>
        <v>1.16452780545498E-011</v>
      </c>
      <c r="AB331" s="47" t="n">
        <f aca="false">10*LOG10(AA331/L_PREF^2)</f>
        <v>-15.3591012867495</v>
      </c>
      <c r="AC331" s="47" t="n">
        <f aca="false">10*LOG10(S331/L_PREF^2)</f>
        <v>-21.8480096186874</v>
      </c>
      <c r="AD331" s="47" t="n">
        <f aca="false">10*LOG10(T331/L_PREF^2)</f>
        <v>-20.5088455183806</v>
      </c>
      <c r="AE331" s="47" t="n">
        <f aca="false">10*LOG10(U331/L_PREF^2)</f>
        <v>-21.6958959365554</v>
      </c>
      <c r="AF331" s="47" t="n">
        <f aca="false">10*LOG10(V331/L_PREF^2)</f>
        <v>-42.646033708148</v>
      </c>
      <c r="AG331" s="47" t="n">
        <f aca="false">10*LOG10(W331/L_PREF^2)</f>
        <v>-48.7569592392832</v>
      </c>
      <c r="AH331" s="47" t="n">
        <f aca="false">10*LOG10(X331/L_PREF^2)</f>
        <v>-24.6214391588387</v>
      </c>
      <c r="AI331" s="47" t="n">
        <f aca="false">10*LOG10(Y331/L_PREF^2)</f>
        <v>-56.9433400294423</v>
      </c>
      <c r="AJ331" s="47" t="n">
        <f aca="false">10*LOG10(Z331/L_PREF^2)</f>
        <v>-24.6886676706251</v>
      </c>
      <c r="AK331" s="47" t="n">
        <f aca="false">10*LOG10(R331/$R$6)</f>
        <v>3.40095862419914</v>
      </c>
      <c r="AL331" s="37" t="n">
        <f aca="false">(12194^2*B331^4/((B331^2+20.6^2)*SQRT((B331^2+107.7^2)*(B331^2+737.9^2))*(B331^2+12194^2))*1.2589254)^2</f>
        <v>0.193225054405274</v>
      </c>
      <c r="AM331" s="37" t="n">
        <f aca="false">0.5*(B331-B330)*(S331*AL331+S330*AL330)</f>
        <v>1.96195170697632E-010</v>
      </c>
      <c r="AN331" s="37" t="n">
        <f aca="false">0.5*(B331-B330)*(T331*AL331+T330*AL330)</f>
        <v>2.70829730296053E-010</v>
      </c>
      <c r="AO331" s="37" t="n">
        <f aca="false">0.5*(B331-B330)*(U331*AL331+U330*AL330)</f>
        <v>2.06058861244692E-010</v>
      </c>
      <c r="AP331" s="37" t="n">
        <f aca="false">0.5*(B331-B330)*(V331*AL331+V330*AL330)</f>
        <v>1.52267836878647E-012</v>
      </c>
      <c r="AQ331" s="37" t="n">
        <f aca="false">0.5*(B331-B330)*(W331*AL331+W330*AL330)</f>
        <v>4.20580716966611E-013</v>
      </c>
      <c r="AR331" s="37" t="n">
        <f aca="false">0.5*(B331-B330)*(X331*AL331+X330*AL330)</f>
        <v>1.06368365742078E-010</v>
      </c>
      <c r="AS331" s="37" t="n">
        <f aca="false">0.5*(B331-B330)*(Y331*AL331+Y330*AL330)</f>
        <v>6.38574067710065E-014</v>
      </c>
      <c r="AT331" s="37" t="n">
        <f aca="false">0.5*(B331-B330)*(Z331*AL331+Z330*AL330)</f>
        <v>1.04726812180918E-010</v>
      </c>
      <c r="AU331" s="37" t="n">
        <f aca="false">0.5*(B331-B330)*(AA331*AL331+AA330*AL330)</f>
        <v>8.86186056653898E-010</v>
      </c>
      <c r="AV331" s="37" t="n">
        <f aca="false">0.5*(B331-B330)*(S331+S330)</f>
        <v>9.85386423607884E-010</v>
      </c>
      <c r="AW331" s="37" t="n">
        <f aca="false">0.5*(B331-B330)*(T331+T330)</f>
        <v>1.35968893036136E-009</v>
      </c>
      <c r="AX331" s="37" t="n">
        <f aca="false">0.5*(B331-B330)*(U331+U330)</f>
        <v>1.03450958774358E-009</v>
      </c>
      <c r="AY331" s="37" t="n">
        <f aca="false">0.5*(B331-B330)*(V331+V330)</f>
        <v>7.66359755172996E-012</v>
      </c>
      <c r="AZ331" s="37" t="n">
        <f aca="false">0.5*(B331-B330)*(W331+W330)</f>
        <v>2.10933238042939E-012</v>
      </c>
      <c r="BA331" s="37" t="n">
        <f aca="false">0.5*(B331-B330)*(X331+X330)</f>
        <v>5.3383029894442E-010</v>
      </c>
      <c r="BB331" s="37" t="n">
        <f aca="false">0.5*(B331-B330)*(Y331+Y330)</f>
        <v>3.20263127619872E-013</v>
      </c>
      <c r="BC331" s="37" t="n">
        <f aca="false">0.5*(B331-B330)*(Z331+Z330)</f>
        <v>5.25592927194929E-010</v>
      </c>
      <c r="BD331" s="37" t="n">
        <f aca="false">0.5*(B331-B330)*(AA331+AA330)</f>
        <v>4.44910136091196E-009</v>
      </c>
      <c r="BE331" s="37" t="n">
        <f aca="false">IF(B331&gt;2000,AK331,-999)</f>
        <v>3.40095862419914</v>
      </c>
      <c r="BF331" s="37" t="n">
        <f aca="false">IF(AND(B331&lt;1000,AK331&gt;=-3),B331,1000000000)</f>
        <v>1000000000</v>
      </c>
    </row>
    <row r="332" customFormat="false" ht="15" hidden="false" customHeight="false" outlineLevel="0" collapsed="false">
      <c r="A332" s="5" t="n">
        <v>293</v>
      </c>
      <c r="B332" s="47" t="n">
        <f aca="false">20*10^(A332/100)</f>
        <v>17022.7607640475</v>
      </c>
      <c r="C332" s="37" t="n">
        <f aca="false">2*PI()*B332</f>
        <v>106957.160320297</v>
      </c>
      <c r="D332" s="37" t="n">
        <f aca="false">SQRT(L_Rp0^2+L_Rp1^2*C332)</f>
        <v>160149434.80317</v>
      </c>
      <c r="E332" s="5" t="str">
        <f aca="false">COMPLEX(D332,C332*L_Mp)</f>
        <v>160149434.80317+1580048092.28765i</v>
      </c>
      <c r="F332" s="5" t="str">
        <f aca="false">IMDIV(1,E332)</f>
        <v>6.34959347093446e-11-6.26456350775302e-10i</v>
      </c>
      <c r="G332" s="5" t="str">
        <f aca="false">COMPLEX(0,C332*L_Cf)</f>
        <v>1.13098403637831e-10i</v>
      </c>
      <c r="H332" s="5" t="str">
        <f aca="false">COMPLEX(0,C332*L_Cbv)</f>
        <v>1.13098403637831e-09i</v>
      </c>
      <c r="I332" s="5" t="str">
        <f aca="false">COMPLEX(L_Rsq+L_Rh,C332*(L_Md+L_Mh)-1/(C332*L_Cd))</f>
        <v>552400610.124532-10367450796.0977i</v>
      </c>
      <c r="J332" s="5" t="str">
        <f aca="false">IMDIV(1,I332)</f>
        <v>5.12482419479999e-12+9.61826647263515e-11i</v>
      </c>
      <c r="K332" s="5" t="str">
        <f aca="false">IMSUM(F332,G332,H332)</f>
        <v>6.34959347093446e-11+6.17626089240839e-10i</v>
      </c>
      <c r="L332" s="5" t="str">
        <f aca="false">IMSUM(IMPRODUCT(IMSUM(F332,G332),H332),IMPRODUCT(IMSUM(J332,L_Yv),K332))</f>
        <v>5.21647117464609e-19+8.23205740347862e-20i</v>
      </c>
      <c r="M332" s="37" t="n">
        <f aca="false">IMABS(IMDIV(IMPRODUCT(J332,F332,H332),L332))^2</f>
        <v>1.68702537594901E-020</v>
      </c>
      <c r="N332" s="5" t="str">
        <f aca="false">IMDIV(IMPRODUCT(L_Yv,K332,E332),H332)</f>
        <v>0.000352328756566975+0.00170773424722866i</v>
      </c>
      <c r="O332" s="37" t="n">
        <f aca="false">IMABS(IMSUM(1,IMPRODUCT(E332,G332),N332))^2</f>
        <v>0.675503890041682</v>
      </c>
      <c r="P332" s="37" t="n">
        <f aca="false">IMABS(N332)^2</f>
        <v>3.04049181186167E-006</v>
      </c>
      <c r="Q332" s="37" t="n">
        <f aca="false">p_Rb^2/(1+(C332*p_Rb*L_Ctot)^2)</f>
        <v>14409627256568.9</v>
      </c>
      <c r="R332" s="37" t="n">
        <f aca="false">M332*L_Kt^2*Q332</f>
        <v>4.87878620411321E-005</v>
      </c>
      <c r="S332" s="37" t="n">
        <f aca="false">L_kT4*D332</f>
        <v>2.63695973251988E-012</v>
      </c>
      <c r="T332" s="37" t="n">
        <f aca="false">L_kT4*L_Rsq*O332</f>
        <v>3.48930952364064E-012</v>
      </c>
      <c r="U332" s="37" t="n">
        <f aca="false">L_kT4*L_Rh*O332</f>
        <v>2.65481616876288E-012</v>
      </c>
      <c r="V332" s="37" t="n">
        <f aca="false">L_kT4*p_Rv*P332</f>
        <v>2.50317913540865E-014</v>
      </c>
      <c r="W332" s="37" t="n">
        <f aca="false">L_kT4/p_Rb*Q332/R332</f>
        <v>4.86316547697095E-015</v>
      </c>
      <c r="X332" s="37" t="n">
        <f aca="false">p_en^2*(1+p_fc/B332)/R332</f>
        <v>1.31950785552576E-012</v>
      </c>
      <c r="Y332" s="37" t="n">
        <f aca="false">p_in^2*Q332/R332</f>
        <v>7.38381774365333E-016</v>
      </c>
      <c r="Z332" s="37" t="n">
        <f aca="false">p_eo^2/L_G^2/R332</f>
        <v>1.29941598270891E-012</v>
      </c>
      <c r="AA332" s="37" t="n">
        <f aca="false">SUM(S332:Z332)</f>
        <v>1.14306426017635E-011</v>
      </c>
      <c r="AB332" s="47" t="n">
        <f aca="false">10*LOG10(AA332/L_PREF^2)</f>
        <v>-15.4398934531105</v>
      </c>
      <c r="AC332" s="47" t="n">
        <f aca="false">10*LOG10(S332/L_PREF^2)</f>
        <v>-21.8095649334262</v>
      </c>
      <c r="AD332" s="47" t="n">
        <f aca="false">10*LOG10(T332/L_PREF^2)</f>
        <v>-20.5932049552651</v>
      </c>
      <c r="AE332" s="47" t="n">
        <f aca="false">10*LOG10(U332/L_PREF^2)</f>
        <v>-21.7802553734398</v>
      </c>
      <c r="AF332" s="47" t="n">
        <f aca="false">10*LOG10(V332/L_PREF^2)</f>
        <v>-42.0356806112218</v>
      </c>
      <c r="AG332" s="47" t="n">
        <f aca="false">10*LOG10(W332/L_PREF^2)</f>
        <v>-49.1514094394513</v>
      </c>
      <c r="AH332" s="47" t="n">
        <f aca="false">10*LOG10(X332/L_PREF^2)</f>
        <v>-24.8164801124606</v>
      </c>
      <c r="AI332" s="47" t="n">
        <f aca="false">10*LOG10(Y332/L_PREF^2)</f>
        <v>-57.3377902296104</v>
      </c>
      <c r="AJ332" s="47" t="n">
        <f aca="false">10*LOG10(Z332/L_PREF^2)</f>
        <v>-24.8831178707962</v>
      </c>
      <c r="AK332" s="47" t="n">
        <f aca="false">10*LOG10(R332/$R$6)</f>
        <v>3.5954088243702</v>
      </c>
      <c r="AL332" s="37" t="n">
        <f aca="false">(12194^2*B332^4/((B332^2+20.6^2)*SQRT((B332^2+107.7^2)*(B332^2+737.9^2))*(B332^2+12194^2))*1.2589254)^2</f>
        <v>0.181917702716</v>
      </c>
      <c r="AM332" s="37" t="n">
        <f aca="false">0.5*(B332-B331)*(S332*AL332+S331*AL331)</f>
        <v>1.90787283315307E-010</v>
      </c>
      <c r="AN332" s="37" t="n">
        <f aca="false">0.5*(B332-B331)*(T332*AL332+T331*AL331)</f>
        <v>2.56169200144703E-010</v>
      </c>
      <c r="AO332" s="37" t="n">
        <f aca="false">0.5*(B332-B331)*(U332*AL332+U331*AL331)</f>
        <v>1.94904501843572E-010</v>
      </c>
      <c r="AP332" s="37" t="n">
        <f aca="false">0.5*(B332-B331)*(V332*AL332+V331*AL331)</f>
        <v>1.69647773758532E-012</v>
      </c>
      <c r="AQ332" s="37" t="n">
        <f aca="false">0.5*(B332-B331)*(W332*AL332+W331*AL331)</f>
        <v>3.70770122210605E-013</v>
      </c>
      <c r="AR332" s="37" t="n">
        <f aca="false">0.5*(B332-B331)*(X332*AL332+X331*AL331)</f>
        <v>9.81723416708397E-011</v>
      </c>
      <c r="AS332" s="37" t="n">
        <f aca="false">0.5*(B332-B331)*(Y332*AL332+Y331*AL331)</f>
        <v>5.62945887850061E-014</v>
      </c>
      <c r="AT332" s="37" t="n">
        <f aca="false">0.5*(B332-B331)*(Z332*AL332+Z331*AL331)</f>
        <v>9.66705713221583E-011</v>
      </c>
      <c r="AU332" s="37" t="n">
        <f aca="false">0.5*(B332-B331)*(AA332*AL332+AA331*AL331)</f>
        <v>8.38827440745161E-010</v>
      </c>
      <c r="AV332" s="37" t="n">
        <f aca="false">0.5*(B332-B331)*(S332+S331)</f>
        <v>1.017280679072E-009</v>
      </c>
      <c r="AW332" s="37" t="n">
        <f aca="false">0.5*(B332-B331)*(T332+T331)</f>
        <v>1.36531615409392E-009</v>
      </c>
      <c r="AX332" s="37" t="n">
        <f aca="false">0.5*(B332-B331)*(U332+U331)</f>
        <v>1.03879102063144E-009</v>
      </c>
      <c r="AY332" s="37" t="n">
        <f aca="false">0.5*(B332-B331)*(V332+V331)</f>
        <v>9.06360358792388E-012</v>
      </c>
      <c r="AZ332" s="37" t="n">
        <f aca="false">0.5*(B332-B331)*(W332+W331)</f>
        <v>1.97398800236152E-012</v>
      </c>
      <c r="BA332" s="37" t="n">
        <f aca="false">0.5*(B332-B331)*(X332+X331)</f>
        <v>5.23032634856145E-010</v>
      </c>
      <c r="BB332" s="37" t="n">
        <f aca="false">0.5*(B332-B331)*(Y332+Y331)</f>
        <v>2.99713585865358E-013</v>
      </c>
      <c r="BC332" s="37" t="n">
        <f aca="false">0.5*(B332-B331)*(Z332+Z331)</f>
        <v>5.15032709840726E-010</v>
      </c>
      <c r="BD332" s="37" t="n">
        <f aca="false">0.5*(B332-B331)*(AA332+AA331)</f>
        <v>4.47079050367039E-009</v>
      </c>
      <c r="BE332" s="37" t="n">
        <f aca="false">IF(B332&gt;2000,AK332,-999)</f>
        <v>3.5954088243702</v>
      </c>
      <c r="BF332" s="37" t="n">
        <f aca="false">IF(AND(B332&lt;1000,AK332&gt;=-3),B332,1000000000)</f>
        <v>1000000000</v>
      </c>
    </row>
    <row r="333" customFormat="false" ht="15" hidden="false" customHeight="false" outlineLevel="0" collapsed="false">
      <c r="A333" s="5" t="n">
        <v>294</v>
      </c>
      <c r="B333" s="47" t="n">
        <f aca="false">20*10^(A333/100)</f>
        <v>17419.2717991216</v>
      </c>
      <c r="C333" s="37" t="n">
        <f aca="false">2*PI()*B333</f>
        <v>109448.512630009</v>
      </c>
      <c r="D333" s="37" t="n">
        <f aca="false">SQRT(L_Rp0^2+L_Rp1^2*C333)</f>
        <v>161580969.614132</v>
      </c>
      <c r="E333" s="5" t="str">
        <f aca="false">COMPLEX(D333,C333*L_Mp)</f>
        <v>161580969.614132+1616852140.30452i</v>
      </c>
      <c r="F333" s="5" t="str">
        <f aca="false">IMDIV(1,E333)</f>
        <v>6.11975121603938e-11-6.12369939072272e-10i</v>
      </c>
      <c r="G333" s="5" t="str">
        <f aca="false">COMPLEX(0,C333*L_Cf)</f>
        <v>1.15732803880732e-10i</v>
      </c>
      <c r="H333" s="5" t="str">
        <f aca="false">COMPLEX(0,C333*L_Cbv)</f>
        <v>1.15732803880732e-09i</v>
      </c>
      <c r="I333" s="5" t="str">
        <f aca="false">COMPLEX(L_Rsq+L_Rh,C333*(L_Md+L_Mh)-1/(C333*L_Cd))</f>
        <v>552400610.124532-10112897703.5012i</v>
      </c>
      <c r="J333" s="5" t="str">
        <f aca="false">IMDIV(1,I333)</f>
        <v>5.38528932039618e-12+9.85894638831889e-11i</v>
      </c>
      <c r="K333" s="5" t="str">
        <f aca="false">IMSUM(F333,G333,H333)</f>
        <v>6.11975121603938e-11+6.6069090361578e-10i</v>
      </c>
      <c r="L333" s="5" t="str">
        <f aca="false">IMSUM(IMPRODUCT(IMSUM(F333,G333),H333),IMPRODUCT(IMSUM(J333,L_Yv),K333))</f>
        <v>5.10086881023125e-19+8.17384201179104e-20i</v>
      </c>
      <c r="M333" s="37" t="n">
        <f aca="false">IMABS(IMDIV(IMPRODUCT(J333,F333,H333),L333))^2</f>
        <v>1.85315597959541E-020</v>
      </c>
      <c r="N333" s="5" t="str">
        <f aca="false">IMDIV(IMPRODUCT(L_Yv,K333,E333),H333)</f>
        <v>0.00035547813315109+0.00182895620385856i</v>
      </c>
      <c r="O333" s="37" t="n">
        <f aca="false">IMABS(IMSUM(1,IMPRODUCT(E333,G333),N333))^2</f>
        <v>0.661768784313857</v>
      </c>
      <c r="P333" s="37" t="n">
        <f aca="false">IMABS(N333)^2</f>
        <v>3.4714454987813E-006</v>
      </c>
      <c r="Q333" s="37" t="n">
        <f aca="false">p_Rb^2/(1+(C333*p_Rb*L_Ctot)^2)</f>
        <v>13761087197364.6</v>
      </c>
      <c r="R333" s="37" t="n">
        <f aca="false">M333*L_Kt^2*Q333</f>
        <v>5.11802198549225E-005</v>
      </c>
      <c r="S333" s="37" t="n">
        <f aca="false">L_kT4*D333</f>
        <v>2.66053084069674E-012</v>
      </c>
      <c r="T333" s="37" t="n">
        <f aca="false">L_kT4*L_Rsq*O333</f>
        <v>3.41836095334987E-012</v>
      </c>
      <c r="U333" s="37" t="n">
        <f aca="false">L_kT4*L_Rh*O333</f>
        <v>2.60083545702538E-012</v>
      </c>
      <c r="V333" s="37" t="n">
        <f aca="false">L_kT4*p_Rv*P333</f>
        <v>2.85797511716929E-014</v>
      </c>
      <c r="W333" s="37" t="n">
        <f aca="false">L_kT4/p_Rb*Q333/R333</f>
        <v>4.42719536694389E-015</v>
      </c>
      <c r="X333" s="37" t="n">
        <f aca="false">p_en^2*(1+p_fc/B333)/R333</f>
        <v>1.25766183383615E-012</v>
      </c>
      <c r="Y333" s="37" t="n">
        <f aca="false">p_in^2*Q333/R333</f>
        <v>6.7218777275539E-016</v>
      </c>
      <c r="Z333" s="37" t="n">
        <f aca="false">p_eo^2/L_G^2/R333</f>
        <v>1.23867634563018E-012</v>
      </c>
      <c r="AA333" s="37" t="n">
        <f aca="false">SUM(S333:Z333)</f>
        <v>1.12097445648497E-011</v>
      </c>
      <c r="AB333" s="47" t="n">
        <f aca="false">10*LOG10(AA333/L_PREF^2)</f>
        <v>-15.5246427483827</v>
      </c>
      <c r="AC333" s="47" t="n">
        <f aca="false">10*LOG10(S333/L_PREF^2)</f>
        <v>-21.7709169372526</v>
      </c>
      <c r="AD333" s="47" t="n">
        <f aca="false">10*LOG10(T333/L_PREF^2)</f>
        <v>-20.6824207227284</v>
      </c>
      <c r="AE333" s="47" t="n">
        <f aca="false">10*LOG10(U333/L_PREF^2)</f>
        <v>-21.8694711409031</v>
      </c>
      <c r="AF333" s="47" t="n">
        <f aca="false">10*LOG10(V333/L_PREF^2)</f>
        <v>-41.4600154802176</v>
      </c>
      <c r="AG333" s="47" t="n">
        <f aca="false">10*LOG10(W333/L_PREF^2)</f>
        <v>-49.5593130401965</v>
      </c>
      <c r="AH333" s="47" t="n">
        <f aca="false">10*LOG10(X333/L_PREF^2)</f>
        <v>-25.0249610971145</v>
      </c>
      <c r="AI333" s="47" t="n">
        <f aca="false">10*LOG10(Y333/L_PREF^2)</f>
        <v>-57.7456938303556</v>
      </c>
      <c r="AJ333" s="47" t="n">
        <f aca="false">10*LOG10(Z333/L_PREF^2)</f>
        <v>-25.0910214715442</v>
      </c>
      <c r="AK333" s="47" t="n">
        <f aca="false">10*LOG10(R333/$R$6)</f>
        <v>3.80331242511821</v>
      </c>
      <c r="AL333" s="37" t="n">
        <f aca="false">(12194^2*B333^4/((B333^2+20.6^2)*SQRT((B333^2+107.7^2)*(B333^2+737.9^2))*(B333^2+12194^2))*1.2589254)^2</f>
        <v>0.171108627812739</v>
      </c>
      <c r="AM333" s="37" t="n">
        <f aca="false">0.5*(B333-B332)*(S333*AL333+S332*AL332)</f>
        <v>1.8535888472142E-010</v>
      </c>
      <c r="AN333" s="37" t="n">
        <f aca="false">0.5*(B333-B332)*(T333*AL333+T332*AL332)</f>
        <v>2.41807937666972E-010</v>
      </c>
      <c r="AO333" s="37" t="n">
        <f aca="false">0.5*(B333-B332)*(U333*AL333+U332*AL332)</f>
        <v>1.83977838109267E-010</v>
      </c>
      <c r="AP333" s="37" t="n">
        <f aca="false">0.5*(B333-B332)*(V333*AL333+V332*AL332)</f>
        <v>1.87231876031466E-012</v>
      </c>
      <c r="AQ333" s="37" t="n">
        <f aca="false">0.5*(B333-B332)*(W333*AL333+W332*AL332)</f>
        <v>3.25580606580847E-013</v>
      </c>
      <c r="AR333" s="37" t="n">
        <f aca="false">0.5*(B333-B332)*(X333*AL333+X332*AL332)</f>
        <v>9.02535698828589E-011</v>
      </c>
      <c r="AS333" s="37" t="n">
        <f aca="false">0.5*(B333-B332)*(Y333*AL333+Y332*AL332)</f>
        <v>4.94333962363631E-014</v>
      </c>
      <c r="AT333" s="37" t="n">
        <f aca="false">0.5*(B333-B332)*(Z333*AL333+Z332*AL332)</f>
        <v>8.88848835397658E-011</v>
      </c>
      <c r="AU333" s="37" t="n">
        <f aca="false">0.5*(B333-B332)*(AA333*AL333+AA332*AL332)</f>
        <v>7.92530446683416E-010</v>
      </c>
      <c r="AV333" s="37" t="n">
        <f aca="false">0.5*(B333-B332)*(S333+S332)</f>
        <v>1.05025673524064E-009</v>
      </c>
      <c r="AW333" s="37" t="n">
        <f aca="false">0.5*(B333-B332)*(T333+T332)</f>
        <v>1.36948378539107E-009</v>
      </c>
      <c r="AX333" s="37" t="n">
        <f aca="false">0.5*(B333-B332)*(U333+U332)</f>
        <v>1.04196193306503E-009</v>
      </c>
      <c r="AY333" s="37" t="n">
        <f aca="false">0.5*(B333-B332)*(V333+V332)</f>
        <v>1.06287841094073E-011</v>
      </c>
      <c r="AZ333" s="37" t="n">
        <f aca="false">0.5*(B333-B332)*(W333+W332)</f>
        <v>1.84186529721617E-012</v>
      </c>
      <c r="BA333" s="37" t="n">
        <f aca="false">0.5*(B333-B332)*(X333+X332)</f>
        <v>5.10938110545212E-010</v>
      </c>
      <c r="BB333" s="37" t="n">
        <f aca="false">0.5*(B333-B332)*(Y333+Y332)</f>
        <v>2.79653195586404E-013</v>
      </c>
      <c r="BC333" s="37" t="n">
        <f aca="false">0.5*(B333-B332)*(Z333+Z332)</f>
        <v>5.03190808111653E-010</v>
      </c>
      <c r="BD333" s="37" t="n">
        <f aca="false">0.5*(B333-B332)*(AA333+AA332)</f>
        <v>4.48858167495581E-009</v>
      </c>
      <c r="BE333" s="37" t="n">
        <f aca="false">IF(B333&gt;2000,AK333,-999)</f>
        <v>3.80331242511821</v>
      </c>
      <c r="BF333" s="37" t="n">
        <f aca="false">IF(AND(B333&lt;1000,AK333&gt;=-3),B333,1000000000)</f>
        <v>1000000000</v>
      </c>
    </row>
    <row r="334" customFormat="false" ht="15" hidden="false" customHeight="false" outlineLevel="0" collapsed="false">
      <c r="A334" s="5" t="n">
        <v>295</v>
      </c>
      <c r="B334" s="47" t="n">
        <f aca="false">20*10^(A334/100)</f>
        <v>17825.0187626749</v>
      </c>
      <c r="C334" s="37" t="n">
        <f aca="false">2*PI()*B334</f>
        <v>111997.89598984</v>
      </c>
      <c r="D334" s="37" t="n">
        <f aca="false">SQRT(L_Rp0^2+L_Rp1^2*C334)</f>
        <v>163032837.270148</v>
      </c>
      <c r="E334" s="5" t="str">
        <f aca="false">COMPLEX(D334,C334*L_Mp)</f>
        <v>163032837.270148+1654513464.72776i</v>
      </c>
      <c r="F334" s="5" t="str">
        <f aca="false">IMDIV(1,E334)</f>
        <v>5.89845010985671e-11-5.98595061656931e-10i</v>
      </c>
      <c r="G334" s="5" t="str">
        <f aca="false">COMPLEX(0,C334*L_Cf)</f>
        <v>1.18428567188156e-10i</v>
      </c>
      <c r="H334" s="5" t="str">
        <f aca="false">COMPLEX(0,C334*L_Cbv)</f>
        <v>1.18428567188156e-09i</v>
      </c>
      <c r="I334" s="5" t="str">
        <f aca="false">COMPLEX(L_Rsq+L_Rh,C334*(L_Md+L_Mh)-1/(C334*L_Cd))</f>
        <v>552400610.124532-9863706603.12704i</v>
      </c>
      <c r="J334" s="5" t="str">
        <f aca="false">IMDIV(1,I334)</f>
        <v>5.65996674410663e-12+1.01064789437394e-10i</v>
      </c>
      <c r="K334" s="5" t="str">
        <f aca="false">IMSUM(F334,G334,H334)</f>
        <v>5.89845010985671e-11+7.04119177412785e-10i</v>
      </c>
      <c r="L334" s="5" t="str">
        <f aca="false">IMSUM(IMPRODUCT(IMSUM(F334,G334),H334),IMPRODUCT(IMSUM(J334,L_Yv),K334))</f>
        <v>4.97944462429746e-19+8.12092851805812e-20i</v>
      </c>
      <c r="M334" s="37" t="n">
        <f aca="false">IMABS(IMDIV(IMPRODUCT(J334,F334,H334),L334))^2</f>
        <v>2.04255265349336E-020</v>
      </c>
      <c r="N334" s="5" t="str">
        <f aca="false">IMDIV(IMPRODUCT(L_Yv,K334,E334),H334)</f>
        <v>0.000358672241994326+0.00195114789727689i</v>
      </c>
      <c r="O334" s="37" t="n">
        <f aca="false">IMABS(IMSUM(1,IMPRODUCT(E334,G334),N334))^2</f>
        <v>0.647538671699962</v>
      </c>
      <c r="P334" s="37" t="n">
        <f aca="false">IMABS(N334)^2</f>
        <v>3.93562389422526E-006</v>
      </c>
      <c r="Q334" s="37" t="n">
        <f aca="false">p_Rb^2/(1+(C334*p_Rb*L_Ctot)^2)</f>
        <v>13141736249085.8</v>
      </c>
      <c r="R334" s="37" t="n">
        <f aca="false">M334*L_Kt^2*Q334</f>
        <v>5.38720413723817E-005</v>
      </c>
      <c r="S334" s="37" t="n">
        <f aca="false">L_kT4*D334</f>
        <v>2.68443674177325E-012</v>
      </c>
      <c r="T334" s="37" t="n">
        <f aca="false">L_kT4*L_Rsq*O334</f>
        <v>3.34485542925425E-012</v>
      </c>
      <c r="U334" s="37" t="n">
        <f aca="false">L_kT4*L_Rh*O334</f>
        <v>2.54490930529241E-012</v>
      </c>
      <c r="V334" s="37" t="n">
        <f aca="false">L_kT4*p_Rv*P334</f>
        <v>3.24012437014536E-014</v>
      </c>
      <c r="W334" s="37" t="n">
        <f aca="false">L_kT4/p_Rb*Q334/R334</f>
        <v>4.01668155435671E-015</v>
      </c>
      <c r="X334" s="37" t="n">
        <f aca="false">p_en^2*(1+p_fc/B334)/R334</f>
        <v>1.19466506681091E-012</v>
      </c>
      <c r="Y334" s="37" t="n">
        <f aca="false">p_in^2*Q334/R334</f>
        <v>6.09858839311737E-016</v>
      </c>
      <c r="Z334" s="37" t="n">
        <f aca="false">p_eo^2/L_G^2/R334</f>
        <v>1.17678346844575E-012</v>
      </c>
      <c r="AA334" s="37" t="n">
        <f aca="false">SUM(S334:Z334)</f>
        <v>1.09826777956717E-011</v>
      </c>
      <c r="AB334" s="47" t="n">
        <f aca="false">10*LOG10(AA334/L_PREF^2)</f>
        <v>-15.6135174865497</v>
      </c>
      <c r="AC334" s="47" t="n">
        <f aca="false">10*LOG10(S334/L_PREF^2)</f>
        <v>-21.7320681697265</v>
      </c>
      <c r="AD334" s="47" t="n">
        <f aca="false">10*LOG10(T334/L_PREF^2)</f>
        <v>-20.7768263981724</v>
      </c>
      <c r="AE334" s="47" t="n">
        <f aca="false">10*LOG10(U334/L_PREF^2)</f>
        <v>-21.9638768163471</v>
      </c>
      <c r="AF334" s="47" t="n">
        <f aca="false">10*LOG10(V334/L_PREF^2)</f>
        <v>-40.9149831067962</v>
      </c>
      <c r="AG334" s="47" t="n">
        <f aca="false">10*LOG10(W334/L_PREF^2)</f>
        <v>-49.9819258943641</v>
      </c>
      <c r="AH334" s="47" t="n">
        <f aca="false">10*LOG10(X334/L_PREF^2)</f>
        <v>-25.2481382664989</v>
      </c>
      <c r="AI334" s="47" t="n">
        <f aca="false">10*LOG10(Y334/L_PREF^2)</f>
        <v>-58.1683066845233</v>
      </c>
      <c r="AJ334" s="47" t="n">
        <f aca="false">10*LOG10(Z334/L_PREF^2)</f>
        <v>-25.3136343257145</v>
      </c>
      <c r="AK334" s="47" t="n">
        <f aca="false">10*LOG10(R334/$R$6)</f>
        <v>4.02592527928852</v>
      </c>
      <c r="AL334" s="37" t="n">
        <f aca="false">(12194^2*B334^4/((B334^2+20.6^2)*SQRT((B334^2+107.7^2)*(B334^2+737.9^2))*(B334^2+12194^2))*1.2589254)^2</f>
        <v>0.160790585439444</v>
      </c>
      <c r="AM334" s="37" t="n">
        <f aca="false">0.5*(B334-B333)*(S334*AL334+S333*AL333)</f>
        <v>1.79922797686296E-010</v>
      </c>
      <c r="AN334" s="37" t="n">
        <f aca="false">0.5*(B334-B333)*(T334*AL334+T333*AL333)</f>
        <v>2.27772613801856E-010</v>
      </c>
      <c r="AO334" s="37" t="n">
        <f aca="false">0.5*(B334-B333)*(U334*AL334+U333*AL333)</f>
        <v>1.73299162434759E-010</v>
      </c>
      <c r="AP334" s="37" t="n">
        <f aca="false">0.5*(B334-B333)*(V334*AL334+V333*AL333)</f>
        <v>2.04903371957695E-012</v>
      </c>
      <c r="AQ334" s="37" t="n">
        <f aca="false">0.5*(B334-B333)*(W334*AL334+W333*AL333)</f>
        <v>2.84707755672011E-013</v>
      </c>
      <c r="AR334" s="37" t="n">
        <f aca="false">0.5*(B334-B333)*(X334*AL334+X333*AL333)</f>
        <v>8.2627870971316E-011</v>
      </c>
      <c r="AS334" s="37" t="n">
        <f aca="false">0.5*(B334-B333)*(Y334*AL334+Y333*AL333)</f>
        <v>4.32276094252111E-014</v>
      </c>
      <c r="AT334" s="37" t="n">
        <f aca="false">0.5*(B334-B333)*(Z334*AL334+Z333*AL333)</f>
        <v>8.13855197187441E-011</v>
      </c>
      <c r="AU334" s="37" t="n">
        <f aca="false">0.5*(B334-B333)*(AA334*AL334+AA333*AL333)</f>
        <v>7.47384933697646E-010</v>
      </c>
      <c r="AV334" s="37" t="n">
        <f aca="false">0.5*(B334-B333)*(S334+S333)</f>
        <v>1.08435218343902E-009</v>
      </c>
      <c r="AW334" s="37" t="n">
        <f aca="false">0.5*(B334-B333)*(T334+T333)</f>
        <v>1.37207725554779E-009</v>
      </c>
      <c r="AX334" s="37" t="n">
        <f aca="false">0.5*(B334-B333)*(U334+U333)</f>
        <v>1.04393515626538E-009</v>
      </c>
      <c r="AY334" s="37" t="n">
        <f aca="false">0.5*(B334-B333)*(V334+V333)</f>
        <v>1.23714267521194E-011</v>
      </c>
      <c r="AZ334" s="37" t="n">
        <f aca="false">0.5*(B334-B333)*(W334+W333)</f>
        <v>1.71303871071778E-012</v>
      </c>
      <c r="BA334" s="37" t="n">
        <f aca="false">0.5*(B334-B333)*(X334+X333)</f>
        <v>4.97512096788816E-010</v>
      </c>
      <c r="BB334" s="37" t="n">
        <f aca="false">0.5*(B334-B333)*(Y334+Y333)</f>
        <v>2.6009325999002E-013</v>
      </c>
      <c r="BC334" s="37" t="n">
        <f aca="false">0.5*(B334-B333)*(Z334+Z333)</f>
        <v>4.90032742573171E-010</v>
      </c>
      <c r="BD334" s="37" t="n">
        <f aca="false">0.5*(B334-B333)*(AA334+AA333)</f>
        <v>4.50225399333701E-009</v>
      </c>
      <c r="BE334" s="37" t="n">
        <f aca="false">IF(B334&gt;2000,AK334,-999)</f>
        <v>4.02592527928852</v>
      </c>
      <c r="BF334" s="37" t="n">
        <f aca="false">IF(AND(B334&lt;1000,AK334&gt;=-3),B334,1000000000)</f>
        <v>1000000000</v>
      </c>
    </row>
    <row r="335" customFormat="false" ht="15" hidden="false" customHeight="false" outlineLevel="0" collapsed="false">
      <c r="A335" s="5" t="n">
        <v>296</v>
      </c>
      <c r="B335" s="47" t="n">
        <f aca="false">20*10^(A335/100)</f>
        <v>18240.2167871182</v>
      </c>
      <c r="C335" s="37" t="n">
        <f aca="false">2*PI()*B335</f>
        <v>114606.662116591</v>
      </c>
      <c r="D335" s="37" t="n">
        <f aca="false">SQRT(L_Rp0^2+L_Rp1^2*C335)</f>
        <v>164505258.931255</v>
      </c>
      <c r="E335" s="5" t="str">
        <f aca="false">COMPLEX(D335,C335*L_Mp)</f>
        <v>164505258.931255+1693052034.09006i</v>
      </c>
      <c r="F335" s="5" t="str">
        <f aca="false">IMDIV(1,E335)</f>
        <v>5.68536334347086e-11-5.85125122183896e-10i</v>
      </c>
      <c r="G335" s="5" t="str">
        <f aca="false">COMPLEX(0,C335*L_Cf)</f>
        <v>1.21187122889491e-10i</v>
      </c>
      <c r="H335" s="5" t="str">
        <f aca="false">COMPLEX(0,C335*L_Cbv)</f>
        <v>1.21187122889491e-09i</v>
      </c>
      <c r="I335" s="5" t="str">
        <f aca="false">COMPLEX(L_Rsq+L_Rh,C335*(L_Md+L_Mh)-1/(C335*L_Cd))</f>
        <v>552400610.124532-9619745370.55549i</v>
      </c>
      <c r="J335" s="5" t="str">
        <f aca="false">IMDIV(1,I335)</f>
        <v>5.94973027982678e-12+1.03611200397687e-10i</v>
      </c>
      <c r="K335" s="5" t="str">
        <f aca="false">IMSUM(F335,G335,H335)</f>
        <v>5.68536334347086e-11+7.47933229600505e-10i</v>
      </c>
      <c r="L335" s="5" t="str">
        <f aca="false">IMSUM(IMPRODUCT(IMSUM(F335,G335),H335),IMPRODUCT(IMSUM(J335,L_Yv),K335))</f>
        <v>4.85190824650964e-19+8.07358232674451e-20i</v>
      </c>
      <c r="M335" s="37" t="n">
        <f aca="false">IMABS(IMDIV(IMPRODUCT(J335,F335,H335),L335))^2</f>
        <v>2.25968367098849E-020</v>
      </c>
      <c r="N335" s="5" t="str">
        <f aca="false">IMDIV(IMPRODUCT(L_Yv,K335,E335),H335)</f>
        <v>0.000361911569648761+0.00207437411513682i</v>
      </c>
      <c r="O335" s="37" t="n">
        <f aca="false">IMABS(IMSUM(1,IMPRODUCT(E335,G335),N335))^2</f>
        <v>0.632804920111609</v>
      </c>
      <c r="P335" s="37" t="n">
        <f aca="false">IMABS(N335)^2</f>
        <v>4.4340079537953E-006</v>
      </c>
      <c r="Q335" s="37" t="n">
        <f aca="false">p_Rb^2/(1+(C335*p_Rb*L_Ctot)^2)</f>
        <v>12550260685333.6</v>
      </c>
      <c r="R335" s="37" t="n">
        <f aca="false">M335*L_Kt^2*Q335</f>
        <v>5.69164519368004E-005</v>
      </c>
      <c r="S335" s="37" t="n">
        <f aca="false">L_kT4*D335</f>
        <v>2.70868107728652E-012</v>
      </c>
      <c r="T335" s="37" t="n">
        <f aca="false">L_kT4*L_Rsq*O335</f>
        <v>3.26874836237559E-012</v>
      </c>
      <c r="U335" s="37" t="n">
        <f aca="false">L_kT4*L_Rh*O335</f>
        <v>2.48700378835914E-012</v>
      </c>
      <c r="V335" s="37" t="n">
        <f aca="false">L_kT4*p_Rv*P335</f>
        <v>3.65043449644434E-014</v>
      </c>
      <c r="W335" s="37" t="n">
        <f aca="false">L_kT4/p_Rb*Q335/R335</f>
        <v>3.63072215479622E-015</v>
      </c>
      <c r="X335" s="37" t="n">
        <f aca="false">p_en^2*(1+p_fc/B335)/R335</f>
        <v>1.13061989693631E-012</v>
      </c>
      <c r="Y335" s="37" t="n">
        <f aca="false">p_in^2*Q335/R335</f>
        <v>5.51258039558987E-016</v>
      </c>
      <c r="Z335" s="37" t="n">
        <f aca="false">p_eo^2/L_G^2/R335</f>
        <v>1.1138383637975E-012</v>
      </c>
      <c r="AA335" s="37" t="n">
        <f aca="false">SUM(S335:Z335)</f>
        <v>1.07495778139139E-011</v>
      </c>
      <c r="AB335" s="47" t="n">
        <f aca="false">10*LOG10(AA335/L_PREF^2)</f>
        <v>-15.7066858351244</v>
      </c>
      <c r="AC335" s="47" t="n">
        <f aca="false">10*LOG10(S335/L_PREF^2)</f>
        <v>-21.6930211753445</v>
      </c>
      <c r="AD335" s="47" t="n">
        <f aca="false">10*LOG10(T335/L_PREF^2)</f>
        <v>-20.8767850269563</v>
      </c>
      <c r="AE335" s="47" t="n">
        <f aca="false">10*LOG10(U335/L_PREF^2)</f>
        <v>-22.0638354451311</v>
      </c>
      <c r="AF335" s="47" t="n">
        <f aca="false">10*LOG10(V335/L_PREF^2)</f>
        <v>-40.3971543148035</v>
      </c>
      <c r="AG335" s="47" t="n">
        <f aca="false">10*LOG10(W335/L_PREF^2)</f>
        <v>-50.4206697602999</v>
      </c>
      <c r="AH335" s="47" t="n">
        <f aca="false">10*LOG10(X335/L_PREF^2)</f>
        <v>-25.4874336731194</v>
      </c>
      <c r="AI335" s="47" t="n">
        <f aca="false">10*LOG10(Y335/L_PREF^2)</f>
        <v>-58.6070505504591</v>
      </c>
      <c r="AJ335" s="47" t="n">
        <f aca="false">10*LOG10(Z335/L_PREF^2)</f>
        <v>-25.5523781916529</v>
      </c>
      <c r="AK335" s="47" t="n">
        <f aca="false">10*LOG10(R335/$R$6)</f>
        <v>4.26466914522694</v>
      </c>
      <c r="AL335" s="37" t="n">
        <f aca="false">(12194^2*B335^4/((B335^2+20.6^2)*SQRT((B335^2+107.7^2)*(B335^2+737.9^2))*(B335^2+12194^2))*1.2589254)^2</f>
        <v>0.150955070278813</v>
      </c>
      <c r="AM335" s="37" t="n">
        <f aca="false">0.5*(B335-B334)*(S335*AL335+S334*AL334)</f>
        <v>1.74491391147448E-010</v>
      </c>
      <c r="AN335" s="37" t="n">
        <f aca="false">0.5*(B335-B334)*(T335*AL335+T334*AL334)</f>
        <v>2.14087602688471E-010</v>
      </c>
      <c r="AO335" s="37" t="n">
        <f aca="false">0.5*(B335-B334)*(U335*AL335+U334*AL334)</f>
        <v>1.62887019709281E-010</v>
      </c>
      <c r="AP335" s="37" t="n">
        <f aca="false">0.5*(B335-B334)*(V335*AL335+V334*AL334)</f>
        <v>2.22553010621675E-012</v>
      </c>
      <c r="AQ335" s="37" t="n">
        <f aca="false">0.5*(B335-B334)*(W335*AL335+W334*AL334)</f>
        <v>2.47856715783791E-013</v>
      </c>
      <c r="AR335" s="37" t="n">
        <f aca="false">0.5*(B335-B334)*(X335*AL335+X334*AL334)</f>
        <v>7.53093861006888E-011</v>
      </c>
      <c r="AS335" s="37" t="n">
        <f aca="false">0.5*(B335-B334)*(Y335*AL335+Y334*AL334)</f>
        <v>3.7632460267996E-014</v>
      </c>
      <c r="AT335" s="37" t="n">
        <f aca="false">0.5*(B335-B334)*(Z335*AL335+Z334*AL334)</f>
        <v>7.41865971848232E-011</v>
      </c>
      <c r="AU335" s="37" t="n">
        <f aca="false">0.5*(B335-B334)*(AA335*AL335+AA334*AL334)</f>
        <v>7.03473016112981E-010</v>
      </c>
      <c r="AV335" s="37" t="n">
        <f aca="false">0.5*(B335-B334)*(S335+S334)</f>
        <v>1.11960593203172E-009</v>
      </c>
      <c r="AW335" s="37" t="n">
        <f aca="false">0.5*(B335-B334)*(T335+T334)</f>
        <v>1.37297761436763E-009</v>
      </c>
      <c r="AX335" s="37" t="n">
        <f aca="false">0.5*(B335-B334)*(U335+U334)</f>
        <v>1.04462018782718E-009</v>
      </c>
      <c r="AY335" s="37" t="n">
        <f aca="false">0.5*(B335-B334)*(V335+V334)</f>
        <v>1.43047321435906E-011</v>
      </c>
      <c r="AZ335" s="37" t="n">
        <f aca="false">0.5*(B335-B334)*(W335+W334)</f>
        <v>1.58759345608023E-012</v>
      </c>
      <c r="BA335" s="37" t="n">
        <f aca="false">0.5*(B335-B334)*(X335+X334)</f>
        <v>4.82726861607749E-010</v>
      </c>
      <c r="BB335" s="37" t="n">
        <f aca="false">0.5*(B335-B334)*(Y335+Y334)</f>
        <v>2.41046717127433E-013</v>
      </c>
      <c r="BC335" s="37" t="n">
        <f aca="false">0.5*(B335-B334)*(Z335+Z334)</f>
        <v>4.75530829747015E-010</v>
      </c>
      <c r="BD335" s="37" t="n">
        <f aca="false">0.5*(B335-B334)*(AA335+AA334)</f>
        <v>4.51159479789809E-009</v>
      </c>
      <c r="BE335" s="37" t="n">
        <f aca="false">IF(B335&gt;2000,AK335,-999)</f>
        <v>4.26466914522694</v>
      </c>
      <c r="BF335" s="37" t="n">
        <f aca="false">IF(AND(B335&lt;1000,AK335&gt;=-3),B335,1000000000)</f>
        <v>1000000000</v>
      </c>
    </row>
    <row r="336" customFormat="false" ht="15" hidden="false" customHeight="false" outlineLevel="0" collapsed="false">
      <c r="A336" s="5" t="n">
        <v>297</v>
      </c>
      <c r="B336" s="47" t="n">
        <f aca="false">20*10^(A336/100)</f>
        <v>18665.0860159398</v>
      </c>
      <c r="C336" s="37" t="n">
        <f aca="false">2*PI()*B336</f>
        <v>117276.194212596</v>
      </c>
      <c r="D336" s="37" t="n">
        <f aca="false">SQRT(L_Rp0^2+L_Rp1^2*C336)</f>
        <v>165998457.862279</v>
      </c>
      <c r="E336" s="5" t="str">
        <f aca="false">COMPLEX(D336,C336*L_Mp)</f>
        <v>165998457.862279+1732488282.05104i</v>
      </c>
      <c r="F336" s="5" t="str">
        <f aca="false">IMDIV(1,E336)</f>
        <v>5.48017694002569e-11-5.71953646704227e-10i</v>
      </c>
      <c r="G336" s="5" t="str">
        <f aca="false">COMPLEX(0,C336*L_Cf)</f>
        <v>1.24009933607483e-10i</v>
      </c>
      <c r="H336" s="5" t="str">
        <f aca="false">COMPLEX(0,C336*L_Cbv)</f>
        <v>1.24009933607483e-09i</v>
      </c>
      <c r="I336" s="5" t="str">
        <f aca="false">COMPLEX(L_Rsq+L_Rh,C336*(L_Md+L_Mh)-1/(C336*L_Cd))</f>
        <v>552400610.124532-9380884654.31179i</v>
      </c>
      <c r="J336" s="5" t="str">
        <f aca="false">IMDIV(1,I336)</f>
        <v>6.25551733190748e-12+1.06231393427395e-10i</v>
      </c>
      <c r="K336" s="5" t="str">
        <f aca="false">IMSUM(F336,G336,H336)</f>
        <v>5.48017694002569e-11+7.92155622978086e-10i</v>
      </c>
      <c r="L336" s="5" t="str">
        <f aca="false">IMSUM(IMPRODUCT(IMSUM(F336,G336),H336),IMPRODUCT(IMSUM(J336,L_Yv),K336))</f>
        <v>4.71795322526962e-19+8.03209606497241e-20i</v>
      </c>
      <c r="M336" s="37" t="n">
        <f aca="false">IMABS(IMDIV(IMPRODUCT(J336,F336,H336),L336))^2</f>
        <v>2.5101339376363E-020</v>
      </c>
      <c r="N336" s="5" t="str">
        <f aca="false">IMDIV(IMPRODUCT(L_Yv,K336,E336),H336)</f>
        <v>0.000365196607297014+0.00219870019361021i</v>
      </c>
      <c r="O336" s="37" t="n">
        <f aca="false">IMABS(IMSUM(1,IMPRODUCT(E336,G336),N336))^2</f>
        <v>0.617559908116168</v>
      </c>
      <c r="P336" s="37" t="n">
        <f aca="false">IMABS(N336)^2</f>
        <v>4.96765110336283E-006</v>
      </c>
      <c r="Q336" s="37" t="n">
        <f aca="false">p_Rb^2/(1+(C336*p_Rb*L_Ctot)^2)</f>
        <v>11985405907136.6</v>
      </c>
      <c r="R336" s="37" t="n">
        <f aca="false">M336*L_Kt^2*Q336</f>
        <v>6.03791600814567E-005</v>
      </c>
      <c r="S336" s="37" t="n">
        <f aca="false">L_kT4*D336</f>
        <v>2.73326752343034E-012</v>
      </c>
      <c r="T336" s="37" t="n">
        <f aca="false">L_kT4*L_Rsq*O336</f>
        <v>3.19000038426931E-012</v>
      </c>
      <c r="U336" s="37" t="n">
        <f aca="false">L_kT4*L_Rh*O336</f>
        <v>2.42708895302639E-012</v>
      </c>
      <c r="V336" s="37" t="n">
        <f aca="false">L_kT4*p_Rv*P336</f>
        <v>4.0897727615697E-014</v>
      </c>
      <c r="W336" s="37" t="n">
        <f aca="false">L_kT4/p_Rb*Q336/R336</f>
        <v>3.26846446083066E-015</v>
      </c>
      <c r="X336" s="37" t="n">
        <f aca="false">p_en^2*(1+p_fc/B336)/R336</f>
        <v>1.06564725463011E-012</v>
      </c>
      <c r="Y336" s="37" t="n">
        <f aca="false">p_in^2*Q336/R336</f>
        <v>4.96255905637279E-016</v>
      </c>
      <c r="Z336" s="37" t="n">
        <f aca="false">p_eo^2/L_G^2/R336</f>
        <v>1.04996041039521E-012</v>
      </c>
      <c r="AA336" s="37" t="n">
        <f aca="false">SUM(S336:Z336)</f>
        <v>1.05106269737335E-011</v>
      </c>
      <c r="AB336" s="47" t="n">
        <f aca="false">10*LOG10(AA336/L_PREF^2)</f>
        <v>-15.8043136824821</v>
      </c>
      <c r="AC336" s="47" t="n">
        <f aca="false">10*LOG10(S336/L_PREF^2)</f>
        <v>-21.6537785020847</v>
      </c>
      <c r="AD336" s="47" t="n">
        <f aca="false">10*LOG10(T336/L_PREF^2)</f>
        <v>-20.9826925595541</v>
      </c>
      <c r="AE336" s="47" t="n">
        <f aca="false">10*LOG10(U336/L_PREF^2)</f>
        <v>-22.1697429777288</v>
      </c>
      <c r="AF336" s="47" t="n">
        <f aca="false">10*LOG10(V336/L_PREF^2)</f>
        <v>-39.9036081318321</v>
      </c>
      <c r="AG336" s="47" t="n">
        <f aca="false">10*LOG10(W336/L_PREF^2)</f>
        <v>-50.8771622423776</v>
      </c>
      <c r="AH336" s="47" t="n">
        <f aca="false">10*LOG10(X336/L_PREF^2)</f>
        <v>-25.7444652089619</v>
      </c>
      <c r="AI336" s="47" t="n">
        <f aca="false">10*LOG10(Y336/L_PREF^2)</f>
        <v>-59.0635430325368</v>
      </c>
      <c r="AJ336" s="47" t="n">
        <f aca="false">10*LOG10(Z336/L_PREF^2)</f>
        <v>-25.808870673733</v>
      </c>
      <c r="AK336" s="47" t="n">
        <f aca="false">10*LOG10(R336/$R$6)</f>
        <v>4.52116162730704</v>
      </c>
      <c r="AL336" s="37" t="n">
        <f aca="false">(12194^2*B336^4/((B336^2+20.6^2)*SQRT((B336^2+107.7^2)*(B336^2+737.9^2))*(B336^2+12194^2))*1.2589254)^2</f>
        <v>0.14159243306752</v>
      </c>
      <c r="AM336" s="37" t="n">
        <f aca="false">0.5*(B336-B335)*(S336*AL336+S335*AL335)</f>
        <v>1.69076527181688E-010</v>
      </c>
      <c r="AN336" s="37" t="n">
        <f aca="false">0.5*(B336-B335)*(T336*AL336+T335*AL335)</f>
        <v>2.00774939776193E-010</v>
      </c>
      <c r="AO336" s="37" t="n">
        <f aca="false">0.5*(B336-B335)*(U336*AL336+U335*AL335)</f>
        <v>1.52758175446726E-010</v>
      </c>
      <c r="AP336" s="37" t="n">
        <f aca="false">0.5*(B336-B335)*(V336*AL336+V335*AL335)</f>
        <v>2.40079255914581E-012</v>
      </c>
      <c r="AQ336" s="37" t="n">
        <f aca="false">0.5*(B336-B335)*(W336*AL336+W335*AL335)</f>
        <v>2.14742876553944E-013</v>
      </c>
      <c r="AR336" s="37" t="n">
        <f aca="false">0.5*(B336-B335)*(X336*AL336+X335*AL335)</f>
        <v>6.83105582189908E-011</v>
      </c>
      <c r="AS336" s="37" t="n">
        <f aca="false">0.5*(B336-B335)*(Y336*AL336+Y335*AL335)</f>
        <v>3.26047359426844E-014</v>
      </c>
      <c r="AT336" s="37" t="n">
        <f aca="false">0.5*(B336-B335)*(Z336*AL336+Z335*AL335)</f>
        <v>6.73005599471674E-011</v>
      </c>
      <c r="AU336" s="37" t="n">
        <f aca="false">0.5*(B336-B335)*(AA336*AL336+AA335*AL335)</f>
        <v>6.60868900742409E-010</v>
      </c>
      <c r="AV336" s="37" t="n">
        <f aca="false">0.5*(B336-B335)*(S336+S335)</f>
        <v>1.15605825263678E-009</v>
      </c>
      <c r="AW336" s="37" t="n">
        <f aca="false">0.5*(B336-B335)*(T336+T335)</f>
        <v>1.37206179956987E-009</v>
      </c>
      <c r="AX336" s="37" t="n">
        <f aca="false">0.5*(B336-B335)*(U336+U335)</f>
        <v>1.04392339669524E-009</v>
      </c>
      <c r="AY336" s="37" t="n">
        <f aca="false">0.5*(B336-B335)*(V336+V335)</f>
        <v>1.64428794431603E-011</v>
      </c>
      <c r="AZ336" s="37" t="n">
        <f aca="false">0.5*(B336-B335)*(W336+W335)</f>
        <v>1.46562604843898E-012</v>
      </c>
      <c r="BA336" s="37" t="n">
        <f aca="false">0.5*(B336-B335)*(X336+X335)</f>
        <v>4.66563165486159E-010</v>
      </c>
      <c r="BB336" s="37" t="n">
        <f aca="false">0.5*(B336-B335)*(Y336+Y335)</f>
        <v>2.22528221037724E-013</v>
      </c>
      <c r="BC336" s="37" t="n">
        <f aca="false">0.5*(B336-B335)*(Z336+Z335)</f>
        <v>4.5966575825823E-010</v>
      </c>
      <c r="BD336" s="37" t="n">
        <f aca="false">0.5*(B336-B335)*(AA336+AA335)</f>
        <v>4.51640340635891E-009</v>
      </c>
      <c r="BE336" s="37" t="n">
        <f aca="false">IF(B336&gt;2000,AK336,-999)</f>
        <v>4.52116162730704</v>
      </c>
      <c r="BF336" s="37" t="n">
        <f aca="false">IF(AND(B336&lt;1000,AK336&gt;=-3),B336,1000000000)</f>
        <v>1000000000</v>
      </c>
    </row>
    <row r="337" customFormat="false" ht="15" hidden="false" customHeight="false" outlineLevel="0" collapsed="false">
      <c r="A337" s="5" t="n">
        <v>298</v>
      </c>
      <c r="B337" s="47" t="n">
        <f aca="false">20*10^(A337/100)</f>
        <v>19099.8517204287</v>
      </c>
      <c r="C337" s="37" t="n">
        <f aca="false">2*PI()*B337</f>
        <v>120007.907699106</v>
      </c>
      <c r="D337" s="37" t="n">
        <f aca="false">SQRT(L_Rp0^2+L_Rp1^2*C337)</f>
        <v>167512659.469568</v>
      </c>
      <c r="E337" s="5" t="str">
        <f aca="false">COMPLEX(D337,C337*L_Mp)</f>
        <v>167512659.469568+1772843118.23135i</v>
      </c>
      <c r="F337" s="5" t="str">
        <f aca="false">IMDIV(1,E337)</f>
        <v>5.28258924522934e-11-5.59074282475299e-10i</v>
      </c>
      <c r="G337" s="5" t="str">
        <f aca="false">COMPLEX(0,C337*L_Cf)</f>
        <v>1.26898496033738e-10i</v>
      </c>
      <c r="H337" s="5" t="str">
        <f aca="false">COMPLEX(0,C337*L_Cbv)</f>
        <v>1.26898496033739e-09i</v>
      </c>
      <c r="I337" s="5" t="str">
        <f aca="false">COMPLEX(L_Rsq+L_Rh,C337*(L_Md+L_Mh)-1/(C337*L_Cd))</f>
        <v>552400610.124532-9146997807.28249i</v>
      </c>
      <c r="J337" s="5" t="str">
        <f aca="false">IMDIV(1,I337)</f>
        <v>6.57833449848797e-12+1.08928212841175e-10i</v>
      </c>
      <c r="K337" s="5" t="str">
        <f aca="false">IMSUM(F337,G337,H337)</f>
        <v>5.28258924522934e-11+8.36809173895829e-10i</v>
      </c>
      <c r="L337" s="5" t="str">
        <f aca="false">IMSUM(IMPRODUCT(IMSUM(F337,G337),H337),IMPRODUCT(IMSUM(J337,L_Yv),K337))</f>
        <v>4.57725603590389e-19+7.9967922100011e-20i</v>
      </c>
      <c r="M337" s="37" t="n">
        <f aca="false">IMABS(IMDIV(IMPRODUCT(J337,F337,H337),L337))^2</f>
        <v>2.80095440455857E-020</v>
      </c>
      <c r="N337" s="5" t="str">
        <f aca="false">IMDIV(IMPRODUCT(L_Yv,K337,E337),H337)</f>
        <v>0.00036852785083305+0.00232419205202947i</v>
      </c>
      <c r="O337" s="37" t="n">
        <f aca="false">IMABS(IMSUM(1,IMPRODUCT(E337,G337),N337))^2</f>
        <v>0.601797209265735</v>
      </c>
      <c r="P337" s="37" t="n">
        <f aca="false">IMABS(N337)^2</f>
        <v>5.53768147155658E-006</v>
      </c>
      <c r="Q337" s="37" t="n">
        <f aca="false">p_Rb^2/(1+(C337*p_Rb*L_Ctot)^2)</f>
        <v>11445973781779.2</v>
      </c>
      <c r="R337" s="37" t="n">
        <f aca="false">M337*L_Kt^2*Q337</f>
        <v>6.43422451522186E-005</v>
      </c>
      <c r="S337" s="37" t="n">
        <f aca="false">L_kT4*D337</f>
        <v>2.75819979165998E-012</v>
      </c>
      <c r="T337" s="37" t="n">
        <f aca="false">L_kT4*L_Rsq*O337</f>
        <v>3.10857829917414E-012</v>
      </c>
      <c r="U337" s="37" t="n">
        <f aca="false">L_kT4*L_Rh*O337</f>
        <v>2.36513954253685E-012</v>
      </c>
      <c r="V337" s="37" t="n">
        <f aca="false">L_kT4*p_Rv*P337</f>
        <v>4.55906793238559E-014</v>
      </c>
      <c r="W337" s="37" t="n">
        <f aca="false">L_kT4/p_Rb*Q337/R337</f>
        <v>2.92910286355845E-015</v>
      </c>
      <c r="X337" s="37" t="n">
        <f aca="false">p_en^2*(1+p_fc/B337)/R337</f>
        <v>9.99888657649024E-013</v>
      </c>
      <c r="Y337" s="37" t="n">
        <f aca="false">p_in^2*Q337/R337</f>
        <v>4.44730120727863E-016</v>
      </c>
      <c r="Z337" s="37" t="n">
        <f aca="false">p_eo^2/L_G^2/R337</f>
        <v>9.85289331270073E-013</v>
      </c>
      <c r="AA337" s="37" t="n">
        <f aca="false">SUM(S337:Z337)</f>
        <v>1.02660601345982E-011</v>
      </c>
      <c r="AB337" s="47" t="n">
        <f aca="false">10*LOG10(AA337/L_PREF^2)</f>
        <v>-15.9065618746715</v>
      </c>
      <c r="AC337" s="47" t="n">
        <f aca="false">10*LOG10(S337/L_PREF^2)</f>
        <v>-21.6143426999835</v>
      </c>
      <c r="AD337" s="47" t="n">
        <f aca="false">10*LOG10(T337/L_PREF^2)</f>
        <v>-21.0949818043415</v>
      </c>
      <c r="AE337" s="47" t="n">
        <f aca="false">10*LOG10(U337/L_PREF^2)</f>
        <v>-22.2820322225162</v>
      </c>
      <c r="AF337" s="47" t="n">
        <f aca="false">10*LOG10(V337/L_PREF^2)</f>
        <v>-39.4318392787344</v>
      </c>
      <c r="AG337" s="47" t="n">
        <f aca="false">10*LOG10(W337/L_PREF^2)</f>
        <v>-51.3532536792516</v>
      </c>
      <c r="AH337" s="47" t="n">
        <f aca="false">10*LOG10(X337/L_PREF^2)</f>
        <v>-26.0210834938879</v>
      </c>
      <c r="AI337" s="47" t="n">
        <f aca="false">10*LOG10(Y337/L_PREF^2)</f>
        <v>-59.5396344694108</v>
      </c>
      <c r="AJ337" s="47" t="n">
        <f aca="false">10*LOG10(Z337/L_PREF^2)</f>
        <v>-26.0849621106094</v>
      </c>
      <c r="AK337" s="47" t="n">
        <f aca="false">10*LOG10(R337/$R$6)</f>
        <v>4.7972530641834</v>
      </c>
      <c r="AL337" s="37" t="n">
        <f aca="false">(12194^2*B337^4/((B337^2+20.6^2)*SQRT((B337^2+107.7^2)*(B337^2+737.9^2))*(B337^2+12194^2))*1.2589254)^2</f>
        <v>0.132691999521431</v>
      </c>
      <c r="AM337" s="37" t="n">
        <f aca="false">0.5*(B337-B336)*(S337*AL337+S336*AL336)</f>
        <v>1.63689514753392E-010</v>
      </c>
      <c r="AN337" s="37" t="n">
        <f aca="false">0.5*(B337-B336)*(T337*AL337+T336*AL336)</f>
        <v>1.87854301671584E-010</v>
      </c>
      <c r="AO337" s="37" t="n">
        <f aca="false">0.5*(B337-B336)*(U337*AL337+U336*AL336)</f>
        <v>1.42927600452319E-010</v>
      </c>
      <c r="AP337" s="37" t="n">
        <f aca="false">0.5*(B337-B336)*(V337*AL337+V336*AL336)</f>
        <v>2.57388408934428E-012</v>
      </c>
      <c r="AQ337" s="37" t="n">
        <f aca="false">0.5*(B337-B336)*(W337*AL337+W336*AL336)</f>
        <v>1.85092444945394E-013</v>
      </c>
      <c r="AR337" s="37" t="n">
        <f aca="false">0.5*(B337-B336)*(X337*AL337+X336*AL336)</f>
        <v>6.16421278150275E-011</v>
      </c>
      <c r="AS337" s="37" t="n">
        <f aca="false">0.5*(B337-B336)*(Y337*AL337+Y336*AL336)</f>
        <v>2.81028660380939E-014</v>
      </c>
      <c r="AT337" s="37" t="n">
        <f aca="false">0.5*(B337-B336)*(Z337*AL337+Z336*AL336)</f>
        <v>6.07381733420118E-011</v>
      </c>
      <c r="AU337" s="37" t="n">
        <f aca="false">0.5*(B337-B336)*(AA337*AL337+AA336*AL336)</f>
        <v>6.19638797434662E-010</v>
      </c>
      <c r="AV337" s="37" t="n">
        <f aca="false">0.5*(B337-B336)*(S337+S336)</f>
        <v>1.19375082796148E-009</v>
      </c>
      <c r="AW337" s="37" t="n">
        <f aca="false">0.5*(B337-B336)*(T337+T336)</f>
        <v>1.369202999293E-009</v>
      </c>
      <c r="AX337" s="37" t="n">
        <f aca="false">0.5*(B337-B336)*(U337+U336)</f>
        <v>1.04174829897265E-009</v>
      </c>
      <c r="AY337" s="37" t="n">
        <f aca="false">0.5*(B337-B336)*(V337+V336)</f>
        <v>1.88010965865983E-011</v>
      </c>
      <c r="AZ337" s="37" t="n">
        <f aca="false">0.5*(B337-B336)*(W337+W336)</f>
        <v>1.34724486195268E-012</v>
      </c>
      <c r="BA337" s="37" t="n">
        <f aca="false">0.5*(B337-B336)*(X337+X336)</f>
        <v>4.4901208802457E-010</v>
      </c>
      <c r="BB337" s="37" t="n">
        <f aca="false">0.5*(B337-B336)*(Y337+Y336)</f>
        <v>2.04554226333422E-013</v>
      </c>
      <c r="BC337" s="37" t="n">
        <f aca="false">0.5*(B337-B336)*(Z337+Z336)</f>
        <v>4.42428393872971E-010</v>
      </c>
      <c r="BD337" s="37" t="n">
        <f aca="false">0.5*(B337-B336)*(AA337+AA336)</f>
        <v>4.51649550379955E-009</v>
      </c>
      <c r="BE337" s="37" t="n">
        <f aca="false">IF(B337&gt;2000,AK337,-999)</f>
        <v>4.7972530641834</v>
      </c>
      <c r="BF337" s="37" t="n">
        <f aca="false">IF(AND(B337&lt;1000,AK337&gt;=-3),B337,1000000000)</f>
        <v>1000000000</v>
      </c>
    </row>
    <row r="338" customFormat="false" ht="15" hidden="false" customHeight="false" outlineLevel="0" collapsed="false">
      <c r="A338" s="5" t="n">
        <v>299</v>
      </c>
      <c r="B338" s="47" t="n">
        <f aca="false">20*10^(A338/100)</f>
        <v>19544.7444191162</v>
      </c>
      <c r="C338" s="37" t="n">
        <f aca="false">2*PI()*B338</f>
        <v>122803.250966771</v>
      </c>
      <c r="D338" s="37" t="n">
        <f aca="false">SQRT(L_Rp0^2+L_Rp1^2*C338)</f>
        <v>169048091.338203</v>
      </c>
      <c r="E338" s="5" t="str">
        <f aca="false">COMPLEX(D338,C338*L_Mp)</f>
        <v>169048091.338203+1814137939.2993i</v>
      </c>
      <c r="F338" s="5" t="str">
        <f aca="false">IMDIV(1,E338)</f>
        <v>5.09231043762644e-11-5.46480796704519e-10i</v>
      </c>
      <c r="G338" s="5" t="str">
        <f aca="false">COMPLEX(0,C338*L_Cf)</f>
        <v>1.29854341722292e-10i</v>
      </c>
      <c r="H338" s="5" t="str">
        <f aca="false">COMPLEX(0,C338*L_Cbv)</f>
        <v>1.29854341722292e-09i</v>
      </c>
      <c r="I338" s="5" t="str">
        <f aca="false">COMPLEX(L_Rsq+L_Rh,C338*(L_Md+L_Mh)-1/(C338*L_Cd))</f>
        <v>552400610.124532-8917960819.56544i</v>
      </c>
      <c r="J338" s="5" t="str">
        <f aca="false">IMDIV(1,I338)</f>
        <v>6.91926376509498e-12+1.1170466148371e-10i</v>
      </c>
      <c r="K338" s="5" t="str">
        <f aca="false">IMSUM(F338,G338,H338)</f>
        <v>5.09231043762644e-11+8.81916962240693e-10i</v>
      </c>
      <c r="L338" s="5" t="str">
        <f aca="false">IMSUM(IMPRODUCT(IMSUM(F338,G338),H338),IMPRODUCT(IMSUM(J338,L_Yv),K338))</f>
        <v>4.42947501433923e-19+7.96802601135401e-20i</v>
      </c>
      <c r="M338" s="37" t="n">
        <f aca="false">IMABS(IMDIV(IMPRODUCT(J338,F338,H338),L338))^2</f>
        <v>3.14114487012065E-020</v>
      </c>
      <c r="N338" s="5" t="str">
        <f aca="false">IMDIV(IMPRODUCT(L_Yv,K338,E338),H338)</f>
        <v>0.000371905800944047+0.00245091622783904i</v>
      </c>
      <c r="O338" s="37" t="n">
        <f aca="false">IMABS(IMSUM(1,IMPRODUCT(E338,G338),N338))^2</f>
        <v>0.585511798297765</v>
      </c>
      <c r="P338" s="37" t="n">
        <f aca="false">IMABS(N338)^2</f>
        <v>6.14530428066058E-006</v>
      </c>
      <c r="Q338" s="37" t="n">
        <f aca="false">p_Rb^2/(1+(C338*p_Rb*L_Ctot)^2)</f>
        <v>10930820101400.5</v>
      </c>
      <c r="R338" s="37" t="n">
        <f aca="false">M338*L_Kt^2*Q338</f>
        <v>6.89093476327458E-005</v>
      </c>
      <c r="S338" s="37" t="n">
        <f aca="false">L_kT4*D338</f>
        <v>2.78348162930489E-012</v>
      </c>
      <c r="T338" s="37" t="n">
        <f aca="false">L_kT4*L_Rsq*O338</f>
        <v>3.02445614913969E-012</v>
      </c>
      <c r="U338" s="37" t="n">
        <f aca="false">L_kT4*L_Rh*O338</f>
        <v>2.30113580696984E-012</v>
      </c>
      <c r="V338" s="37" t="n">
        <f aca="false">L_kT4*p_Rv*P338</f>
        <v>5.05931224549763E-014</v>
      </c>
      <c r="W338" s="37" t="n">
        <f aca="false">L_kT4/p_Rb*Q338/R338</f>
        <v>2.61187684946668E-015</v>
      </c>
      <c r="X338" s="37" t="n">
        <f aca="false">p_en^2*(1+p_fc/B338)/R338</f>
        <v>9.33508384092747E-013</v>
      </c>
      <c r="Y338" s="37" t="n">
        <f aca="false">p_in^2*Q338/R338</f>
        <v>3.96565214913098E-016</v>
      </c>
      <c r="Z338" s="37" t="n">
        <f aca="false">p_eo^2/L_G^2/R338</f>
        <v>9.19987343898738E-013</v>
      </c>
      <c r="AA338" s="37" t="n">
        <f aca="false">SUM(S338:Z338)</f>
        <v>1.00161708779253E-011</v>
      </c>
      <c r="AB338" s="47" t="n">
        <f aca="false">10*LOG10(AA338/L_PREF^2)</f>
        <v>-16.0135826624566</v>
      </c>
      <c r="AC338" s="47" t="n">
        <f aca="false">10*LOG10(S338/L_PREF^2)</f>
        <v>-21.5747163197487</v>
      </c>
      <c r="AD338" s="47" t="n">
        <f aca="false">10*LOG10(T338/L_PREF^2)</f>
        <v>-21.214126991699</v>
      </c>
      <c r="AE338" s="47" t="n">
        <f aca="false">10*LOG10(U338/L_PREF^2)</f>
        <v>-22.4011774098737</v>
      </c>
      <c r="AF338" s="47" t="n">
        <f aca="false">10*LOG10(V338/L_PREF^2)</f>
        <v>-38.9796850774625</v>
      </c>
      <c r="AG338" s="47" t="n">
        <f aca="false">10*LOG10(W338/L_PREF^2)</f>
        <v>-51.8510729531678</v>
      </c>
      <c r="AH338" s="47" t="n">
        <f aca="false">10*LOG10(X338/L_PREF^2)</f>
        <v>-26.3194176850846</v>
      </c>
      <c r="AI338" s="47" t="n">
        <f aca="false">10*LOG10(Y338/L_PREF^2)</f>
        <v>-60.037453743327</v>
      </c>
      <c r="AJ338" s="47" t="n">
        <f aca="false">10*LOG10(Z338/L_PREF^2)</f>
        <v>-26.3827813845279</v>
      </c>
      <c r="AK338" s="47" t="n">
        <f aca="false">10*LOG10(R338/$R$6)</f>
        <v>5.09507233810184</v>
      </c>
      <c r="AL338" s="37" t="n">
        <f aca="false">(12194^2*B338^4/((B338^2+20.6^2)*SQRT((B338^2+107.7^2)*(B338^2+737.9^2))*(B338^2+12194^2))*1.2589254)^2</f>
        <v>0.124242189690093</v>
      </c>
      <c r="AM338" s="37" t="n">
        <f aca="false">0.5*(B338-B337)*(S338*AL338+S337*AL337)</f>
        <v>1.58341070366174E-010</v>
      </c>
      <c r="AN338" s="37" t="n">
        <f aca="false">0.5*(B338-B337)*(T338*AL338+T337*AL337)</f>
        <v>1.75343006712269E-010</v>
      </c>
      <c r="AO338" s="37" t="n">
        <f aca="false">0.5*(B338-B337)*(U338*AL338+U337*AL337)</f>
        <v>1.33408471259247E-010</v>
      </c>
      <c r="AP338" s="37" t="n">
        <f aca="false">0.5*(B338-B337)*(V338*AL338+V337*AL337)</f>
        <v>2.74394661638543E-012</v>
      </c>
      <c r="AQ338" s="37" t="n">
        <f aca="false">0.5*(B338-B337)*(W338*AL338+W337*AL337)</f>
        <v>1.58642911538276E-013</v>
      </c>
      <c r="AR338" s="37" t="n">
        <f aca="false">0.5*(B338-B337)*(X338*AL338+X337*AL337)</f>
        <v>5.53131424173442E-011</v>
      </c>
      <c r="AS338" s="37" t="n">
        <f aca="false">0.5*(B338-B337)*(Y338*AL338+Y337*AL337)</f>
        <v>2.40869933517202E-014</v>
      </c>
      <c r="AT338" s="37" t="n">
        <f aca="false">0.5*(B338-B337)*(Z338*AL338+Z337*AL337)</f>
        <v>5.45085322944867E-011</v>
      </c>
      <c r="AU338" s="37" t="n">
        <f aca="false">0.5*(B338-B337)*(AA338*AL338+AA337*AL337)</f>
        <v>5.79840899570796E-010</v>
      </c>
      <c r="AV338" s="37" t="n">
        <f aca="false">0.5*(B338-B337)*(S338+S337)</f>
        <v>1.23272680131972E-009</v>
      </c>
      <c r="AW338" s="37" t="n">
        <f aca="false">0.5*(B338-B337)*(T338+T337)</f>
        <v>1.36427112342687E-009</v>
      </c>
      <c r="AX338" s="37" t="n">
        <f aca="false">0.5*(B338-B337)*(U338+U337)</f>
        <v>1.0379959165305E-009</v>
      </c>
      <c r="AY338" s="37" t="n">
        <f aca="false">0.5*(B338-B337)*(V338+V337)</f>
        <v>2.13957355717042E-011</v>
      </c>
      <c r="AZ338" s="37" t="n">
        <f aca="false">0.5*(B338-B337)*(W338+W337)</f>
        <v>1.23257070895022E-012</v>
      </c>
      <c r="BA338" s="37" t="n">
        <f aca="false">0.5*(B338-B337)*(X338+X337)</f>
        <v>4.30077113767464E-010</v>
      </c>
      <c r="BB338" s="37" t="n">
        <f aca="false">0.5*(B338-B337)*(Y338+Y337)</f>
        <v>1.87143076133257E-013</v>
      </c>
      <c r="BC338" s="37" t="n">
        <f aca="false">0.5*(B338-B337)*(Z338+Z337)</f>
        <v>4.23821840881101E-010</v>
      </c>
      <c r="BD338" s="37" t="n">
        <f aca="false">0.5*(B338-B337)*(AA338+AA337)</f>
        <v>4.51170824528245E-009</v>
      </c>
      <c r="BE338" s="37" t="n">
        <f aca="false">IF(B338&gt;2000,AK338,-999)</f>
        <v>5.09507233810184</v>
      </c>
      <c r="BF338" s="37" t="n">
        <f aca="false">IF(AND(B338&lt;1000,AK338&gt;=-3),B338,1000000000)</f>
        <v>1000000000</v>
      </c>
    </row>
    <row r="339" customFormat="false" ht="15" hidden="false" customHeight="false" outlineLevel="0" collapsed="false">
      <c r="A339" s="5" t="n">
        <v>300</v>
      </c>
      <c r="B339" s="47" t="n">
        <f aca="false">20*10^(A339/100)</f>
        <v>20000</v>
      </c>
      <c r="C339" s="37" t="n">
        <f aca="false">2*PI()*B339</f>
        <v>125663.706143592</v>
      </c>
      <c r="D339" s="37" t="n">
        <f aca="false">SQRT(L_Rp0^2+L_Rp1^2*C339)</f>
        <v>170604983.269681</v>
      </c>
      <c r="E339" s="5" t="str">
        <f aca="false">COMPLEX(D339,C339*L_Mp)</f>
        <v>170604983.269681+1856394640.31562i</v>
      </c>
      <c r="F339" s="5" t="str">
        <f aca="false">IMDIV(1,E339)</f>
        <v>4.90906205794719e-11-5.34167075233931e-10i</v>
      </c>
      <c r="G339" s="5" t="str">
        <f aca="false">COMPLEX(0,C339*L_Cf)</f>
        <v>1.32879037901651e-10i</v>
      </c>
      <c r="H339" s="5" t="str">
        <f aca="false">COMPLEX(0,C339*L_Cbv)</f>
        <v>1.32879037901651e-09i</v>
      </c>
      <c r="I339" s="5" t="str">
        <f aca="false">COMPLEX(L_Rsq+L_Rh,C339*(L_Md+L_Mh)-1/(C339*L_Cd))</f>
        <v>552400610.124532-8693652252.7181i</v>
      </c>
      <c r="J339" s="5" t="str">
        <f aca="false">IMDIV(1,I339)</f>
        <v>7.27946936085572e-12+1.14563912580272e-10i</v>
      </c>
      <c r="K339" s="5" t="str">
        <f aca="false">IMSUM(F339,G339,H339)</f>
        <v>4.90906205794719e-11+9.2750234168423e-10i</v>
      </c>
      <c r="L339" s="5" t="str">
        <f aca="false">IMSUM(IMPRODUCT(IMSUM(F339,G339),H339),IMPRODUCT(IMSUM(J339,L_Yv),K339))</f>
        <v>4.27424920940415e-19+7.94618874523109e-20i</v>
      </c>
      <c r="M339" s="37" t="n">
        <f aca="false">IMABS(IMDIV(IMPRODUCT(J339,F339,H339),L339))^2</f>
        <v>3.54233113635241E-020</v>
      </c>
      <c r="N339" s="5" t="str">
        <f aca="false">IMDIV(IMPRODUCT(L_Yv,K339,E339),H339)</f>
        <v>0.000375330963193299+0.00257893991187431i</v>
      </c>
      <c r="O339" s="37" t="n">
        <f aca="false">IMABS(IMSUM(1,IMPRODUCT(E339,G339),N339))^2</f>
        <v>0.568700281509991</v>
      </c>
      <c r="P339" s="37" t="n">
        <f aca="false">IMABS(N339)^2</f>
        <v>6.79180440098988E-006</v>
      </c>
      <c r="Q339" s="37" t="n">
        <f aca="false">p_Rb^2/(1+(C339*p_Rb*L_Ctot)^2)</f>
        <v>10438852155976.7</v>
      </c>
      <c r="R339" s="37" t="n">
        <f aca="false">M339*L_Kt^2*Q339</f>
        <v>7.42128872901954E-005</v>
      </c>
      <c r="S339" s="37" t="n">
        <f aca="false">L_kT4*D339</f>
        <v>2.8091168201892E-012</v>
      </c>
      <c r="T339" s="37" t="n">
        <f aca="false">L_kT4*L_Rsq*O339</f>
        <v>2.93761640402615E-012</v>
      </c>
      <c r="U339" s="37" t="n">
        <f aca="false">L_kT4*L_Rh*O339</f>
        <v>2.23506440864399E-012</v>
      </c>
      <c r="V339" s="37" t="n">
        <f aca="false">L_kT4*p_Rv*P339</f>
        <v>5.591563510222E-014</v>
      </c>
      <c r="W339" s="37" t="n">
        <f aca="false">L_kT4/p_Rb*Q339/R339</f>
        <v>2.31606906618482E-015</v>
      </c>
      <c r="X339" s="37" t="n">
        <f aca="false">p_en^2*(1+p_fc/B339)/R339</f>
        <v>8.66695830718576E-013</v>
      </c>
      <c r="Y339" s="37" t="n">
        <f aca="false">p_in^2*Q339/R339</f>
        <v>3.51652271496914E-016</v>
      </c>
      <c r="Z339" s="37" t="n">
        <f aca="false">p_eo^2/L_G^2/R339</f>
        <v>8.54241493806158E-013</v>
      </c>
      <c r="AA339" s="37" t="n">
        <f aca="false">SUM(S339:Z339)</f>
        <v>9.76131831382398E-012</v>
      </c>
      <c r="AB339" s="47" t="n">
        <f aca="false">10*LOG10(AA339/L_PREF^2)</f>
        <v>-16.1255151610435</v>
      </c>
      <c r="AC339" s="47" t="n">
        <f aca="false">10*LOG10(S339/L_PREF^2)</f>
        <v>-21.5349019114076</v>
      </c>
      <c r="AD339" s="47" t="n">
        <f aca="false">10*LOG10(T339/L_PREF^2)</f>
        <v>-21.3406490664405</v>
      </c>
      <c r="AE339" s="47" t="n">
        <f aca="false">10*LOG10(U339/L_PREF^2)</f>
        <v>-22.5276994846152</v>
      </c>
      <c r="AF339" s="47" t="n">
        <f aca="false">10*LOG10(V339/L_PREF^2)</f>
        <v>-38.5452672925213</v>
      </c>
      <c r="AG339" s="47" t="n">
        <f aca="false">10*LOG10(W339/L_PREF^2)</f>
        <v>-52.3730848522951</v>
      </c>
      <c r="AH339" s="47" t="n">
        <f aca="false">10*LOG10(X339/L_PREF^2)</f>
        <v>-26.6419328395329</v>
      </c>
      <c r="AI339" s="47" t="n">
        <f aca="false">10*LOG10(Y339/L_PREF^2)</f>
        <v>-60.5594656424542</v>
      </c>
      <c r="AJ339" s="47" t="n">
        <f aca="false">10*LOG10(Z339/L_PREF^2)</f>
        <v>-26.7047932836573</v>
      </c>
      <c r="AK339" s="47" t="n">
        <f aca="false">10*LOG10(R339/$R$6)</f>
        <v>5.41708423723125</v>
      </c>
      <c r="AL339" s="37" t="n">
        <f aca="false">(12194^2*B339^4/((B339^2+20.6^2)*SQRT((B339^2+107.7^2)*(B339^2+737.9^2))*(B339^2+12194^2))*1.2589254)^2</f>
        <v>0.116230636454259</v>
      </c>
      <c r="AM339" s="37" t="n">
        <f aca="false">0.5*(B339-B338)*(S339*AL339+S338*AL338)</f>
        <v>1.53041285639817E-010</v>
      </c>
      <c r="AN339" s="37" t="n">
        <f aca="false">0.5*(B339-B338)*(T339*AL339+T338*AL338)</f>
        <v>1.63256035029043E-010</v>
      </c>
      <c r="AO339" s="37" t="n">
        <f aca="false">0.5*(B339-B338)*(U339*AL339+U338*AL338)</f>
        <v>1.24212185392774E-010</v>
      </c>
      <c r="AP339" s="37" t="n">
        <f aca="false">0.5*(B339-B338)*(V339*AL339+V338*AL338)</f>
        <v>2.91020085361894E-012</v>
      </c>
      <c r="AQ339" s="37" t="n">
        <f aca="false">0.5*(B339-B338)*(W339*AL339+W338*AL338)</f>
        <v>1.35143411469662E-013</v>
      </c>
      <c r="AR339" s="37" t="n">
        <f aca="false">0.5*(B339-B338)*(X339*AL339+X338*AL338)</f>
        <v>4.9330978883181E-011</v>
      </c>
      <c r="AS339" s="37" t="n">
        <f aca="false">0.5*(B339-B338)*(Y339*AL339+Y338*AL338)</f>
        <v>2.05190286917619E-014</v>
      </c>
      <c r="AT339" s="37" t="n">
        <f aca="false">0.5*(B339-B338)*(Z339*AL339+Z338*AL338)</f>
        <v>4.86190822679573E-011</v>
      </c>
      <c r="AU339" s="37" t="n">
        <f aca="false">0.5*(B339-B338)*(AA339*AL339+AA338*AL338)</f>
        <v>5.41525430506553E-010</v>
      </c>
      <c r="AV339" s="37" t="n">
        <f aca="false">0.5*(B339-B338)*(S339+S338)</f>
        <v>1.27303082788708E-009</v>
      </c>
      <c r="AW339" s="37" t="n">
        <f aca="false">0.5*(B339-B338)*(T339+T338)</f>
        <v>1.35713340173137E-009</v>
      </c>
      <c r="AX339" s="37" t="n">
        <f aca="false">0.5*(B339-B338)*(U339+U338)</f>
        <v>1.0325652320822E-009</v>
      </c>
      <c r="AY339" s="37" t="n">
        <f aca="false">0.5*(B339-B338)*(V339+V338)</f>
        <v>2.42443531454555E-011</v>
      </c>
      <c r="AZ339" s="37" t="n">
        <f aca="false">0.5*(B339-B338)*(W339+W338)</f>
        <v>1.12173744019689E-012</v>
      </c>
      <c r="BA339" s="37" t="n">
        <f aca="false">0.5*(B339-B338)*(X339+X338)</f>
        <v>4.09776507761678E-010</v>
      </c>
      <c r="BB339" s="37" t="n">
        <f aca="false">0.5*(B339-B338)*(Y339+Y338)</f>
        <v>1.70315093201495E-013</v>
      </c>
      <c r="BC339" s="37" t="n">
        <f aca="false">0.5*(B339-B338)*(Z339+Z338)</f>
        <v>4.03863790065047E-010</v>
      </c>
      <c r="BD339" s="37" t="n">
        <f aca="false">0.5*(B339-B338)*(AA339+AA338)</f>
        <v>4.50190616520623E-009</v>
      </c>
      <c r="BE339" s="37" t="n">
        <f aca="false">IF(B339&gt;2000,AK339,-999)</f>
        <v>5.41708423723125</v>
      </c>
      <c r="BF339" s="37" t="n">
        <f aca="false">IF(AND(B339&lt;1000,AK339&gt;=-3),B339,1000000000)</f>
        <v>1000000000</v>
      </c>
    </row>
    <row r="340" customFormat="false" ht="15" hidden="false" customHeight="false" outlineLevel="0" collapsed="false">
      <c r="A340" s="5" t="n">
        <v>301</v>
      </c>
      <c r="B340" s="47" t="n">
        <f aca="false">20*10^(A340/100)</f>
        <v>20465.8598456151</v>
      </c>
      <c r="C340" s="37" t="n">
        <f aca="false">2*PI()*B340</f>
        <v>128590.789880765</v>
      </c>
      <c r="D340" s="37" t="n">
        <f aca="false">SQRT(L_Rp0^2+L_Rp1^2*C340)</f>
        <v>172183567.320067</v>
      </c>
      <c r="E340" s="5" t="str">
        <f aca="false">COMPLEX(D340,C340*L_Mp)</f>
        <v>172183567.320067+1899635626.34253i</v>
      </c>
      <c r="F340" s="5" t="str">
        <f aca="false">IMDIV(1,E340)</f>
        <v>4.73257655685621e-11-5.22127121172136e-10i</v>
      </c>
      <c r="G340" s="5" t="str">
        <f aca="false">COMPLEX(0,C340*L_Cf)</f>
        <v>1.35974188305769e-10i</v>
      </c>
      <c r="H340" s="5" t="str">
        <f aca="false">COMPLEX(0,C340*L_Cbv)</f>
        <v>1.35974188305769e-09i</v>
      </c>
      <c r="I340" s="5" t="str">
        <f aca="false">COMPLEX(L_Rsq+L_Rh,C340*(L_Md+L_Mh)-1/(C340*L_Cd))</f>
        <v>552400610.124532-8473953175.36924i</v>
      </c>
      <c r="J340" s="5" t="str">
        <f aca="false">IMDIV(1,I340)</f>
        <v>7.66020535977005e-12+1.17509322659456e-10i</v>
      </c>
      <c r="K340" s="5" t="str">
        <f aca="false">IMSUM(F340,G340,H340)</f>
        <v>4.73257655685621e-11+9.73588950191323e-10i</v>
      </c>
      <c r="L340" s="5" t="str">
        <f aca="false">IMSUM(IMPRODUCT(IMSUM(F340,G340),H340),IMPRODUCT(IMSUM(J340,L_Yv),K340))</f>
        <v>4.11119714612451e-19+7.93171134424965e-20i</v>
      </c>
      <c r="M340" s="37" t="n">
        <f aca="false">IMABS(IMDIV(IMPRODUCT(J340,F340,H340),L340))^2</f>
        <v>4.01973037543532E-020</v>
      </c>
      <c r="N340" s="5" t="str">
        <f aca="false">IMDIV(IMPRODUCT(L_Yv,K340,E340),H340)</f>
        <v>0.000378803848104148+0.00270833098398719i</v>
      </c>
      <c r="O340" s="37" t="n">
        <f aca="false">IMABS(IMSUM(1,IMPRODUCT(E340,G340),N340))^2</f>
        <v>0.551361153843187</v>
      </c>
      <c r="P340" s="37" t="n">
        <f aca="false">IMABS(N340)^2</f>
        <v>7.47854907416353E-006</v>
      </c>
      <c r="Q340" s="37" t="n">
        <f aca="false">p_Rb^2/(1+(C340*p_Rb*L_Ctot)^2)</f>
        <v>9969026415536.3</v>
      </c>
      <c r="R340" s="37" t="n">
        <f aca="false">M340*L_Kt^2*Q340</f>
        <v>8.04242640618027E-005</v>
      </c>
      <c r="S340" s="37" t="n">
        <f aca="false">L_kT4*D340</f>
        <v>2.83510918525986E-012</v>
      </c>
      <c r="T340" s="37" t="n">
        <f aca="false">L_kT4*L_Rsq*O340</f>
        <v>2.84805128946305E-012</v>
      </c>
      <c r="U340" s="37" t="n">
        <f aca="false">L_kT4*L_Rh*O340</f>
        <v>2.16691943248517E-012</v>
      </c>
      <c r="V340" s="37" t="n">
        <f aca="false">L_kT4*p_Rv*P340</f>
        <v>6.15694735060431E-014</v>
      </c>
      <c r="W340" s="37" t="n">
        <f aca="false">L_kT4/p_Rb*Q340/R340</f>
        <v>2.04100345068559E-015</v>
      </c>
      <c r="X340" s="37" t="n">
        <f aca="false">p_en^2*(1+p_fc/B340)/R340</f>
        <v>7.99668068597858E-013</v>
      </c>
      <c r="Y340" s="37" t="n">
        <f aca="false">p_in^2*Q340/R340</f>
        <v>3.09888642806713E-016</v>
      </c>
      <c r="Z340" s="37" t="n">
        <f aca="false">p_eo^2/L_G^2/R340</f>
        <v>7.88266183570267E-013</v>
      </c>
      <c r="AA340" s="37" t="n">
        <f aca="false">SUM(S340:Z340)</f>
        <v>9.50193452497575E-012</v>
      </c>
      <c r="AB340" s="47" t="n">
        <f aca="false">10*LOG10(AA340/L_PREF^2)</f>
        <v>-16.2424795782946</v>
      </c>
      <c r="AC340" s="47" t="n">
        <f aca="false">10*LOG10(S340/L_PREF^2)</f>
        <v>-21.4949020229912</v>
      </c>
      <c r="AD340" s="47" t="n">
        <f aca="false">10*LOG10(T340/L_PREF^2)</f>
        <v>-21.4751218525001</v>
      </c>
      <c r="AE340" s="47" t="n">
        <f aca="false">10*LOG10(U340/L_PREF^2)</f>
        <v>-22.6621722706748</v>
      </c>
      <c r="AF340" s="47" t="n">
        <f aca="false">10*LOG10(V340/L_PREF^2)</f>
        <v>-38.1269455146716</v>
      </c>
      <c r="AG340" s="47" t="n">
        <f aca="false">10*LOG10(W340/L_PREF^2)</f>
        <v>-52.9221625235788</v>
      </c>
      <c r="AH340" s="47" t="n">
        <f aca="false">10*LOG10(X340/L_PREF^2)</f>
        <v>-26.9915023669949</v>
      </c>
      <c r="AI340" s="47" t="n">
        <f aca="false">10*LOG10(Y340/L_PREF^2)</f>
        <v>-61.1085433137379</v>
      </c>
      <c r="AJ340" s="47" t="n">
        <f aca="false">10*LOG10(Z340/L_PREF^2)</f>
        <v>-27.053870954943</v>
      </c>
      <c r="AK340" s="47" t="n">
        <f aca="false">10*LOG10(R340/$R$6)</f>
        <v>5.766161908517</v>
      </c>
      <c r="AL340" s="37" t="n">
        <f aca="false">(12194^2*B340^4/((B340^2+20.6^2)*SQRT((B340^2+107.7^2)*(B340^2+737.9^2))*(B340^2+12194^2))*1.2589254)^2</f>
        <v>0.10864430198919</v>
      </c>
      <c r="AM340" s="37" t="n">
        <v>0</v>
      </c>
      <c r="AN340" s="37" t="n">
        <v>0</v>
      </c>
      <c r="AO340" s="37" t="n">
        <v>0</v>
      </c>
      <c r="AP340" s="37" t="n">
        <v>0</v>
      </c>
      <c r="AQ340" s="37" t="n">
        <v>0</v>
      </c>
      <c r="AR340" s="37" t="n">
        <v>0</v>
      </c>
      <c r="AS340" s="37" t="n">
        <v>0</v>
      </c>
      <c r="AT340" s="37" t="n">
        <v>0</v>
      </c>
      <c r="AU340" s="37" t="n">
        <v>0</v>
      </c>
      <c r="AV340" s="37" t="n">
        <v>0</v>
      </c>
      <c r="AW340" s="37" t="n">
        <v>0</v>
      </c>
      <c r="AX340" s="37" t="n">
        <v>0</v>
      </c>
      <c r="AY340" s="37" t="n">
        <v>0</v>
      </c>
      <c r="AZ340" s="37" t="n">
        <v>0</v>
      </c>
      <c r="BA340" s="37" t="n">
        <v>0</v>
      </c>
      <c r="BB340" s="37" t="n">
        <v>0</v>
      </c>
      <c r="BC340" s="37" t="n">
        <v>0</v>
      </c>
      <c r="BD340" s="37" t="n">
        <v>0</v>
      </c>
      <c r="BE340" s="37" t="n">
        <f aca="false">IF(B340&gt;2000,AK340,-999)</f>
        <v>5.766161908517</v>
      </c>
      <c r="BF340" s="37" t="n">
        <f aca="false">IF(AND(B340&lt;1000,AK340&gt;=-3),B340,1000000000)</f>
        <v>1000000000</v>
      </c>
    </row>
    <row r="341" customFormat="false" ht="15" hidden="false" customHeight="false" outlineLevel="0" collapsed="false">
      <c r="A341" s="5" t="n">
        <v>302</v>
      </c>
      <c r="B341" s="47" t="n">
        <f aca="false">20*10^(A341/100)</f>
        <v>20942.570961018</v>
      </c>
      <c r="C341" s="37" t="n">
        <f aca="false">2*PI()*B341</f>
        <v>131586.054156834</v>
      </c>
      <c r="D341" s="37" t="n">
        <f aca="false">SQRT(L_Rp0^2+L_Rp1^2*C341)</f>
        <v>173784077.838588</v>
      </c>
      <c r="E341" s="5" t="str">
        <f aca="false">COMPLEX(D341,C341*L_Mp)</f>
        <v>173784077.838588+1943883824.32317i</v>
      </c>
      <c r="F341" s="5" t="str">
        <f aca="false">IMDIV(1,E341)</f>
        <v>4.56259686044238e-11-5.10355053479604e-10i</v>
      </c>
      <c r="G341" s="5" t="str">
        <f aca="false">COMPLEX(0,C341*L_Cf)</f>
        <v>1.39141434024357e-10i</v>
      </c>
      <c r="H341" s="5" t="str">
        <f aca="false">COMPLEX(0,C341*L_Cbv)</f>
        <v>1.39141434024357e-09i</v>
      </c>
      <c r="I341" s="5" t="str">
        <f aca="false">COMPLEX(L_Rsq+L_Rh,C341*(L_Md+L_Mh)-1/(C341*L_Cd))</f>
        <v>552400610.124532-8258747100.15998i</v>
      </c>
      <c r="J341" s="5" t="str">
        <f aca="false">IMDIV(1,I341)</f>
        <v>8.06282412116717e-12+1.20544445660148e-10i</v>
      </c>
      <c r="K341" s="5" t="str">
        <f aca="false">IMSUM(F341,G341,H341)</f>
        <v>4.56259686044238e-11+1.02020072078832e-09i</v>
      </c>
      <c r="L341" s="5" t="str">
        <f aca="false">IMSUM(IMPRODUCT(IMSUM(F341,G341),H341),IMPRODUCT(IMSUM(J341,L_Yv),K341))</f>
        <v>3.93991549151663e-19+7.92506845184067e-20i</v>
      </c>
      <c r="M341" s="37" t="n">
        <f aca="false">IMABS(IMDIV(IMPRODUCT(J341,F341,H341),L341))^2</f>
        <v>4.59355215299061E-020</v>
      </c>
      <c r="N341" s="5" t="str">
        <f aca="false">IMDIV(IMPRODUCT(L_Yv,K341,E341),H341)</f>
        <v>0.000382324971244893+0.00283915804903675i</v>
      </c>
      <c r="O341" s="37" t="n">
        <f aca="false">IMABS(IMSUM(1,IMPRODUCT(E341,G341),N341))^2</f>
        <v>0.533495085459528</v>
      </c>
      <c r="P341" s="37" t="n">
        <f aca="false">IMABS(N341)^2</f>
        <v>8.20699081104758E-006</v>
      </c>
      <c r="Q341" s="37" t="n">
        <f aca="false">p_Rb^2/(1+(C341*p_Rb*L_Ctot)^2)</f>
        <v>9520346316693.28</v>
      </c>
      <c r="R341" s="37" t="n">
        <f aca="false">M341*L_Kt^2*Q341</f>
        <v>8.77685297529406E-005</v>
      </c>
      <c r="S341" s="37" t="n">
        <f aca="false">L_kT4*D341</f>
        <v>2.86146258322223E-012</v>
      </c>
      <c r="T341" s="37" t="n">
        <f aca="false">L_kT4*L_Rsq*O341</f>
        <v>2.75576426716735E-012</v>
      </c>
      <c r="U341" s="37" t="n">
        <f aca="false">L_kT4*L_Rh*O341</f>
        <v>2.09670351231596E-012</v>
      </c>
      <c r="V341" s="37" t="n">
        <f aca="false">L_kT4*p_Rv*P341</f>
        <v>6.75665959124097E-014</v>
      </c>
      <c r="W341" s="37" t="n">
        <f aca="false">L_kT4/p_Rb*Q341/R341</f>
        <v>1.78604341342849E-015</v>
      </c>
      <c r="X341" s="37" t="n">
        <f aca="false">p_en^2*(1+p_fc/B341)/R341</f>
        <v>7.32672608377291E-013</v>
      </c>
      <c r="Y341" s="37" t="n">
        <f aca="false">p_in^2*Q341/R341</f>
        <v>2.71177674489139E-016</v>
      </c>
      <c r="Z341" s="37" t="n">
        <f aca="false">p_eo^2/L_G^2/R341</f>
        <v>7.22305909383432E-013</v>
      </c>
      <c r="AA341" s="37" t="n">
        <f aca="false">SUM(S341:Z341)</f>
        <v>9.23853269746659E-012</v>
      </c>
      <c r="AB341" s="47" t="n">
        <f aca="false">10*LOG10(AA341/L_PREF^2)</f>
        <v>-16.3645699110304</v>
      </c>
      <c r="AC341" s="47" t="n">
        <f aca="false">10*LOG10(S341/L_PREF^2)</f>
        <v>-21.4547191992555</v>
      </c>
      <c r="AD341" s="47" t="n">
        <f aca="false">10*LOG10(T341/L_PREF^2)</f>
        <v>-21.6181792680321</v>
      </c>
      <c r="AE341" s="47" t="n">
        <f aca="false">10*LOG10(U341/L_PREF^2)</f>
        <v>-22.8052296862069</v>
      </c>
      <c r="AF341" s="47" t="n">
        <f aca="false">10*LOG10(V341/L_PREF^2)</f>
        <v>-37.7232795213803</v>
      </c>
      <c r="AG341" s="47" t="n">
        <f aca="false">10*LOG10(W341/L_PREF^2)</f>
        <v>-53.5016798023384</v>
      </c>
      <c r="AH341" s="47" t="n">
        <f aca="false">10*LOG10(X341/L_PREF^2)</f>
        <v>-27.3715003597425</v>
      </c>
      <c r="AI341" s="47" t="n">
        <f aca="false">10*LOG10(Y341/L_PREF^2)</f>
        <v>-61.6880605924976</v>
      </c>
      <c r="AJ341" s="47" t="n">
        <f aca="false">10*LOG10(Z341/L_PREF^2)</f>
        <v>-27.4333882337046</v>
      </c>
      <c r="AK341" s="47" t="n">
        <f aca="false">10*LOG10(R341/$R$6)</f>
        <v>6.14567918727856</v>
      </c>
      <c r="AL341" s="37" t="n">
        <f aca="false">(12194^2*B341^4/((B341^2+20.6^2)*SQRT((B341^2+107.7^2)*(B341^2+737.9^2))*(B341^2+12194^2))*1.2589254)^2</f>
        <v>0.101469591136507</v>
      </c>
      <c r="AM341" s="37" t="n">
        <v>0</v>
      </c>
      <c r="AN341" s="37" t="n">
        <v>0</v>
      </c>
      <c r="AO341" s="37" t="n">
        <v>0</v>
      </c>
      <c r="AP341" s="37" t="n">
        <v>0</v>
      </c>
      <c r="AQ341" s="37" t="n">
        <v>0</v>
      </c>
      <c r="AR341" s="37" t="n">
        <v>0</v>
      </c>
      <c r="AS341" s="37" t="n">
        <v>0</v>
      </c>
      <c r="AT341" s="37" t="n">
        <v>0</v>
      </c>
      <c r="AU341" s="37" t="n">
        <v>0</v>
      </c>
      <c r="AV341" s="37" t="n">
        <v>0</v>
      </c>
      <c r="AW341" s="37" t="n">
        <v>0</v>
      </c>
      <c r="AX341" s="37" t="n">
        <v>0</v>
      </c>
      <c r="AY341" s="37" t="n">
        <v>0</v>
      </c>
      <c r="AZ341" s="37" t="n">
        <v>0</v>
      </c>
      <c r="BA341" s="37" t="n">
        <v>0</v>
      </c>
      <c r="BB341" s="37" t="n">
        <v>0</v>
      </c>
      <c r="BC341" s="37" t="n">
        <v>0</v>
      </c>
      <c r="BD341" s="37" t="n">
        <v>0</v>
      </c>
      <c r="BE341" s="37" t="n">
        <f aca="false">IF(B341&gt;2000,AK341,-999)</f>
        <v>6.14567918727856</v>
      </c>
      <c r="BF341" s="37" t="n">
        <f aca="false">IF(AND(B341&lt;1000,AK341&gt;=-3),B341,1000000000)</f>
        <v>1000000000</v>
      </c>
    </row>
    <row r="342" customFormat="false" ht="15" hidden="false" customHeight="false" outlineLevel="0" collapsed="false">
      <c r="A342" s="5" t="n">
        <v>303</v>
      </c>
      <c r="B342" s="47" t="n">
        <f aca="false">20*10^(A342/100)</f>
        <v>21430.3861047521</v>
      </c>
      <c r="C342" s="37" t="n">
        <f aca="false">2*PI()*B342</f>
        <v>134651.087100564</v>
      </c>
      <c r="D342" s="37" t="n">
        <f aca="false">SQRT(L_Rp0^2+L_Rp1^2*C342)</f>
        <v>175406751.50669</v>
      </c>
      <c r="E342" s="5" t="str">
        <f aca="false">COMPLEX(D342,C342*L_Mp)</f>
        <v>175406751.50669+1989162695.23781i</v>
      </c>
      <c r="F342" s="5" t="str">
        <f aca="false">IMDIV(1,E342)</f>
        <v>4.39887595280793e-11-4.98845105512971e-10i</v>
      </c>
      <c r="G342" s="5" t="str">
        <f aca="false">COMPLEX(0,C342*L_Cf)</f>
        <v>1.42382454373019e-10i</v>
      </c>
      <c r="H342" s="5" t="str">
        <f aca="false">COMPLEX(0,C342*L_Cbv)</f>
        <v>1.42382454373019e-09i</v>
      </c>
      <c r="I342" s="5" t="str">
        <f aca="false">COMPLEX(L_Rsq+L_Rh,C342*(L_Md+L_Mh)-1/(C342*L_Cd))</f>
        <v>552400610.124532-8047919921.98067i</v>
      </c>
      <c r="J342" s="5" t="str">
        <f aca="false">IMDIV(1,I342)</f>
        <v>8.48878567701268e-12+1.23673048348106e-10i</v>
      </c>
      <c r="K342" s="5" t="str">
        <f aca="false">IMSUM(F342,G342,H342)</f>
        <v>4.39887595280793e-11+1.06736189259024e-09i</v>
      </c>
      <c r="L342" s="5" t="str">
        <f aca="false">IMSUM(IMPRODUCT(IMSUM(F342,G342),H342),IMPRODUCT(IMSUM(J342,L_Yv),K342))</f>
        <v>3.75997761339845e-19+7.92678295794036e-20i</v>
      </c>
      <c r="M342" s="37" t="n">
        <f aca="false">IMABS(IMDIV(IMPRODUCT(J342,F342,H342),L342))^2</f>
        <v>5.29107190611634E-020</v>
      </c>
      <c r="N342" s="5" t="str">
        <f aca="false">IMDIV(IMPRODUCT(L_Yv,K342,E342),H342)</f>
        <v>0.000385894853314719+0.00297149047326462i</v>
      </c>
      <c r="O342" s="37" t="n">
        <f aca="false">IMABS(IMSUM(1,IMPRODUCT(E342,G342),N342))^2</f>
        <v>0.515105240882889</v>
      </c>
      <c r="P342" s="37" t="n">
        <f aca="false">IMABS(N342)^2</f>
        <v>8.97867047051719E-006</v>
      </c>
      <c r="Q342" s="37" t="n">
        <f aca="false">p_Rb^2/(1+(C342*p_Rb*L_Ctot)^2)</f>
        <v>9091860148802.47</v>
      </c>
      <c r="R342" s="37" t="n">
        <f aca="false">M342*L_Kt^2*Q342</f>
        <v>9.65459000314306E-005</v>
      </c>
      <c r="S342" s="37" t="n">
        <f aca="false">L_kT4*D342</f>
        <v>2.88818091118301E-012</v>
      </c>
      <c r="T342" s="37" t="n">
        <f aca="false">L_kT4*L_Rsq*O342</f>
        <v>2.66077168345983E-012</v>
      </c>
      <c r="U342" s="37" t="n">
        <f aca="false">L_kT4*L_Rh*O342</f>
        <v>2.02442908511749E-012</v>
      </c>
      <c r="V342" s="37" t="n">
        <f aca="false">L_kT4*p_Rv*P342</f>
        <v>7.39196879196559E-014</v>
      </c>
      <c r="W342" s="37" t="n">
        <f aca="false">L_kT4/p_Rb*Q342/R342</f>
        <v>1.55059007185391E-015</v>
      </c>
      <c r="X342" s="37" t="n">
        <f aca="false">p_en^2*(1+p_fc/B342)/R342</f>
        <v>6.6599038752886E-013</v>
      </c>
      <c r="Y342" s="37" t="n">
        <f aca="false">p_in^2*Q342/R342</f>
        <v>2.35428437298803E-016</v>
      </c>
      <c r="Z342" s="37" t="n">
        <f aca="false">p_eo^2/L_G^2/R342</f>
        <v>6.56638217446894E-013</v>
      </c>
      <c r="AA342" s="37" t="n">
        <f aca="false">SUM(S342:Z342)</f>
        <v>8.97171599116489E-012</v>
      </c>
      <c r="AB342" s="47" t="n">
        <f aca="false">10*LOG10(AA342/L_PREF^2)</f>
        <v>-16.4918447423493</v>
      </c>
      <c r="AC342" s="47" t="n">
        <f aca="false">10*LOG10(S342/L_PREF^2)</f>
        <v>-21.4143559804403</v>
      </c>
      <c r="AD342" s="47" t="n">
        <f aca="false">10*LOG10(T342/L_PREF^2)</f>
        <v>-21.7705238128903</v>
      </c>
      <c r="AE342" s="47" t="n">
        <f aca="false">10*LOG10(U342/L_PREF^2)</f>
        <v>-22.957574231065</v>
      </c>
      <c r="AF342" s="47" t="n">
        <f aca="false">10*LOG10(V342/L_PREF^2)</f>
        <v>-37.3329986665295</v>
      </c>
      <c r="AG342" s="47" t="n">
        <f aca="false">10*LOG10(W342/L_PREF^2)</f>
        <v>-54.1156299239412</v>
      </c>
      <c r="AH342" s="47" t="n">
        <f aca="false">10*LOG10(X342/L_PREF^2)</f>
        <v>-27.7859203043589</v>
      </c>
      <c r="AI342" s="47" t="n">
        <f aca="false">10*LOG10(Y342/L_PREF^2)</f>
        <v>-62.3020107141003</v>
      </c>
      <c r="AJ342" s="47" t="n">
        <f aca="false">10*LOG10(Z342/L_PREF^2)</f>
        <v>-27.8473383553092</v>
      </c>
      <c r="AK342" s="47" t="n">
        <f aca="false">10*LOG10(R342/$R$6)</f>
        <v>6.55962930888319</v>
      </c>
      <c r="AL342" s="37" t="n">
        <f aca="false">(12194^2*B342^4/((B342^2+20.6^2)*SQRT((B342^2+107.7^2)*(B342^2+737.9^2))*(B342^2+12194^2))*1.2589254)^2</f>
        <v>0.0946924607548749</v>
      </c>
      <c r="AM342" s="37" t="n">
        <v>0</v>
      </c>
      <c r="AN342" s="37" t="n">
        <v>0</v>
      </c>
      <c r="AO342" s="37" t="n">
        <v>0</v>
      </c>
      <c r="AP342" s="37" t="n">
        <v>0</v>
      </c>
      <c r="AQ342" s="37" t="n">
        <v>0</v>
      </c>
      <c r="AR342" s="37" t="n">
        <v>0</v>
      </c>
      <c r="AS342" s="37" t="n">
        <v>0</v>
      </c>
      <c r="AT342" s="37" t="n">
        <v>0</v>
      </c>
      <c r="AU342" s="37" t="n">
        <v>0</v>
      </c>
      <c r="AV342" s="37" t="n">
        <v>0</v>
      </c>
      <c r="AW342" s="37" t="n">
        <v>0</v>
      </c>
      <c r="AX342" s="37" t="n">
        <v>0</v>
      </c>
      <c r="AY342" s="37" t="n">
        <v>0</v>
      </c>
      <c r="AZ342" s="37" t="n">
        <v>0</v>
      </c>
      <c r="BA342" s="37" t="n">
        <v>0</v>
      </c>
      <c r="BB342" s="37" t="n">
        <v>0</v>
      </c>
      <c r="BC342" s="37" t="n">
        <v>0</v>
      </c>
      <c r="BD342" s="37" t="n">
        <v>0</v>
      </c>
      <c r="BE342" s="37" t="n">
        <f aca="false">IF(B342&gt;2000,AK342,-999)</f>
        <v>6.55962930888319</v>
      </c>
      <c r="BF342" s="37" t="n">
        <f aca="false">IF(AND(B342&lt;1000,AK342&gt;=-3),B342,1000000000)</f>
        <v>1000000000</v>
      </c>
    </row>
    <row r="343" customFormat="false" ht="15" hidden="false" customHeight="false" outlineLevel="0" collapsed="false">
      <c r="A343" s="5" t="n">
        <v>304</v>
      </c>
      <c r="B343" s="47" t="n">
        <f aca="false">20*10^(A343/100)</f>
        <v>21929.5639228637</v>
      </c>
      <c r="C343" s="37" t="n">
        <f aca="false">2*PI()*B343</f>
        <v>137787.513832993</v>
      </c>
      <c r="D343" s="37" t="n">
        <f aca="false">SQRT(L_Rp0^2+L_Rp1^2*C343)</f>
        <v>177051827.377514</v>
      </c>
      <c r="E343" s="5" t="str">
        <f aca="false">COMPLEX(D343,C343*L_Mp)</f>
        <v>177051827.377514+2035496246.54315i</v>
      </c>
      <c r="F343" s="5" t="str">
        <f aca="false">IMDIV(1,E343)</f>
        <v>4.24117647513227e-11-4.87591623533575e-10i</v>
      </c>
      <c r="G343" s="5" t="str">
        <f aca="false">COMPLEX(0,C343*L_Cf)</f>
        <v>1.45698967783645e-10i</v>
      </c>
      <c r="H343" s="5" t="str">
        <f aca="false">COMPLEX(0,C343*L_Cbv)</f>
        <v>1.45698967783645e-09i</v>
      </c>
      <c r="I343" s="5" t="str">
        <f aca="false">COMPLEX(L_Rsq+L_Rh,C343*(L_Md+L_Mh)-1/(C343*L_Cd))</f>
        <v>552400610.124532-7841359857.47081i</v>
      </c>
      <c r="J343" s="5" t="str">
        <f aca="false">IMDIV(1,I343)</f>
        <v>8.93966818946077e-12+1.26899127182614e-10i</v>
      </c>
      <c r="K343" s="5" t="str">
        <f aca="false">IMSUM(F343,G343,H343)</f>
        <v>4.24117647513227e-11+1.11509702208652e-09i</v>
      </c>
      <c r="L343" s="5" t="str">
        <f aca="false">IMSUM(IMPRODUCT(IMSUM(F343,G343),H343),IMPRODUCT(IMSUM(J343,L_Yv),K343))</f>
        <v>3.57093202162736e-19+7.93743108114046e-20i</v>
      </c>
      <c r="M343" s="37" t="n">
        <f aca="false">IMABS(IMDIV(IMPRODUCT(J343,F343,H343),L343))^2</f>
        <v>6.14976637764159E-020</v>
      </c>
      <c r="N343" s="5" t="str">
        <f aca="false">IMDIV(IMPRODUCT(L_Yv,K343,E343),H343)</f>
        <v>0.000389514020230531+0.00310539842107375i</v>
      </c>
      <c r="O343" s="37" t="n">
        <f aca="false">IMABS(IMSUM(1,IMPRODUCT(E343,G343),N343))^2</f>
        <v>0.49619763407389</v>
      </c>
      <c r="P343" s="37" t="n">
        <f aca="false">IMABS(N343)^2</f>
        <v>9.79522052556349E-006</v>
      </c>
      <c r="Q343" s="37" t="n">
        <f aca="false">p_Rb^2/(1+(C343*p_Rb*L_Ctot)^2)</f>
        <v>8682659035253.65</v>
      </c>
      <c r="R343" s="37" t="n">
        <f aca="false">M343*L_Kt^2*Q343</f>
        <v>0.000107163968887778</v>
      </c>
      <c r="S343" s="37" t="n">
        <f aca="false">L_kT4*D343</f>
        <v>2.91526810530039E-012</v>
      </c>
      <c r="T343" s="37" t="n">
        <f aca="false">L_kT4*L_Rsq*O343</f>
        <v>2.56310460340227E-012</v>
      </c>
      <c r="U343" s="37" t="n">
        <f aca="false">L_kT4*L_Rh*O343</f>
        <v>1.9501197865196E-012</v>
      </c>
      <c r="V343" s="37" t="n">
        <f aca="false">L_kT4*p_Rv*P343</f>
        <v>8.06421893677265E-014</v>
      </c>
      <c r="W343" s="37" t="n">
        <f aca="false">L_kT4/p_Rb*Q343/R343</f>
        <v>1.33408052652489E-015</v>
      </c>
      <c r="X343" s="37" t="n">
        <f aca="false">p_en^2*(1+p_fc/B343)/R343</f>
        <v>5.99938991956523E-013</v>
      </c>
      <c r="Y343" s="37" t="n">
        <f aca="false">p_in^2*Q343/R343</f>
        <v>2.02555465362292E-016</v>
      </c>
      <c r="Z343" s="37" t="n">
        <f aca="false">p_eo^2/L_G^2/R343</f>
        <v>5.91576892461237E-013</v>
      </c>
      <c r="AA343" s="37" t="n">
        <f aca="false">SUM(S343:Z343)</f>
        <v>8.70218720499964E-012</v>
      </c>
      <c r="AB343" s="47" t="n">
        <f aca="false">10*LOG10(AA343/L_PREF^2)</f>
        <v>-16.6243156955078</v>
      </c>
      <c r="AC343" s="47" t="n">
        <f aca="false">10*LOG10(S343/L_PREF^2)</f>
        <v>-21.373814901066</v>
      </c>
      <c r="AD343" s="47" t="n">
        <f aca="false">10*LOG10(T343/L_PREF^2)</f>
        <v>-21.9329366069839</v>
      </c>
      <c r="AE343" s="47" t="n">
        <f aca="false">10*LOG10(U343/L_PREF^2)</f>
        <v>-23.1199870251586</v>
      </c>
      <c r="AF343" s="47" t="n">
        <f aca="false">10*LOG10(V343/L_PREF^2)</f>
        <v>-36.9549768133595</v>
      </c>
      <c r="AG343" s="47" t="n">
        <f aca="false">10*LOG10(W343/L_PREF^2)</f>
        <v>-54.7687794647764</v>
      </c>
      <c r="AH343" s="47" t="n">
        <f aca="false">10*LOG10(X343/L_PREF^2)</f>
        <v>-28.2395290228391</v>
      </c>
      <c r="AI343" s="47" t="n">
        <f aca="false">10*LOG10(Y343/L_PREF^2)</f>
        <v>-62.9551602549356</v>
      </c>
      <c r="AJ343" s="47" t="n">
        <f aca="false">10*LOG10(Z343/L_PREF^2)</f>
        <v>-28.3004878961462</v>
      </c>
      <c r="AK343" s="47" t="n">
        <f aca="false">10*LOG10(R343/$R$6)</f>
        <v>7.01277884972018</v>
      </c>
      <c r="AL343" s="37" t="n">
        <f aca="false">(12194^2*B343^4/((B343^2+20.6^2)*SQRT((B343^2+107.7^2)*(B343^2+737.9^2))*(B343^2+12194^2))*1.2589254)^2</f>
        <v>0.0882985242515324</v>
      </c>
      <c r="AM343" s="37" t="n">
        <v>0</v>
      </c>
      <c r="AN343" s="37" t="n">
        <v>0</v>
      </c>
      <c r="AO343" s="37" t="n">
        <v>0</v>
      </c>
      <c r="AP343" s="37" t="n">
        <v>0</v>
      </c>
      <c r="AQ343" s="37" t="n">
        <v>0</v>
      </c>
      <c r="AR343" s="37" t="n">
        <v>0</v>
      </c>
      <c r="AS343" s="37" t="n">
        <v>0</v>
      </c>
      <c r="AT343" s="37" t="n">
        <v>0</v>
      </c>
      <c r="AU343" s="37" t="n">
        <v>0</v>
      </c>
      <c r="AV343" s="37" t="n">
        <v>0</v>
      </c>
      <c r="AW343" s="37" t="n">
        <v>0</v>
      </c>
      <c r="AX343" s="37" t="n">
        <v>0</v>
      </c>
      <c r="AY343" s="37" t="n">
        <v>0</v>
      </c>
      <c r="AZ343" s="37" t="n">
        <v>0</v>
      </c>
      <c r="BA343" s="37" t="n">
        <v>0</v>
      </c>
      <c r="BB343" s="37" t="n">
        <v>0</v>
      </c>
      <c r="BC343" s="37" t="n">
        <v>0</v>
      </c>
      <c r="BD343" s="37" t="n">
        <v>0</v>
      </c>
      <c r="BE343" s="37" t="n">
        <f aca="false">IF(B343&gt;2000,AK343,-999)</f>
        <v>7.01277884972018</v>
      </c>
      <c r="BF343" s="37" t="n">
        <f aca="false">IF(AND(B343&lt;1000,AK343&gt;=-3),B343,1000000000)</f>
        <v>1000000000</v>
      </c>
    </row>
    <row r="344" customFormat="false" ht="15" hidden="false" customHeight="false" outlineLevel="0" collapsed="false">
      <c r="A344" s="5" t="n">
        <v>305</v>
      </c>
      <c r="B344" s="47" t="n">
        <f aca="false">20*10^(A344/100)</f>
        <v>22440.3690860393</v>
      </c>
      <c r="C344" s="37" t="n">
        <f aca="false">2*PI()*B344</f>
        <v>140996.997329089</v>
      </c>
      <c r="D344" s="37" t="n">
        <f aca="false">SQRT(L_Rp0^2+L_Rp1^2*C344)</f>
        <v>178719546.915815</v>
      </c>
      <c r="E344" s="5" t="str">
        <f aca="false">COMPLEX(D344,C344*L_Mp)</f>
        <v>178719546.915815+2082909044.90138i</v>
      </c>
      <c r="F344" s="5" t="str">
        <f aca="false">IMDIV(1,E344)</f>
        <v>4.08927034060401e-11-4.76589065185086e-10i</v>
      </c>
      <c r="G344" s="5" t="str">
        <f aca="false">COMPLEX(0,C344*L_Cf)</f>
        <v>1.49092732715543e-10i</v>
      </c>
      <c r="H344" s="5" t="str">
        <f aca="false">COMPLEX(0,C344*L_Cbv)</f>
        <v>1.49092732715543e-09i</v>
      </c>
      <c r="I344" s="5" t="str">
        <f aca="false">COMPLEX(L_Rsq+L_Rh,C344*(L_Md+L_Mh)-1/(C344*L_Cd))</f>
        <v>552400610.124532-7638957385.75005i</v>
      </c>
      <c r="J344" s="5" t="str">
        <f aca="false">IMDIV(1,I344)</f>
        <v>9.4171796203591e-12+1.30226926790793e-10i</v>
      </c>
      <c r="K344" s="5" t="str">
        <f aca="false">IMSUM(F344,G344,H344)</f>
        <v>4.08927034060401e-11+1.16343099468589e-09i</v>
      </c>
      <c r="L344" s="5" t="str">
        <f aca="false">IMSUM(IMPRODUCT(IMSUM(F344,G344),H344),IMPRODUCT(IMSUM(J344,L_Yv),K344))</f>
        <v>3.37230067990872e-19+7.9576480724285e-20i</v>
      </c>
      <c r="M344" s="37" t="n">
        <f aca="false">IMABS(IMDIV(IMPRODUCT(J344,F344,H344),L344))^2</f>
        <v>7.22216851012501E-020</v>
      </c>
      <c r="N344" s="5" t="str">
        <f aca="false">IMDIV(IMPRODUCT(L_Yv,K344,E344),H344)</f>
        <v>0.000393183003214794+0.00324095289223053i</v>
      </c>
      <c r="O344" s="37" t="n">
        <f aca="false">IMABS(IMSUM(1,IMPRODUCT(E344,G344),N344))^2</f>
        <v>0.476781523148599</v>
      </c>
      <c r="P344" s="37" t="n">
        <f aca="false">IMABS(N344)^2</f>
        <v>1.06583685236744E-005</v>
      </c>
      <c r="Q344" s="37" t="n">
        <f aca="false">p_Rb^2/(1+(C344*p_Rb*L_Ctot)^2)</f>
        <v>8291875005622.52</v>
      </c>
      <c r="R344" s="37" t="n">
        <f aca="false">M344*L_Kt^2*Q344</f>
        <v>0.000120187081454893</v>
      </c>
      <c r="S344" s="37" t="n">
        <f aca="false">L_kT4*D344</f>
        <v>2.94272814144127E-012</v>
      </c>
      <c r="T344" s="37" t="n">
        <f aca="false">L_kT4*L_Rsq*O344</f>
        <v>2.46281084971345E-012</v>
      </c>
      <c r="U344" s="37" t="n">
        <f aca="false">L_kT4*L_Rh*O344</f>
        <v>1.87381200209548E-012</v>
      </c>
      <c r="V344" s="37" t="n">
        <f aca="false">L_kT4*p_Rv*P344</f>
        <v>8.77483228268334E-014</v>
      </c>
      <c r="W344" s="37" t="n">
        <f aca="false">L_kT4/p_Rb*Q344/R344</f>
        <v>1.13598617307077E-015</v>
      </c>
      <c r="X344" s="37" t="n">
        <f aca="false">p_en^2*(1+p_fc/B344)/R344</f>
        <v>5.3487612413926E-013</v>
      </c>
      <c r="Y344" s="37" t="n">
        <f aca="false">p_in^2*Q344/R344</f>
        <v>1.72478499878011E-016</v>
      </c>
      <c r="Z344" s="37" t="n">
        <f aca="false">p_eo^2/L_G^2/R344</f>
        <v>5.27475390291736E-013</v>
      </c>
      <c r="AA344" s="37" t="n">
        <f aca="false">SUM(S344:Z344)</f>
        <v>8.43075929518098E-012</v>
      </c>
      <c r="AB344" s="47" t="n">
        <f aca="false">10*LOG10(AA344/L_PREF^2)</f>
        <v>-16.7619330129902</v>
      </c>
      <c r="AC344" s="47" t="n">
        <f aca="false">10*LOG10(S344/L_PREF^2)</f>
        <v>-21.3330984887682</v>
      </c>
      <c r="AD344" s="47" t="n">
        <f aca="false">10*LOG10(T344/L_PREF^2)</f>
        <v>-22.1062893315519</v>
      </c>
      <c r="AE344" s="47" t="n">
        <f aca="false">10*LOG10(U344/L_PREF^2)</f>
        <v>-23.2933397497266</v>
      </c>
      <c r="AF344" s="47" t="n">
        <f aca="false">10*LOG10(V344/L_PREF^2)</f>
        <v>-36.5882116697657</v>
      </c>
      <c r="AG344" s="47" t="n">
        <f aca="false">10*LOG10(W344/L_PREF^2)</f>
        <v>-55.4668694604065</v>
      </c>
      <c r="AH344" s="47" t="n">
        <f aca="false">10*LOG10(X344/L_PREF^2)</f>
        <v>-28.7380677908633</v>
      </c>
      <c r="AI344" s="47" t="n">
        <f aca="false">10*LOG10(Y344/L_PREF^2)</f>
        <v>-63.6532502505656</v>
      </c>
      <c r="AJ344" s="47" t="n">
        <f aca="false">10*LOG10(Z344/L_PREF^2)</f>
        <v>-28.798577891778</v>
      </c>
      <c r="AK344" s="47" t="n">
        <f aca="false">10*LOG10(R344/$R$6)</f>
        <v>7.51086884535197</v>
      </c>
      <c r="AL344" s="37" t="n">
        <f aca="false">(12194^2*B344^4/((B344^2+20.6^2)*SQRT((B344^2+107.7^2)*(B344^2+737.9^2))*(B344^2+12194^2))*1.2589254)^2</f>
        <v>0.0822731506295211</v>
      </c>
      <c r="AM344" s="37" t="n">
        <v>0</v>
      </c>
      <c r="AN344" s="37" t="n">
        <v>0</v>
      </c>
      <c r="AO344" s="37" t="n">
        <v>0</v>
      </c>
      <c r="AP344" s="37" t="n">
        <v>0</v>
      </c>
      <c r="AQ344" s="37" t="n">
        <v>0</v>
      </c>
      <c r="AR344" s="37" t="n">
        <v>0</v>
      </c>
      <c r="AS344" s="37" t="n">
        <v>0</v>
      </c>
      <c r="AT344" s="37" t="n">
        <v>0</v>
      </c>
      <c r="AU344" s="37" t="n">
        <v>0</v>
      </c>
      <c r="AV344" s="37" t="n">
        <v>0</v>
      </c>
      <c r="AW344" s="37" t="n">
        <v>0</v>
      </c>
      <c r="AX344" s="37" t="n">
        <v>0</v>
      </c>
      <c r="AY344" s="37" t="n">
        <v>0</v>
      </c>
      <c r="AZ344" s="37" t="n">
        <v>0</v>
      </c>
      <c r="BA344" s="37" t="n">
        <v>0</v>
      </c>
      <c r="BB344" s="37" t="n">
        <v>0</v>
      </c>
      <c r="BC344" s="37" t="n">
        <v>0</v>
      </c>
      <c r="BD344" s="37" t="n">
        <v>0</v>
      </c>
      <c r="BE344" s="37" t="n">
        <f aca="false">IF(B344&gt;2000,AK344,-999)</f>
        <v>7.51086884535197</v>
      </c>
      <c r="BF344" s="37" t="n">
        <f aca="false">IF(AND(B344&lt;1000,AK344&gt;=-3),B344,1000000000)</f>
        <v>1000000000</v>
      </c>
    </row>
    <row r="345" customFormat="false" ht="15" hidden="false" customHeight="false" outlineLevel="0" collapsed="false">
      <c r="A345" s="5" t="n">
        <v>306</v>
      </c>
      <c r="B345" s="47" t="n">
        <f aca="false">20*10^(A345/100)</f>
        <v>22963.0724299377</v>
      </c>
      <c r="C345" s="37" t="n">
        <f aca="false">2*PI()*B345</f>
        <v>144281.239299485</v>
      </c>
      <c r="D345" s="37" t="n">
        <f aca="false">SQRT(L_Rp0^2+L_Rp1^2*C345)</f>
        <v>180410154.038299</v>
      </c>
      <c r="E345" s="5" t="str">
        <f aca="false">COMPLEX(D345,C345*L_Mp)</f>
        <v>180410154.038299+2131426229.20578i</v>
      </c>
      <c r="F345" s="5" t="str">
        <f aca="false">IMDIV(1,E345)</f>
        <v>3.9429383646317e-11-4.65831997944731e-10i</v>
      </c>
      <c r="G345" s="5" t="str">
        <f aca="false">COMPLEX(0,C345*L_Cf)</f>
        <v>1.52565548587803e-10i</v>
      </c>
      <c r="H345" s="5" t="str">
        <f aca="false">COMPLEX(0,C345*L_Cbv)</f>
        <v>1.52565548587803e-09i</v>
      </c>
      <c r="I345" s="5" t="str">
        <f aca="false">COMPLEX(L_Rsq+L_Rh,C345*(L_Md+L_Mh)-1/(C345*L_Cd))</f>
        <v>552400610.124532-7440605190.34877i</v>
      </c>
      <c r="J345" s="5" t="str">
        <f aca="false">IMDIV(1,I345)</f>
        <v>9.92317077578299e-12+1.33660960226606e-10i</v>
      </c>
      <c r="K345" s="5" t="str">
        <f aca="false">IMSUM(F345,G345,H345)</f>
        <v>3.9429383646317e-11+1.2123890365211e-09i</v>
      </c>
      <c r="L345" s="5" t="str">
        <f aca="false">IMSUM(IMPRODUCT(IMSUM(F345,G345),H345),IMPRODUCT(IMSUM(J345,L_Yv),K345))</f>
        <v>3.16357717488108e-19+7.98813462732311e-20i</v>
      </c>
      <c r="M345" s="37" t="n">
        <f aca="false">IMABS(IMDIV(IMPRODUCT(J345,F345,H345),L345))^2</f>
        <v>8.58358315473294E-020</v>
      </c>
      <c r="N345" s="5" t="str">
        <f aca="false">IMDIV(IMPRODUCT(L_Yv,K345,E345),H345)</f>
        <v>0.000396902338884257+0.00337822575950984i</v>
      </c>
      <c r="O345" s="37" t="n">
        <f aca="false">IMABS(IMSUM(1,IMPRODUCT(E345,G345),N345))^2</f>
        <v>0.456869848819044</v>
      </c>
      <c r="P345" s="37" t="n">
        <f aca="false">IMABS(N345)^2</f>
        <v>1.15699407488276E-005</v>
      </c>
      <c r="Q345" s="37" t="n">
        <f aca="false">p_Rb^2/(1+(C345*p_Rb*L_Ctot)^2)</f>
        <v>7918679154588.91</v>
      </c>
      <c r="R345" s="37" t="n">
        <f aca="false">M345*L_Kt^2*Q345</f>
        <v>0.000136413951922539</v>
      </c>
      <c r="S345" s="37" t="n">
        <f aca="false">L_kT4*D345</f>
        <v>2.97056503584543E-012</v>
      </c>
      <c r="T345" s="37" t="n">
        <f aca="false">L_kT4*L_Rsq*O345</f>
        <v>2.35995726752984E-012</v>
      </c>
      <c r="U345" s="37" t="n">
        <f aca="false">L_kT4*L_Rh*O345</f>
        <v>1.79555659048863E-012</v>
      </c>
      <c r="V345" s="37" t="n">
        <f aca="false">L_kT4*p_Rv*P345</f>
        <v>9.52531237459464E-014</v>
      </c>
      <c r="W345" s="37" t="n">
        <f aca="false">L_kT4/p_Rb*Q345/R345</f>
        <v>9.55811042916892E-016</v>
      </c>
      <c r="X345" s="37" t="n">
        <f aca="false">p_en^2*(1+p_fc/B345)/R345</f>
        <v>4.71203329592606E-013</v>
      </c>
      <c r="Y345" s="37" t="n">
        <f aca="false">p_in^2*Q345/R345</f>
        <v>1.4512223718666E-016</v>
      </c>
      <c r="Z345" s="37" t="n">
        <f aca="false">p_eo^2/L_G^2/R345</f>
        <v>4.64730526496609E-013</v>
      </c>
      <c r="AA345" s="37" t="n">
        <f aca="false">SUM(S345:Z345)</f>
        <v>8.15836680697917E-012</v>
      </c>
      <c r="AB345" s="47" t="n">
        <f aca="false">10*LOG10(AA345/L_PREF^2)</f>
        <v>-16.9045676366562</v>
      </c>
      <c r="AC345" s="47" t="n">
        <f aca="false">10*LOG10(S345/L_PREF^2)</f>
        <v>-21.2922092631712</v>
      </c>
      <c r="AD345" s="47" t="n">
        <f aca="false">10*LOG10(T345/L_PREF^2)</f>
        <v>-22.2915585219006</v>
      </c>
      <c r="AE345" s="47" t="n">
        <f aca="false">10*LOG10(U345/L_PREF^2)</f>
        <v>-23.4786089400754</v>
      </c>
      <c r="AF345" s="47" t="n">
        <f aca="false">10*LOG10(V345/L_PREF^2)</f>
        <v>-36.2318076442511</v>
      </c>
      <c r="AG345" s="47" t="n">
        <f aca="false">10*LOG10(W345/L_PREF^2)</f>
        <v>-56.216879475138</v>
      </c>
      <c r="AH345" s="47" t="n">
        <f aca="false">10*LOG10(X345/L_PREF^2)</f>
        <v>-29.2885164074886</v>
      </c>
      <c r="AI345" s="47" t="n">
        <f aca="false">10*LOG10(Y345/L_PREF^2)</f>
        <v>-64.4032602652972</v>
      </c>
      <c r="AJ345" s="47" t="n">
        <f aca="false">10*LOG10(Z345/L_PREF^2)</f>
        <v>-29.3485879065112</v>
      </c>
      <c r="AK345" s="47" t="n">
        <f aca="false">10*LOG10(R345/$R$6)</f>
        <v>8.06087886008515</v>
      </c>
      <c r="AL345" s="37" t="n">
        <f aca="false">(12194^2*B345^4/((B345^2+20.6^2)*SQRT((B345^2+107.7^2)*(B345^2+737.9^2))*(B345^2+12194^2))*1.2589254)^2</f>
        <v>0.0766015575166212</v>
      </c>
      <c r="AM345" s="37" t="n">
        <v>0</v>
      </c>
      <c r="AN345" s="37" t="n">
        <v>0</v>
      </c>
      <c r="AO345" s="37" t="n">
        <v>0</v>
      </c>
      <c r="AP345" s="37" t="n">
        <v>0</v>
      </c>
      <c r="AQ345" s="37" t="n">
        <v>0</v>
      </c>
      <c r="AR345" s="37" t="n">
        <v>0</v>
      </c>
      <c r="AS345" s="37" t="n">
        <v>0</v>
      </c>
      <c r="AT345" s="37" t="n">
        <v>0</v>
      </c>
      <c r="AU345" s="37" t="n">
        <v>0</v>
      </c>
      <c r="AV345" s="37" t="n">
        <v>0</v>
      </c>
      <c r="AW345" s="37" t="n">
        <v>0</v>
      </c>
      <c r="AX345" s="37" t="n">
        <v>0</v>
      </c>
      <c r="AY345" s="37" t="n">
        <v>0</v>
      </c>
      <c r="AZ345" s="37" t="n">
        <v>0</v>
      </c>
      <c r="BA345" s="37" t="n">
        <v>0</v>
      </c>
      <c r="BB345" s="37" t="n">
        <v>0</v>
      </c>
      <c r="BC345" s="37" t="n">
        <v>0</v>
      </c>
      <c r="BD345" s="37" t="n">
        <v>0</v>
      </c>
      <c r="BE345" s="37" t="n">
        <f aca="false">IF(B345&gt;2000,AK345,-999)</f>
        <v>8.06087886008515</v>
      </c>
      <c r="BF345" s="37" t="n">
        <f aca="false">IF(AND(B345&lt;1000,AK345&gt;=-3),B345,1000000000)</f>
        <v>1000000000</v>
      </c>
    </row>
    <row r="346" customFormat="false" ht="15" hidden="false" customHeight="false" outlineLevel="0" collapsed="false">
      <c r="A346" s="5" t="n">
        <v>307</v>
      </c>
      <c r="B346" s="47" t="n">
        <f aca="false">20*10^(A346/100)</f>
        <v>23497.9510987906</v>
      </c>
      <c r="C346" s="37" t="n">
        <f aca="false">2*PI()*B346</f>
        <v>147641.981092745</v>
      </c>
      <c r="D346" s="37" t="n">
        <f aca="false">SQRT(L_Rp0^2+L_Rp1^2*C346)</f>
        <v>182123895.154372</v>
      </c>
      <c r="E346" s="5" t="str">
        <f aca="false">COMPLEX(D346,C346*L_Mp)</f>
        <v>182123895.154372+2181073523.90967i</v>
      </c>
      <c r="F346" s="5" t="str">
        <f aca="false">IMDIV(1,E346)</f>
        <v>3.80196990976166e-11-4.55315097552334e-10i</v>
      </c>
      <c r="G346" s="5" t="str">
        <f aca="false">COMPLEX(0,C346*L_Cf)</f>
        <v>1.56119256733367e-10i</v>
      </c>
      <c r="H346" s="5" t="str">
        <f aca="false">COMPLEX(0,C346*L_Cbv)</f>
        <v>1.56119256733367e-09i</v>
      </c>
      <c r="I346" s="5" t="str">
        <f aca="false">COMPLEX(L_Rsq+L_Rh,C346*(L_Md+L_Mh)-1/(C346*L_Cd))</f>
        <v>552400610.124532-7246198102.30747i</v>
      </c>
      <c r="J346" s="5" t="str">
        <f aca="false">IMDIV(1,I346)</f>
        <v>1.04596499136684e-11+1.3720603121372e-10i</v>
      </c>
      <c r="K346" s="5" t="str">
        <f aca="false">IMSUM(F346,G346,H346)</f>
        <v>3.80196990976166e-11+1.2619967265147e-09i</v>
      </c>
      <c r="L346" s="5" t="str">
        <f aca="false">IMSUM(IMPRODUCT(IMSUM(F346,G346),H346),IMPRODUCT(IMSUM(J346,L_Yv),K346))</f>
        <v>2.9442247275451e-19+8.02966410691542e-20i</v>
      </c>
      <c r="M346" s="37" t="n">
        <f aca="false">IMABS(IMDIV(IMPRODUCT(J346,F346,H346),L346))^2</f>
        <v>1.03447047045815E-019</v>
      </c>
      <c r="N346" s="5" t="str">
        <f aca="false">IMDIV(IMPRODUCT(L_Yv,K346,E346),H346)</f>
        <v>0.000400672569339618+0.00351728980680296i</v>
      </c>
      <c r="O346" s="37" t="n">
        <f aca="false">IMABS(IMSUM(1,IMPRODUCT(E346,G346),N346))^2</f>
        <v>0.436479721039149</v>
      </c>
      <c r="P346" s="37" t="n">
        <f aca="false">IMABS(N346)^2</f>
        <v>1.25318660928612E-005</v>
      </c>
      <c r="Q346" s="37" t="n">
        <f aca="false">p_Rb^2/(1+(C346*p_Rb*L_Ctot)^2)</f>
        <v>7562279883717.6</v>
      </c>
      <c r="R346" s="37" t="n">
        <f aca="false">M346*L_Kt^2*Q346</f>
        <v>0.00015700311528942</v>
      </c>
      <c r="S346" s="37" t="n">
        <f aca="false">L_kT4*D346</f>
        <v>2.99878284579651E-012</v>
      </c>
      <c r="T346" s="37" t="n">
        <f aca="false">L_kT4*L_Rsq*O346</f>
        <v>2.25463223817103E-012</v>
      </c>
      <c r="U346" s="37" t="n">
        <f aca="false">L_kT4*L_Rh*O346</f>
        <v>1.71542079599326E-012</v>
      </c>
      <c r="V346" s="37" t="n">
        <f aca="false">L_kT4*p_Rv*P346</f>
        <v>1.03172472325054E-013</v>
      </c>
      <c r="W346" s="37" t="n">
        <f aca="false">L_kT4/p_Rb*Q346/R346</f>
        <v>7.93090165585456E-016</v>
      </c>
      <c r="X346" s="37" t="n">
        <f aca="false">p_en^2*(1+p_fc/B346)/R346</f>
        <v>4.09369992778454E-013</v>
      </c>
      <c r="Y346" s="37" t="n">
        <f aca="false">p_in^2*Q346/R346</f>
        <v>1.20416080116902E-016</v>
      </c>
      <c r="Z346" s="37" t="n">
        <f aca="false">p_eo^2/L_G^2/R346</f>
        <v>4.03786431763347E-013</v>
      </c>
      <c r="AA346" s="37" t="n">
        <f aca="false">SUM(S346:Z346)</f>
        <v>7.88607828307335E-012</v>
      </c>
      <c r="AB346" s="47" t="n">
        <f aca="false">10*LOG10(AA346/L_PREF^2)</f>
        <v>-17.051989074396</v>
      </c>
      <c r="AC346" s="47" t="n">
        <f aca="false">10*LOG10(S346/L_PREF^2)</f>
        <v>-21.2511497348003</v>
      </c>
      <c r="AD346" s="47" t="n">
        <f aca="false">10*LOG10(T346/L_PREF^2)</f>
        <v>-22.4898427879837</v>
      </c>
      <c r="AE346" s="47" t="n">
        <f aca="false">10*LOG10(U346/L_PREF^2)</f>
        <v>-23.6768932061584</v>
      </c>
      <c r="AF346" s="47" t="n">
        <f aca="false">10*LOG10(V346/L_PREF^2)</f>
        <v>-35.8849615364987</v>
      </c>
      <c r="AG346" s="47" t="n">
        <f aca="false">10*LOG10(W346/L_PREF^2)</f>
        <v>-57.0273742672133</v>
      </c>
      <c r="AH346" s="47" t="n">
        <f aca="false">10*LOG10(X346/L_PREF^2)</f>
        <v>-29.8994398604581</v>
      </c>
      <c r="AI346" s="47" t="n">
        <f aca="false">10*LOG10(Y346/L_PREF^2)</f>
        <v>-65.2137550573725</v>
      </c>
      <c r="AJ346" s="47" t="n">
        <f aca="false">10*LOG10(Z346/L_PREF^2)</f>
        <v>-29.959082698588</v>
      </c>
      <c r="AK346" s="47" t="n">
        <f aca="false">10*LOG10(R346/$R$6)</f>
        <v>8.671373652162</v>
      </c>
      <c r="AL346" s="37" t="n">
        <f aca="false">(12194^2*B346^4/((B346^2+20.6^2)*SQRT((B346^2+107.7^2)*(B346^2+737.9^2))*(B346^2+12194^2))*1.2589254)^2</f>
        <v>0.0712688977690467</v>
      </c>
      <c r="AM346" s="37" t="n">
        <v>0</v>
      </c>
      <c r="AN346" s="37" t="n">
        <v>0</v>
      </c>
      <c r="AO346" s="37" t="n">
        <v>0</v>
      </c>
      <c r="AP346" s="37" t="n">
        <v>0</v>
      </c>
      <c r="AQ346" s="37" t="n">
        <v>0</v>
      </c>
      <c r="AR346" s="37" t="n">
        <v>0</v>
      </c>
      <c r="AS346" s="37" t="n">
        <v>0</v>
      </c>
      <c r="AT346" s="37" t="n">
        <v>0</v>
      </c>
      <c r="AU346" s="37" t="n">
        <v>0</v>
      </c>
      <c r="AV346" s="37" t="n">
        <v>0</v>
      </c>
      <c r="AW346" s="37" t="n">
        <v>0</v>
      </c>
      <c r="AX346" s="37" t="n">
        <v>0</v>
      </c>
      <c r="AY346" s="37" t="n">
        <v>0</v>
      </c>
      <c r="AZ346" s="37" t="n">
        <v>0</v>
      </c>
      <c r="BA346" s="37" t="n">
        <v>0</v>
      </c>
      <c r="BB346" s="37" t="n">
        <v>0</v>
      </c>
      <c r="BC346" s="37" t="n">
        <v>0</v>
      </c>
      <c r="BD346" s="37" t="n">
        <v>0</v>
      </c>
      <c r="BE346" s="37" t="n">
        <f aca="false">IF(B346&gt;2000,AK346,-999)</f>
        <v>8.671373652162</v>
      </c>
      <c r="BF346" s="37" t="n">
        <f aca="false">IF(AND(B346&lt;1000,AK346&gt;=-3),B346,1000000000)</f>
        <v>1000000000</v>
      </c>
    </row>
    <row r="347" customFormat="false" ht="15" hidden="false" customHeight="false" outlineLevel="0" collapsed="false">
      <c r="A347" s="5" t="n">
        <v>308</v>
      </c>
      <c r="B347" s="47" t="n">
        <f aca="false">20*10^(A347/100)</f>
        <v>24045.2886923483</v>
      </c>
      <c r="C347" s="37" t="n">
        <f aca="false">2*PI()*B347</f>
        <v>151081.004618654</v>
      </c>
      <c r="D347" s="37" t="n">
        <f aca="false">SQRT(L_Rp0^2+L_Rp1^2*C347)</f>
        <v>183861019.207302</v>
      </c>
      <c r="E347" s="5" t="str">
        <f aca="false">COMPLEX(D347,C347*L_Mp)</f>
        <v>183861019.207302+2231877252.66586i</v>
      </c>
      <c r="F347" s="5" t="str">
        <f aca="false">IMDIV(1,E347)</f>
        <v>3.6661625447488e-11-4.45033146421037e-10i</v>
      </c>
      <c r="G347" s="5" t="str">
        <f aca="false">COMPLEX(0,C347*L_Cf)</f>
        <v>1.59755741375335e-10i</v>
      </c>
      <c r="H347" s="5" t="str">
        <f aca="false">COMPLEX(0,C347*L_Cbv)</f>
        <v>1.59755741375335e-09i</v>
      </c>
      <c r="I347" s="5" t="str">
        <f aca="false">COMPLEX(L_Rsq+L_Rh,C347*(L_Md+L_Mh)-1/(C347*L_Cd))</f>
        <v>552400610.124532-7055633044.41477i</v>
      </c>
      <c r="J347" s="5" t="str">
        <f aca="false">IMDIV(1,I347)</f>
        <v>1.10287991319154e-11+1.40867258596642e-10i</v>
      </c>
      <c r="K347" s="5" t="str">
        <f aca="false">IMSUM(F347,G347,H347)</f>
        <v>3.6661625447488e-11+1.31228000870765e-09i</v>
      </c>
      <c r="L347" s="5" t="str">
        <f aca="false">IMSUM(IMPRODUCT(IMSUM(F347,G347),H347),IMPRODUCT(IMSUM(J347,L_Yv),K347))</f>
        <v>2.7136740302306e-19+8.08309068446476e-20i</v>
      </c>
      <c r="M347" s="37" t="n">
        <f aca="false">IMABS(IMDIV(IMPRODUCT(J347,F347,H347),L347))^2</f>
        <v>1.26729013552368E-019</v>
      </c>
      <c r="N347" s="5" t="str">
        <f aca="false">IMDIV(IMPRODUCT(L_Yv,K347,E347),H347)</f>
        <v>0.000404494242256065+0.00365821876770851i</v>
      </c>
      <c r="O347" s="37" t="n">
        <f aca="false">IMABS(IMSUM(1,IMPRODUCT(E347,G347),N347))^2</f>
        <v>0.415632958784574</v>
      </c>
      <c r="P347" s="37" t="n">
        <f aca="false">IMABS(N347)^2</f>
        <v>1.35461801444331E-005</v>
      </c>
      <c r="Q347" s="37" t="n">
        <f aca="false">p_Rb^2/(1+(C347*p_Rb*L_Ctot)^2)</f>
        <v>7221921222371.81</v>
      </c>
      <c r="R347" s="37" t="n">
        <f aca="false">M347*L_Kt^2*Q347</f>
        <v>0.000183681842125583</v>
      </c>
      <c r="S347" s="37" t="n">
        <f aca="false">L_kT4*D347</f>
        <v>3.02738567029975E-012</v>
      </c>
      <c r="T347" s="37" t="n">
        <f aca="false">L_kT4*L_Rsq*O347</f>
        <v>2.14694846736776E-012</v>
      </c>
      <c r="U347" s="37" t="n">
        <f aca="false">L_kT4*L_Rh*O347</f>
        <v>1.63349036995768E-012</v>
      </c>
      <c r="V347" s="37" t="n">
        <f aca="false">L_kT4*p_Rv*P347</f>
        <v>1.1152312717879E-013</v>
      </c>
      <c r="W347" s="37" t="n">
        <f aca="false">L_kT4/p_Rb*Q347/R347</f>
        <v>6.47387945121102E-016</v>
      </c>
      <c r="X347" s="37" t="n">
        <f aca="false">p_en^2*(1+p_fc/B347)/R347</f>
        <v>3.49877612632033E-013</v>
      </c>
      <c r="Y347" s="37" t="n">
        <f aca="false">p_in^2*Q347/R347</f>
        <v>9.82938914755955E-017</v>
      </c>
      <c r="Z347" s="37" t="n">
        <f aca="false">p_eo^2/L_G^2/R347</f>
        <v>3.45138784350284E-013</v>
      </c>
      <c r="AA347" s="37" t="n">
        <f aca="false">SUM(S347:Z347)</f>
        <v>7.61510971362289E-012</v>
      </c>
      <c r="AB347" s="47" t="n">
        <f aca="false">10*LOG10(AA347/L_PREF^2)</f>
        <v>-17.2038382657412</v>
      </c>
      <c r="AC347" s="47" t="n">
        <f aca="false">10*LOG10(S347/L_PREF^2)</f>
        <v>-21.2099224040321</v>
      </c>
      <c r="AD347" s="47" t="n">
        <f aca="false">10*LOG10(T347/L_PREF^2)</f>
        <v>-22.7023837102139</v>
      </c>
      <c r="AE347" s="47" t="n">
        <f aca="false">10*LOG10(U347/L_PREF^2)</f>
        <v>-23.8894341283886</v>
      </c>
      <c r="AF347" s="47" t="n">
        <f aca="false">10*LOG10(V347/L_PREF^2)</f>
        <v>-35.5469505251224</v>
      </c>
      <c r="AG347" s="47" t="n">
        <f aca="false">10*LOG10(W347/L_PREF^2)</f>
        <v>-57.908953830951</v>
      </c>
      <c r="AH347" s="47" t="n">
        <f aca="false">10*LOG10(X347/L_PREF^2)</f>
        <v>-30.581438368457</v>
      </c>
      <c r="AI347" s="47" t="n">
        <f aca="false">10*LOG10(Y347/L_PREF^2)</f>
        <v>-66.0953346211101</v>
      </c>
      <c r="AJ347" s="47" t="n">
        <f aca="false">10*LOG10(Z347/L_PREF^2)</f>
        <v>-30.6406622623271</v>
      </c>
      <c r="AK347" s="47" t="n">
        <f aca="false">10*LOG10(R347/$R$6)</f>
        <v>9.35295321590109</v>
      </c>
      <c r="AL347" s="37" t="n">
        <f aca="false">(12194^2*B347^4/((B347^2+20.6^2)*SQRT((B347^2+107.7^2)*(B347^2+737.9^2))*(B347^2+12194^2))*1.2589254)^2</f>
        <v>0.066260339363777</v>
      </c>
      <c r="AM347" s="37" t="n">
        <v>0</v>
      </c>
      <c r="AN347" s="37" t="n">
        <v>0</v>
      </c>
      <c r="AO347" s="37" t="n">
        <v>0</v>
      </c>
      <c r="AP347" s="37" t="n">
        <v>0</v>
      </c>
      <c r="AQ347" s="37" t="n">
        <v>0</v>
      </c>
      <c r="AR347" s="37" t="n">
        <v>0</v>
      </c>
      <c r="AS347" s="37" t="n">
        <v>0</v>
      </c>
      <c r="AT347" s="37" t="n">
        <v>0</v>
      </c>
      <c r="AU347" s="37" t="n">
        <v>0</v>
      </c>
      <c r="AV347" s="37" t="n">
        <v>0</v>
      </c>
      <c r="AW347" s="37" t="n">
        <v>0</v>
      </c>
      <c r="AX347" s="37" t="n">
        <v>0</v>
      </c>
      <c r="AY347" s="37" t="n">
        <v>0</v>
      </c>
      <c r="AZ347" s="37" t="n">
        <v>0</v>
      </c>
      <c r="BA347" s="37" t="n">
        <v>0</v>
      </c>
      <c r="BB347" s="37" t="n">
        <v>0</v>
      </c>
      <c r="BC347" s="37" t="n">
        <v>0</v>
      </c>
      <c r="BD347" s="37" t="n">
        <v>0</v>
      </c>
      <c r="BE347" s="37" t="n">
        <f aca="false">IF(B347&gt;2000,AK347,-999)</f>
        <v>9.35295321590109</v>
      </c>
      <c r="BF347" s="37" t="n">
        <f aca="false">IF(AND(B347&lt;1000,AK347&gt;=-3),B347,1000000000)</f>
        <v>1000000000</v>
      </c>
    </row>
    <row r="348" customFormat="false" ht="15" hidden="false" customHeight="false" outlineLevel="0" collapsed="false">
      <c r="A348" s="5" t="n">
        <v>309</v>
      </c>
      <c r="B348" s="47" t="n">
        <f aca="false">20*10^(A348/100)</f>
        <v>24605.3754162476</v>
      </c>
      <c r="C348" s="37" t="n">
        <f aca="false">2*PI()*B348</f>
        <v>154600.133293005</v>
      </c>
      <c r="D348" s="37" t="n">
        <f aca="false">SQRT(L_Rp0^2+L_Rp1^2*C348)</f>
        <v>185621777.71578</v>
      </c>
      <c r="E348" s="5" t="str">
        <f aca="false">COMPLEX(D348,C348*L_Mp)</f>
        <v>185621777.71578+2283864352.28379i</v>
      </c>
      <c r="F348" s="5" t="str">
        <f aca="false">IMDIV(1,E348)</f>
        <v>3.5353217172433e-11-4.34981032033306e-10i</v>
      </c>
      <c r="G348" s="5" t="str">
        <f aca="false">COMPLEX(0,C348*L_Cf)</f>
        <v>1.63476930625996e-10i</v>
      </c>
      <c r="H348" s="5" t="str">
        <f aca="false">COMPLEX(0,C348*L_Cbv)</f>
        <v>1.63476930625996e-09i</v>
      </c>
      <c r="I348" s="5" t="str">
        <f aca="false">COMPLEX(L_Rsq+L_Rh,C348*(L_Md+L_Mh)-1/(C348*L_Cd))</f>
        <v>552400610.124532-6868808976.55457i</v>
      </c>
      <c r="J348" s="5" t="str">
        <f aca="false">IMDIV(1,I348)</f>
        <v>1.16329927887713e-11+1.44650103253314e-10i</v>
      </c>
      <c r="K348" s="5" t="str">
        <f aca="false">IMSUM(F348,G348,H348)</f>
        <v>3.5353217172433e-11+1.36326520485265e-09i</v>
      </c>
      <c r="L348" s="5" t="str">
        <f aca="false">IMSUM(IMPRODUCT(IMSUM(F348,G348),H348),IMPRODUCT(IMSUM(J348,L_Yv),K348))</f>
        <v>2.47132089015548e-19+8.14935855323043e-20i</v>
      </c>
      <c r="M348" s="37" t="n">
        <f aca="false">IMABS(IMDIV(IMPRODUCT(J348,F348,H348),L348))^2</f>
        <v>1.58293233457037E-019</v>
      </c>
      <c r="N348" s="5" t="str">
        <f aca="false">IMDIV(IMPRODUCT(L_Yv,K348,E348),H348)</f>
        <v>0.000408367910974716+0.0038010873646269i</v>
      </c>
      <c r="O348" s="37" t="n">
        <f aca="false">IMABS(IMSUM(1,IMPRODUCT(E348,G348),N348))^2</f>
        <v>0.394356688383699</v>
      </c>
      <c r="P348" s="37" t="n">
        <f aca="false">IMABS(N348)^2</f>
        <v>1.46150295042401E-005</v>
      </c>
      <c r="Q348" s="37" t="n">
        <f aca="false">p_Rb^2/(1+(C348*p_Rb*L_Ctot)^2)</f>
        <v>6896881224198.19</v>
      </c>
      <c r="R348" s="37" t="n">
        <f aca="false">M348*L_Kt^2*Q348</f>
        <v>0.000219105118085956</v>
      </c>
      <c r="S348" s="37" t="n">
        <f aca="false">L_kT4*D348</f>
        <v>3.05637765076633E-012</v>
      </c>
      <c r="T348" s="37" t="n">
        <f aca="false">L_kT4*L_Rsq*O348</f>
        <v>2.03704607593557E-012</v>
      </c>
      <c r="U348" s="37" t="n">
        <f aca="false">L_kT4*L_Rh*O348</f>
        <v>1.54987192230118E-012</v>
      </c>
      <c r="V348" s="37" t="n">
        <f aca="false">L_kT4*p_Rv*P348</f>
        <v>1.20322760862808E-013</v>
      </c>
      <c r="W348" s="37" t="n">
        <f aca="false">L_kT4/p_Rb*Q348/R348</f>
        <v>5.18296542935672E-016</v>
      </c>
      <c r="X348" s="37" t="n">
        <f aca="false">p_en^2*(1+p_fc/B348)/R348</f>
        <v>2.93284366547581E-013</v>
      </c>
      <c r="Y348" s="37" t="n">
        <f aca="false">p_in^2*Q348/R348</f>
        <v>7.86937485126717E-017</v>
      </c>
      <c r="Z348" s="37" t="n">
        <f aca="false">p_eo^2/L_G^2/R348</f>
        <v>2.89339328319907E-013</v>
      </c>
      <c r="AA348" s="37" t="n">
        <f aca="false">SUM(S348:Z348)</f>
        <v>7.34683909502483E-012</v>
      </c>
      <c r="AB348" s="47" t="n">
        <f aca="false">10*LOG10(AA348/L_PREF^2)</f>
        <v>-17.3595946297236</v>
      </c>
      <c r="AC348" s="47" t="n">
        <f aca="false">10*LOG10(S348/L_PREF^2)</f>
        <v>-21.168529760085</v>
      </c>
      <c r="AD348" s="47" t="n">
        <f aca="false">10*LOG10(T348/L_PREF^2)</f>
        <v>-22.9305913891186</v>
      </c>
      <c r="AE348" s="47" t="n">
        <f aca="false">10*LOG10(U348/L_PREF^2)</f>
        <v>-24.1176418072934</v>
      </c>
      <c r="AF348" s="47" t="n">
        <f aca="false">10*LOG10(V348/L_PREF^2)</f>
        <v>-35.2171220287323</v>
      </c>
      <c r="AG348" s="47" t="n">
        <f aca="false">10*LOG10(W348/L_PREF^2)</f>
        <v>-58.8748167924507</v>
      </c>
      <c r="AH348" s="47" t="n">
        <f aca="false">10*LOG10(X348/L_PREF^2)</f>
        <v>-31.3477107769304</v>
      </c>
      <c r="AI348" s="47" t="n">
        <f aca="false">10*LOG10(Y348/L_PREF^2)</f>
        <v>-67.0611975826099</v>
      </c>
      <c r="AJ348" s="47" t="n">
        <f aca="false">10*LOG10(Z348/L_PREF^2)</f>
        <v>-31.4065252238283</v>
      </c>
      <c r="AK348" s="47" t="n">
        <f aca="false">10*LOG10(R348/$R$6)</f>
        <v>10.1188161774023</v>
      </c>
      <c r="AL348" s="37" t="n">
        <f aca="false">(12194^2*B348^4/((B348^2+20.6^2)*SQRT((B348^2+107.7^2)*(B348^2+737.9^2))*(B348^2+12194^2))*1.2589254)^2</f>
        <v>0.0615611384063706</v>
      </c>
      <c r="AM348" s="37" t="n">
        <v>0</v>
      </c>
      <c r="AN348" s="37" t="n">
        <v>0</v>
      </c>
      <c r="AO348" s="37" t="n">
        <v>0</v>
      </c>
      <c r="AP348" s="37" t="n">
        <v>0</v>
      </c>
      <c r="AQ348" s="37" t="n">
        <v>0</v>
      </c>
      <c r="AR348" s="37" t="n">
        <v>0</v>
      </c>
      <c r="AS348" s="37" t="n">
        <v>0</v>
      </c>
      <c r="AT348" s="37" t="n">
        <v>0</v>
      </c>
      <c r="AU348" s="37" t="n">
        <v>0</v>
      </c>
      <c r="AV348" s="37" t="n">
        <v>0</v>
      </c>
      <c r="AW348" s="37" t="n">
        <v>0</v>
      </c>
      <c r="AX348" s="37" t="n">
        <v>0</v>
      </c>
      <c r="AY348" s="37" t="n">
        <v>0</v>
      </c>
      <c r="AZ348" s="37" t="n">
        <v>0</v>
      </c>
      <c r="BA348" s="37" t="n">
        <v>0</v>
      </c>
      <c r="BB348" s="37" t="n">
        <v>0</v>
      </c>
      <c r="BC348" s="37" t="n">
        <v>0</v>
      </c>
      <c r="BD348" s="37" t="n">
        <v>0</v>
      </c>
      <c r="BE348" s="37" t="n">
        <f aca="false">IF(B348&gt;2000,AK348,-999)</f>
        <v>10.1188161774023</v>
      </c>
      <c r="BF348" s="37" t="n">
        <f aca="false">IF(AND(B348&lt;1000,AK348&gt;=-3),B348,1000000000)</f>
        <v>1000000000</v>
      </c>
    </row>
    <row r="349" customFormat="false" ht="15" hidden="false" customHeight="false" outlineLevel="0" collapsed="false">
      <c r="A349" s="5" t="n">
        <v>310</v>
      </c>
      <c r="B349" s="47" t="n">
        <f aca="false">20*10^(A349/100)</f>
        <v>25178.5082358834</v>
      </c>
      <c r="C349" s="37" t="n">
        <f aca="false">2*PI()*B349</f>
        <v>158201.233004402</v>
      </c>
      <c r="D349" s="37" t="n">
        <f aca="false">SQRT(L_Rp0^2+L_Rp1^2*C349)</f>
        <v>187406424.815881</v>
      </c>
      <c r="E349" s="5" t="str">
        <f aca="false">COMPLEX(D349,C349*L_Mp)</f>
        <v>187406424.815881+2337062387.01183i</v>
      </c>
      <c r="F349" s="5" t="str">
        <f aca="false">IMDIV(1,E349)</f>
        <v>3.40926043957329e-11-4.25153745325543e-10i</v>
      </c>
      <c r="G349" s="5" t="str">
        <f aca="false">COMPLEX(0,C349*L_Cf)</f>
        <v>1.67284797509149e-10i</v>
      </c>
      <c r="H349" s="5" t="str">
        <f aca="false">COMPLEX(0,C349*L_Cbv)</f>
        <v>1.67284797509149e-09i</v>
      </c>
      <c r="I349" s="5" t="str">
        <f aca="false">COMPLEX(L_Rsq+L_Rh,C349*(L_Md+L_Mh)-1/(C349*L_Cd))</f>
        <v>552400610.124532-6685626842.13318i</v>
      </c>
      <c r="J349" s="5" t="str">
        <f aca="false">IMDIV(1,I349)</f>
        <v>1.22748182478843e-11+1.48560397755283e-10i</v>
      </c>
      <c r="K349" s="5" t="str">
        <f aca="false">IMSUM(F349,G349,H349)</f>
        <v>3.40926043957329e-11+1.4149790272751e-09i</v>
      </c>
      <c r="L349" s="5" t="str">
        <f aca="false">IMSUM(IMPRODUCT(IMSUM(F349,G349),H349),IMPRODUCT(IMSUM(J349,L_Yv),K349))</f>
        <v>2.21652365817602e-19+8.22951235374608e-20i</v>
      </c>
      <c r="M349" s="37" t="n">
        <f aca="false">IMABS(IMDIV(IMPRODUCT(J349,F349,H349),L349))^2</f>
        <v>2.02357925692312E-019</v>
      </c>
      <c r="N349" s="5" t="str">
        <f aca="false">IMDIV(IMPRODUCT(L_Yv,K349,E349),H349)</f>
        <v>0.000412294134594939+0.0039459713483794i</v>
      </c>
      <c r="O349" s="37" t="n">
        <f aca="false">IMABS(IMSUM(1,IMPRODUCT(E349,G349),N349))^2</f>
        <v>0.37268400635307</v>
      </c>
      <c r="P349" s="37" t="n">
        <f aca="false">IMABS(N349)^2</f>
        <v>1.57406763356525E-005</v>
      </c>
      <c r="Q349" s="37" t="n">
        <f aca="false">p_Rb^2/(1+(C349*p_Rb*L_Ctot)^2)</f>
        <v>6586470435781.75</v>
      </c>
      <c r="R349" s="37" t="n">
        <f aca="false">M349*L_Kt^2*Q349</f>
        <v>0.000267491749249714</v>
      </c>
      <c r="S349" s="37" t="n">
        <f aca="false">L_kT4*D349</f>
        <v>3.0857629717043E-012</v>
      </c>
      <c r="T349" s="37" t="n">
        <f aca="false">L_kT4*L_Rsq*O349</f>
        <v>1.92509602364551E-012</v>
      </c>
      <c r="U349" s="37" t="n">
        <f aca="false">L_kT4*L_Rh*O349</f>
        <v>1.46469552654153E-012</v>
      </c>
      <c r="V349" s="37" t="n">
        <f aca="false">L_kT4*p_Rv*P349</f>
        <v>1.29589997338295E-013</v>
      </c>
      <c r="W349" s="37" t="n">
        <f aca="false">L_kT4/p_Rb*Q349/R349</f>
        <v>4.05434259074383E-016</v>
      </c>
      <c r="X349" s="37" t="n">
        <f aca="false">p_en^2*(1+p_fc/B349)/R349</f>
        <v>2.40209969897531E-013</v>
      </c>
      <c r="Y349" s="37" t="n">
        <f aca="false">p_in^2*Q349/R349</f>
        <v>6.15576971463241E-017</v>
      </c>
      <c r="Z349" s="37" t="n">
        <f aca="false">p_eo^2/L_G^2/R349</f>
        <v>2.37000684605274E-013</v>
      </c>
      <c r="AA349" s="37" t="n">
        <f aca="false">SUM(S349:Z349)</f>
        <v>7.08282216568866E-012</v>
      </c>
      <c r="AB349" s="47" t="n">
        <f aca="false">10*LOG10(AA349/L_PREF^2)</f>
        <v>-17.5185365358572</v>
      </c>
      <c r="AC349" s="47" t="n">
        <f aca="false">10*LOG10(S349/L_PREF^2)</f>
        <v>-21.1269742800471</v>
      </c>
      <c r="AD349" s="47" t="n">
        <f aca="false">10*LOG10(T349/L_PREF^2)</f>
        <v>-23.1760759436692</v>
      </c>
      <c r="AE349" s="47" t="n">
        <f aca="false">10*LOG10(U349/L_PREF^2)</f>
        <v>-24.363126361844</v>
      </c>
      <c r="AF349" s="47" t="n">
        <f aca="false">10*LOG10(V349/L_PREF^2)</f>
        <v>-34.8948851038315</v>
      </c>
      <c r="AG349" s="47" t="n">
        <f aca="false">10*LOG10(W349/L_PREF^2)</f>
        <v>-59.9413954766578</v>
      </c>
      <c r="AH349" s="47" t="n">
        <f aca="false">10*LOG10(X349/L_PREF^2)</f>
        <v>-32.2146896252575</v>
      </c>
      <c r="AI349" s="47" t="n">
        <f aca="false">10*LOG10(Y349/L_PREF^2)</f>
        <v>-68.1277762668169</v>
      </c>
      <c r="AJ349" s="47" t="n">
        <f aca="false">10*LOG10(Z349/L_PREF^2)</f>
        <v>-32.2731039080367</v>
      </c>
      <c r="AK349" s="47" t="n">
        <f aca="false">10*LOG10(R349/$R$6)</f>
        <v>10.9853948616107</v>
      </c>
      <c r="AL349" s="37" t="n">
        <f aca="false">(12194^2*B349^4/((B349^2+20.6^2)*SQRT((B349^2+107.7^2)*(B349^2+737.9^2))*(B349^2+12194^2))*1.2589254)^2</f>
        <v>0.0571567051848612</v>
      </c>
      <c r="AM349" s="37" t="n">
        <v>0</v>
      </c>
      <c r="AN349" s="37" t="n">
        <v>0</v>
      </c>
      <c r="AO349" s="37" t="n">
        <v>0</v>
      </c>
      <c r="AP349" s="37" t="n">
        <v>0</v>
      </c>
      <c r="AQ349" s="37" t="n">
        <v>0</v>
      </c>
      <c r="AR349" s="37" t="n">
        <v>0</v>
      </c>
      <c r="AS349" s="37" t="n">
        <v>0</v>
      </c>
      <c r="AT349" s="37" t="n">
        <v>0</v>
      </c>
      <c r="AU349" s="37" t="n">
        <v>0</v>
      </c>
      <c r="AV349" s="37" t="n">
        <v>0</v>
      </c>
      <c r="AW349" s="37" t="n">
        <v>0</v>
      </c>
      <c r="AX349" s="37" t="n">
        <v>0</v>
      </c>
      <c r="AY349" s="37" t="n">
        <v>0</v>
      </c>
      <c r="AZ349" s="37" t="n">
        <v>0</v>
      </c>
      <c r="BA349" s="37" t="n">
        <v>0</v>
      </c>
      <c r="BB349" s="37" t="n">
        <v>0</v>
      </c>
      <c r="BC349" s="37" t="n">
        <v>0</v>
      </c>
      <c r="BD349" s="37" t="n">
        <v>0</v>
      </c>
      <c r="BE349" s="37" t="n">
        <f aca="false">IF(B349&gt;2000,AK349,-999)</f>
        <v>10.9853948616107</v>
      </c>
      <c r="BF349" s="37" t="n">
        <f aca="false">IF(AND(B349&lt;1000,AK349&gt;=-3),B349,1000000000)</f>
        <v>1000000000</v>
      </c>
    </row>
    <row r="350" customFormat="false" ht="15" hidden="false" customHeight="false" outlineLevel="0" collapsed="false">
      <c r="A350" s="5" t="n">
        <v>311</v>
      </c>
      <c r="B350" s="47" t="n">
        <f aca="false">20*10^(A350/100)</f>
        <v>25764.9910338627</v>
      </c>
      <c r="C350" s="37" t="n">
        <f aca="false">2*PI()*B350</f>
        <v>161886.21310358</v>
      </c>
      <c r="D350" s="37" t="n">
        <f aca="false">SQRT(L_Rp0^2+L_Rp1^2*C350)</f>
        <v>189215217.303412</v>
      </c>
      <c r="E350" s="5" t="str">
        <f aca="false">COMPLEX(D350,C350*L_Mp)</f>
        <v>189215217.303412+2391499563.15214i</v>
      </c>
      <c r="F350" s="5" t="str">
        <f aca="false">IMDIV(1,E350)</f>
        <v>3.28779898712106e-11-4.15546379064422e-10i</v>
      </c>
      <c r="G350" s="5" t="str">
        <f aca="false">COMPLEX(0,C350*L_Cf)</f>
        <v>1.71181361006217e-10i</v>
      </c>
      <c r="H350" s="5" t="str">
        <f aca="false">COMPLEX(0,C350*L_Cbv)</f>
        <v>1.71181361006217e-09i</v>
      </c>
      <c r="I350" s="5" t="str">
        <f aca="false">COMPLEX(L_Rsq+L_Rh,C350*(L_Md+L_Mh)-1/(C350*L_Cd))</f>
        <v>552400610.124532-6505989515.55822i</v>
      </c>
      <c r="J350" s="5" t="str">
        <f aca="false">IMDIV(1,I350)</f>
        <v>1.29570992883533e-11+1.526043790992e-10i</v>
      </c>
      <c r="K350" s="5" t="str">
        <f aca="false">IMSUM(F350,G350,H350)</f>
        <v>3.28779898712106e-11+1.46744859200397e-09i</v>
      </c>
      <c r="L350" s="5" t="str">
        <f aca="false">IMSUM(IMPRODUCT(IMSUM(F350,G350),H350),IMPRODUCT(IMSUM(J350,L_Yv),K350))</f>
        <v>1.94860041851267e-19+8.3247090054508e-20i</v>
      </c>
      <c r="M350" s="37" t="n">
        <f aca="false">IMABS(IMDIV(IMPRODUCT(J350,F350,H350),L350))^2</f>
        <v>2.65989486961444E-019</v>
      </c>
      <c r="N350" s="5" t="str">
        <f aca="false">IMDIV(IMPRODUCT(L_Yv,K350,E350),H350)</f>
        <v>0.000416273478067508+0.0040929475383719i</v>
      </c>
      <c r="O350" s="37" t="n">
        <f aca="false">IMABS(IMSUM(1,IMPRODUCT(E350,G350),N350))^2</f>
        <v>0.350654713279581</v>
      </c>
      <c r="P350" s="37" t="n">
        <f aca="false">IMABS(N350)^2</f>
        <v>1.6925503160407E-005</v>
      </c>
      <c r="Q350" s="37" t="n">
        <f aca="false">p_Rb^2/(1+(C350*p_Rb*L_Ctot)^2)</f>
        <v>6290030434222.82</v>
      </c>
      <c r="R350" s="37" t="n">
        <f aca="false">M350*L_Kt^2*Q350</f>
        <v>0.00033577985997169</v>
      </c>
      <c r="S350" s="37" t="n">
        <f aca="false">L_kT4*D350</f>
        <v>3.11554586141581E-012</v>
      </c>
      <c r="T350" s="37" t="n">
        <f aca="false">L_kT4*L_Rsq*O350</f>
        <v>1.81130390008623E-012</v>
      </c>
      <c r="U350" s="37" t="n">
        <f aca="false">L_kT4*L_Rh*O350</f>
        <v>1.37811760404533E-012</v>
      </c>
      <c r="V350" s="37" t="n">
        <f aca="false">L_kT4*p_Rv*P350</f>
        <v>1.39344451453999E-013</v>
      </c>
      <c r="W350" s="37" t="n">
        <f aca="false">L_kT4/p_Rb*Q350/R350</f>
        <v>3.08443903584746E-016</v>
      </c>
      <c r="X350" s="37" t="n">
        <f aca="false">p_en^2*(1+p_fc/B350)/R350</f>
        <v>1.91340835876035E-013</v>
      </c>
      <c r="Y350" s="37" t="n">
        <f aca="false">p_in^2*Q350/R350</f>
        <v>4.68315046854891E-017</v>
      </c>
      <c r="Z350" s="37" t="n">
        <f aca="false">p_eo^2/L_G^2/R350</f>
        <v>1.88801459693829E-013</v>
      </c>
      <c r="AA350" s="37" t="n">
        <f aca="false">SUM(S350:Z350)</f>
        <v>6.8248093879795E-012</v>
      </c>
      <c r="AB350" s="47" t="n">
        <f aca="false">10*LOG10(AA350/L_PREF^2)</f>
        <v>-17.6796946497849</v>
      </c>
      <c r="AC350" s="47" t="n">
        <f aca="false">10*LOG10(S350/L_PREF^2)</f>
        <v>-21.085258427944</v>
      </c>
      <c r="AD350" s="47" t="n">
        <f aca="false">10*LOG10(T350/L_PREF^2)</f>
        <v>-23.4406866908794</v>
      </c>
      <c r="AE350" s="47" t="n">
        <f aca="false">10*LOG10(U350/L_PREF^2)</f>
        <v>-24.6277371090542</v>
      </c>
      <c r="AF350" s="47" t="n">
        <f aca="false">10*LOG10(V350/L_PREF^2)</f>
        <v>-34.5797031107294</v>
      </c>
      <c r="AG350" s="47" t="n">
        <f aca="false">10*LOG10(W350/L_PREF^2)</f>
        <v>-61.1288380052384</v>
      </c>
      <c r="AH350" s="47" t="n">
        <f aca="false">10*LOG10(X350/L_PREF^2)</f>
        <v>-33.2025232447361</v>
      </c>
      <c r="AI350" s="47" t="n">
        <f aca="false">10*LOG10(Y350/L_PREF^2)</f>
        <v>-69.3152187953976</v>
      </c>
      <c r="AJ350" s="47" t="n">
        <f aca="false">10*LOG10(Z350/L_PREF^2)</f>
        <v>-33.2605464366186</v>
      </c>
      <c r="AK350" s="47" t="n">
        <f aca="false">10*LOG10(R350/$R$6)</f>
        <v>11.9728373901926</v>
      </c>
      <c r="AL350" s="37" t="n">
        <f aca="false">(12194^2*B350^4/((B350^2+20.6^2)*SQRT((B350^2+107.7^2)*(B350^2+737.9^2))*(B350^2+12194^2))*1.2589254)^2</f>
        <v>0.0530326632939861</v>
      </c>
      <c r="AM350" s="37" t="n">
        <v>0</v>
      </c>
      <c r="AN350" s="37" t="n">
        <v>0</v>
      </c>
      <c r="AO350" s="37" t="n">
        <v>0</v>
      </c>
      <c r="AP350" s="37" t="n">
        <v>0</v>
      </c>
      <c r="AQ350" s="37" t="n">
        <v>0</v>
      </c>
      <c r="AR350" s="37" t="n">
        <v>0</v>
      </c>
      <c r="AS350" s="37" t="n">
        <v>0</v>
      </c>
      <c r="AT350" s="37" t="n">
        <v>0</v>
      </c>
      <c r="AU350" s="37" t="n">
        <v>0</v>
      </c>
      <c r="AV350" s="37" t="n">
        <v>0</v>
      </c>
      <c r="AW350" s="37" t="n">
        <v>0</v>
      </c>
      <c r="AX350" s="37" t="n">
        <v>0</v>
      </c>
      <c r="AY350" s="37" t="n">
        <v>0</v>
      </c>
      <c r="AZ350" s="37" t="n">
        <v>0</v>
      </c>
      <c r="BA350" s="37" t="n">
        <v>0</v>
      </c>
      <c r="BB350" s="37" t="n">
        <v>0</v>
      </c>
      <c r="BC350" s="37" t="n">
        <v>0</v>
      </c>
      <c r="BD350" s="37" t="n">
        <v>0</v>
      </c>
      <c r="BE350" s="37" t="n">
        <f aca="false">IF(B350&gt;2000,AK350,-999)</f>
        <v>11.9728373901926</v>
      </c>
      <c r="BF350" s="37" t="n">
        <f aca="false">IF(AND(B350&lt;1000,AK350&gt;=-3),B350,1000000000)</f>
        <v>1000000000</v>
      </c>
    </row>
    <row r="351" customFormat="false" ht="15" hidden="false" customHeight="false" outlineLevel="0" collapsed="false">
      <c r="A351" s="5" t="n">
        <v>312</v>
      </c>
      <c r="B351" s="47" t="n">
        <f aca="false">20*10^(A351/100)</f>
        <v>26365.1347711282</v>
      </c>
      <c r="C351" s="37" t="n">
        <f aca="false">2*PI()*B351</f>
        <v>165657.027415762</v>
      </c>
      <c r="D351" s="37" t="n">
        <f aca="false">SQRT(L_Rp0^2+L_Rp1^2*C351)</f>
        <v>191048414.676649</v>
      </c>
      <c r="E351" s="5" t="str">
        <f aca="false">COMPLEX(D351,C351*L_Mp)</f>
        <v>191048414.676649+2447204744.01607i</v>
      </c>
      <c r="F351" s="5" t="str">
        <f aca="false">IMDIV(1,E351)</f>
        <v>3.17076460880581e-11-4.06154126217737e-10i</v>
      </c>
      <c r="G351" s="5" t="str">
        <f aca="false">COMPLEX(0,C351*L_Cf)</f>
        <v>1.75168687126744e-10i</v>
      </c>
      <c r="H351" s="5" t="str">
        <f aca="false">COMPLEX(0,C351*L_Cbv)</f>
        <v>1.75168687126744e-09i</v>
      </c>
      <c r="I351" s="5" t="str">
        <f aca="false">COMPLEX(L_Rsq+L_Rh,C351*(L_Md+L_Mh)-1/(C351*L_Cd))</f>
        <v>552400610.124532-6329801750.74135i</v>
      </c>
      <c r="J351" s="5" t="str">
        <f aca="false">IMDIV(1,I351)</f>
        <v>1.36829225768916e-11+1.56788724876573e-10i</v>
      </c>
      <c r="K351" s="5" t="str">
        <f aca="false">IMSUM(F351,G351,H351)</f>
        <v>3.17076460880581e-11+1.52070143217645e-09i</v>
      </c>
      <c r="L351" s="5" t="str">
        <f aca="false">IMSUM(IMPRODUCT(IMSUM(F351,G351),H351),IMPRODUCT(IMSUM(J351,L_Yv),K351))</f>
        <v>1.66682591199407e-19+8.43623115936215e-20i</v>
      </c>
      <c r="M351" s="37" t="n">
        <f aca="false">IMABS(IMDIV(IMPRODUCT(J351,F351,H351),L351))^2</f>
        <v>3.61436275898327E-019</v>
      </c>
      <c r="N351" s="5" t="str">
        <f aca="false">IMDIV(IMPRODUCT(L_Yv,K351,E351),H351)</f>
        <v>0.000420306512288629+0.0042420938633258i</v>
      </c>
      <c r="O351" s="37" t="n">
        <f aca="false">IMABS(IMSUM(1,IMPRODUCT(E351,G351),N351))^2</f>
        <v>0.328316125937527</v>
      </c>
      <c r="P351" s="37" t="n">
        <f aca="false">IMABS(N351)^2</f>
        <v>1.81720179095386E-005</v>
      </c>
      <c r="Q351" s="37" t="n">
        <f aca="false">p_Rb^2/(1+(C351*p_Rb*L_Ctot)^2)</f>
        <v>6006932430533.68</v>
      </c>
      <c r="R351" s="37" t="n">
        <f aca="false">M351*L_Kt^2*Q351</f>
        <v>0.00043573446325296</v>
      </c>
      <c r="S351" s="37" t="n">
        <f aca="false">L_kT4*D351</f>
        <v>3.14573059270087E-012</v>
      </c>
      <c r="T351" s="37" t="n">
        <f aca="false">L_kT4*L_Rsq*O351</f>
        <v>1.69591411964766E-012</v>
      </c>
      <c r="U351" s="37" t="n">
        <f aca="false">L_kT4*L_Rh*O351</f>
        <v>1.29032411575121E-012</v>
      </c>
      <c r="V351" s="37" t="n">
        <f aca="false">L_kT4*p_Rv*P351</f>
        <v>1.49606770529593E-013</v>
      </c>
      <c r="W351" s="37" t="n">
        <f aca="false">L_kT4/p_Rb*Q351/R351</f>
        <v>2.26991149316652E-016</v>
      </c>
      <c r="X351" s="37" t="n">
        <f aca="false">p_en^2*(1+p_fc/B351)/R351</f>
        <v>1.47435537562045E-013</v>
      </c>
      <c r="Y351" s="37" t="n">
        <f aca="false">p_in^2*Q351/R351</f>
        <v>3.44644097329893E-017</v>
      </c>
      <c r="Z351" s="37" t="n">
        <f aca="false">p_eo^2/L_G^2/R351</f>
        <v>1.45491653850756E-013</v>
      </c>
      <c r="AA351" s="37" t="n">
        <f aca="false">SUM(S351:Z351)</f>
        <v>6.57476424560119E-012</v>
      </c>
      <c r="AB351" s="47" t="n">
        <f aca="false">10*LOG10(AA351/L_PREF^2)</f>
        <v>-17.8417980658748</v>
      </c>
      <c r="AC351" s="47" t="n">
        <f aca="false">10*LOG10(S351/L_PREF^2)</f>
        <v>-21.0433846538444</v>
      </c>
      <c r="AD351" s="47" t="n">
        <f aca="false">10*LOG10(T351/L_PREF^2)</f>
        <v>-23.7265613533384</v>
      </c>
      <c r="AE351" s="47" t="n">
        <f aca="false">10*LOG10(U351/L_PREF^2)</f>
        <v>-24.9136117715131</v>
      </c>
      <c r="AF351" s="47" t="n">
        <f aca="false">10*LOG10(V351/L_PREF^2)</f>
        <v>-34.2710874313972</v>
      </c>
      <c r="AG351" s="47" t="n">
        <f aca="false">10*LOG10(W351/L_PREF^2)</f>
        <v>-62.4605106751755</v>
      </c>
      <c r="AH351" s="47" t="n">
        <f aca="false">10*LOG10(X351/L_PREF^2)</f>
        <v>-34.3345781372837</v>
      </c>
      <c r="AI351" s="47" t="n">
        <f aca="false">10*LOG10(Y351/L_PREF^2)</f>
        <v>-70.6468914653347</v>
      </c>
      <c r="AJ351" s="47" t="n">
        <f aca="false">10*LOG10(Z351/L_PREF^2)</f>
        <v>-34.392219106557</v>
      </c>
      <c r="AK351" s="47" t="n">
        <f aca="false">10*LOG10(R351/$R$6)</f>
        <v>13.1045100601309</v>
      </c>
      <c r="AL351" s="37" t="n">
        <f aca="false">(12194^2*B351^4/((B351^2+20.6^2)*SQRT((B351^2+107.7^2)*(B351^2+737.9^2))*(B351^2+12194^2))*1.2589254)^2</f>
        <v>0.0491749019369146</v>
      </c>
      <c r="AM351" s="37" t="n">
        <v>0</v>
      </c>
      <c r="AN351" s="37" t="n">
        <v>0</v>
      </c>
      <c r="AO351" s="37" t="n">
        <v>0</v>
      </c>
      <c r="AP351" s="37" t="n">
        <v>0</v>
      </c>
      <c r="AQ351" s="37" t="n">
        <v>0</v>
      </c>
      <c r="AR351" s="37" t="n">
        <v>0</v>
      </c>
      <c r="AS351" s="37" t="n">
        <v>0</v>
      </c>
      <c r="AT351" s="37" t="n">
        <v>0</v>
      </c>
      <c r="AU351" s="37" t="n">
        <v>0</v>
      </c>
      <c r="AV351" s="37" t="n">
        <v>0</v>
      </c>
      <c r="AW351" s="37" t="n">
        <v>0</v>
      </c>
      <c r="AX351" s="37" t="n">
        <v>0</v>
      </c>
      <c r="AY351" s="37" t="n">
        <v>0</v>
      </c>
      <c r="AZ351" s="37" t="n">
        <v>0</v>
      </c>
      <c r="BA351" s="37" t="n">
        <v>0</v>
      </c>
      <c r="BB351" s="37" t="n">
        <v>0</v>
      </c>
      <c r="BC351" s="37" t="n">
        <v>0</v>
      </c>
      <c r="BD351" s="37" t="n">
        <v>0</v>
      </c>
      <c r="BE351" s="37" t="n">
        <f aca="false">IF(B351&gt;2000,AK351,-999)</f>
        <v>13.1045100601309</v>
      </c>
      <c r="BF351" s="37" t="n">
        <f aca="false">IF(AND(B351&lt;1000,AK351&gt;=-3),B351,1000000000)</f>
        <v>1000000000</v>
      </c>
    </row>
    <row r="352" customFormat="false" ht="15" hidden="false" customHeight="false" outlineLevel="0" collapsed="false">
      <c r="A352" s="5" t="n">
        <v>313</v>
      </c>
      <c r="B352" s="47" t="n">
        <f aca="false">20*10^(A352/100)</f>
        <v>26979.2576518331</v>
      </c>
      <c r="C352" s="37" t="n">
        <f aca="false">2*PI()*B352</f>
        <v>169515.67527661</v>
      </c>
      <c r="D352" s="37" t="n">
        <f aca="false">SQRT(L_Rp0^2+L_Rp1^2*C352)</f>
        <v>192906279.179456</v>
      </c>
      <c r="E352" s="5" t="str">
        <f aca="false">COMPLEX(D352,C352*L_Mp)</f>
        <v>192906279.179456+2504207465.22786i</v>
      </c>
      <c r="F352" s="5" t="str">
        <f aca="false">IMDIV(1,E352)</f>
        <v>3.05799124920357e-11-3.96972278322425e-10i</v>
      </c>
      <c r="G352" s="5" t="str">
        <f aca="false">COMPLEX(0,C352*L_Cf)</f>
        <v>1.79248890003817e-10i</v>
      </c>
      <c r="H352" s="5" t="str">
        <f aca="false">COMPLEX(0,C352*L_Cbv)</f>
        <v>1.79248890003817e-09i</v>
      </c>
      <c r="I352" s="5" t="str">
        <f aca="false">COMPLEX(L_Rsq+L_Rh,C352*(L_Md+L_Mh)-1/(C352*L_Cd))</f>
        <v>552400610.124532-6156970130.59757i</v>
      </c>
      <c r="J352" s="5" t="str">
        <f aca="false">IMDIV(1,I352)</f>
        <v>1.44556676666732e-11+1.61120593298199e-10i</v>
      </c>
      <c r="K352" s="5" t="str">
        <f aca="false">IMSUM(F352,G352,H352)</f>
        <v>3.05799124920357e-11+1.57476551171956e-09i</v>
      </c>
      <c r="L352" s="5" t="str">
        <f aca="false">IMSUM(IMPRODUCT(IMSUM(F352,G352),H352),IMPRODUCT(IMSUM(J352,L_Yv),K352))</f>
        <v>1.37042816163252e-19+8.5655025263632e-20i</v>
      </c>
      <c r="M352" s="37" t="n">
        <f aca="false">IMABS(IMDIV(IMPRODUCT(J352,F352,H352),L352))^2</f>
        <v>5.10334520985046E-019</v>
      </c>
      <c r="N352" s="5" t="str">
        <f aca="false">IMDIV(IMPRODUCT(L_Yv,K352,E352),H352)</f>
        <v>0.000424393814194803+0.00439348940259677i</v>
      </c>
      <c r="O352" s="37" t="n">
        <f aca="false">IMABS(IMSUM(1,IMPRODUCT(E352,G352),N352))^2</f>
        <v>0.305723975538114</v>
      </c>
      <c r="P352" s="37" t="n">
        <f aca="false">IMABS(N352)^2</f>
        <v>1.9482859240257E-005</v>
      </c>
      <c r="Q352" s="37" t="n">
        <f aca="false">p_Rb^2/(1+(C352*p_Rb*L_Ctot)^2)</f>
        <v>5736575935892.95</v>
      </c>
      <c r="R352" s="37" t="n">
        <f aca="false">M352*L_Kt^2*Q352</f>
        <v>0.000587550389534249</v>
      </c>
      <c r="S352" s="37" t="n">
        <f aca="false">L_kT4*D352</f>
        <v>3.17632148356728E-012</v>
      </c>
      <c r="T352" s="37" t="n">
        <f aca="false">L_kT4*L_Rsq*O352</f>
        <v>1.57921456142109E-012</v>
      </c>
      <c r="U352" s="37" t="n">
        <f aca="false">L_kT4*L_Rh*O352</f>
        <v>1.20153409240466E-012</v>
      </c>
      <c r="V352" s="37" t="n">
        <f aca="false">L_kT4*p_Rv*P352</f>
        <v>1.60398678128503E-013</v>
      </c>
      <c r="W352" s="37" t="n">
        <f aca="false">L_kT4/p_Rb*Q352/R352</f>
        <v>1.60762857101128E-016</v>
      </c>
      <c r="X352" s="37" t="n">
        <f aca="false">p_en^2*(1+p_fc/B352)/R352</f>
        <v>1.09330570486281E-013</v>
      </c>
      <c r="Y352" s="37" t="n">
        <f aca="false">p_in^2*Q352/R352</f>
        <v>2.44088678948895E-017</v>
      </c>
      <c r="Z352" s="37" t="n">
        <f aca="false">p_eo^2/L_G^2/R352</f>
        <v>1.07898367233997E-013</v>
      </c>
      <c r="AA352" s="37" t="n">
        <f aca="false">SUM(S352:Z352)</f>
        <v>6.33488292496681E-012</v>
      </c>
      <c r="AB352" s="47" t="n">
        <f aca="false">10*LOG10(AA352/L_PREF^2)</f>
        <v>-18.003213982349</v>
      </c>
      <c r="AC352" s="47" t="n">
        <f aca="false">10*LOG10(S352/L_PREF^2)</f>
        <v>-21.001355393004</v>
      </c>
      <c r="AD352" s="47" t="n">
        <f aca="false">10*LOG10(T352/L_PREF^2)</f>
        <v>-24.0361885149653</v>
      </c>
      <c r="AE352" s="47" t="n">
        <f aca="false">10*LOG10(U352/L_PREF^2)</f>
        <v>-25.22323893314</v>
      </c>
      <c r="AF352" s="47" t="n">
        <f aca="false">10*LOG10(V352/L_PREF^2)</f>
        <v>-33.9685920645627</v>
      </c>
      <c r="AG352" s="47" t="n">
        <f aca="false">10*LOG10(W352/L_PREF^2)</f>
        <v>-63.9587427539401</v>
      </c>
      <c r="AH352" s="47" t="n">
        <f aca="false">10*LOG10(X352/L_PREF^2)</f>
        <v>-35.6331837707122</v>
      </c>
      <c r="AI352" s="47" t="n">
        <f aca="false">10*LOG10(Y352/L_PREF^2)</f>
        <v>-72.1451235440992</v>
      </c>
      <c r="AJ352" s="47" t="n">
        <f aca="false">10*LOG10(Z352/L_PREF^2)</f>
        <v>-35.6904511853227</v>
      </c>
      <c r="AK352" s="47" t="n">
        <f aca="false">10*LOG10(R352/$R$6)</f>
        <v>14.4027421388967</v>
      </c>
      <c r="AL352" s="37" t="n">
        <f aca="false">(12194^2*B352^4/((B352^2+20.6^2)*SQRT((B352^2+107.7^2)*(B352^2+737.9^2))*(B352^2+12194^2))*1.2589254)^2</f>
        <v>0.0455696215836001</v>
      </c>
      <c r="AM352" s="37" t="n">
        <v>0</v>
      </c>
      <c r="AN352" s="37" t="n">
        <v>0</v>
      </c>
      <c r="AO352" s="37" t="n">
        <v>0</v>
      </c>
      <c r="AP352" s="37" t="n">
        <v>0</v>
      </c>
      <c r="AQ352" s="37" t="n">
        <v>0</v>
      </c>
      <c r="AR352" s="37" t="n">
        <v>0</v>
      </c>
      <c r="AS352" s="37" t="n">
        <v>0</v>
      </c>
      <c r="AT352" s="37" t="n">
        <v>0</v>
      </c>
      <c r="AU352" s="37" t="n">
        <v>0</v>
      </c>
      <c r="AV352" s="37" t="n">
        <v>0</v>
      </c>
      <c r="AW352" s="37" t="n">
        <v>0</v>
      </c>
      <c r="AX352" s="37" t="n">
        <v>0</v>
      </c>
      <c r="AY352" s="37" t="n">
        <v>0</v>
      </c>
      <c r="AZ352" s="37" t="n">
        <v>0</v>
      </c>
      <c r="BA352" s="37" t="n">
        <v>0</v>
      </c>
      <c r="BB352" s="37" t="n">
        <v>0</v>
      </c>
      <c r="BC352" s="37" t="n">
        <v>0</v>
      </c>
      <c r="BD352" s="37" t="n">
        <v>0</v>
      </c>
      <c r="BE352" s="37" t="n">
        <f aca="false">IF(B352&gt;2000,AK352,-999)</f>
        <v>14.4027421388967</v>
      </c>
      <c r="BF352" s="37" t="n">
        <f aca="false">IF(AND(B352&lt;1000,AK352&gt;=-3),B352,1000000000)</f>
        <v>1000000000</v>
      </c>
    </row>
    <row r="353" customFormat="false" ht="15" hidden="false" customHeight="false" outlineLevel="0" collapsed="false">
      <c r="A353" s="5" t="n">
        <v>314</v>
      </c>
      <c r="B353" s="47" t="n">
        <f aca="false">20*10^(A353/100)</f>
        <v>27607.6852920577</v>
      </c>
      <c r="C353" s="37" t="n">
        <f aca="false">2*PI()*B353</f>
        <v>173464.202592295</v>
      </c>
      <c r="D353" s="37" t="n">
        <f aca="false">SQRT(L_Rp0^2+L_Rp1^2*C353)</f>
        <v>194789075.844779</v>
      </c>
      <c r="E353" s="5" t="str">
        <f aca="false">COMPLEX(D353,C353*L_Mp)</f>
        <v>194789075.844779+2562537950.38482i</v>
      </c>
      <c r="F353" s="5" t="str">
        <f aca="false">IMDIV(1,E353)</f>
        <v>2.94931928185014e-11-3.87996223852163e-10i</v>
      </c>
      <c r="G353" s="5" t="str">
        <f aca="false">COMPLEX(0,C353*L_Cf)</f>
        <v>1.8342413301501e-10i</v>
      </c>
      <c r="H353" s="5" t="str">
        <f aca="false">COMPLEX(0,C353*L_Cbv)</f>
        <v>1.8342413301501e-09i</v>
      </c>
      <c r="I353" s="5" t="str">
        <f aca="false">COMPLEX(L_Rsq+L_Rh,C353*(L_Md+L_Mh)-1/(C353*L_Cd))</f>
        <v>552400610.124532-5987403017.51415i</v>
      </c>
      <c r="J353" s="5" t="str">
        <f aca="false">IMDIV(1,I353)</f>
        <v>1.52790410677963e-11+1.65607667546606e-10i</v>
      </c>
      <c r="K353" s="5" t="str">
        <f aca="false">IMSUM(F353,G353,H353)</f>
        <v>2.94931928185014e-11+1.62966923931295e-09i</v>
      </c>
      <c r="L353" s="5" t="str">
        <f aca="false">IMSUM(IMPRODUCT(IMSUM(F353,G353),H353),IMPRODUCT(IMSUM(J353,L_Yv),K353))</f>
        <v>1.05858476503589e-19+8.71410538099686e-20i</v>
      </c>
      <c r="M353" s="37" t="n">
        <f aca="false">IMABS(IMDIV(IMPRODUCT(J353,F353,H353),L353))^2</f>
        <v>7.49486712411717E-019</v>
      </c>
      <c r="N353" s="5" t="str">
        <f aca="false">IMDIV(IMPRODUCT(L_Yv,K353,E353),H353)</f>
        <v>0.000428535966858515+0.00454721442810374i</v>
      </c>
      <c r="O353" s="37" t="n">
        <f aca="false">IMABS(IMSUM(1,IMPRODUCT(E353,G353),N353))^2</f>
        <v>0.282943400787217</v>
      </c>
      <c r="P353" s="37" t="n">
        <f aca="false">IMABS(N353)^2</f>
        <v>2.08608021300462E-005</v>
      </c>
      <c r="Q353" s="37" t="n">
        <f aca="false">p_Rb^2/(1+(C353*p_Rb*L_Ctot)^2)</f>
        <v>5478387487928.15</v>
      </c>
      <c r="R353" s="37" t="n">
        <f aca="false">M353*L_Kt^2*Q353</f>
        <v>0.000824051035673203</v>
      </c>
      <c r="S353" s="37" t="n">
        <f aca="false">L_kT4*D353</f>
        <v>3.20732289794679E-012</v>
      </c>
      <c r="T353" s="37" t="n">
        <f aca="false">L_kT4*L_Rsq*O353</f>
        <v>1.46154169883046E-012</v>
      </c>
      <c r="U353" s="37" t="n">
        <f aca="false">L_kT4*L_Rh*O353</f>
        <v>1.11200353740126E-012</v>
      </c>
      <c r="V353" s="37" t="n">
        <f aca="false">L_kT4*p_Rv*P353</f>
        <v>1.71743020113075E-013</v>
      </c>
      <c r="W353" s="37" t="n">
        <f aca="false">L_kT4/p_Rb*Q353/R353</f>
        <v>1.09465363844667E-016</v>
      </c>
      <c r="X353" s="37" t="n">
        <f aca="false">p_en^2*(1+p_fc/B353)/R353</f>
        <v>7.79464095385188E-014</v>
      </c>
      <c r="Y353" s="37" t="n">
        <f aca="false">p_in^2*Q353/R353</f>
        <v>1.66202918592676E-017</v>
      </c>
      <c r="Z353" s="37" t="n">
        <f aca="false">p_eo^2/L_G^2/R353</f>
        <v>7.69317978547941E-014</v>
      </c>
      <c r="AA353" s="37" t="n">
        <f aca="false">SUM(S353:Z353)</f>
        <v>6.1076154473406E-012</v>
      </c>
      <c r="AB353" s="47" t="n">
        <f aca="false">10*LOG10(AA353/L_PREF^2)</f>
        <v>-18.1618830648575</v>
      </c>
      <c r="AC353" s="47" t="n">
        <f aca="false">10*LOG10(S353/L_PREF^2)</f>
        <v>-20.9591730650483</v>
      </c>
      <c r="AD353" s="47" t="n">
        <f aca="false">10*LOG10(T353/L_PREF^2)</f>
        <v>-24.3724878072542</v>
      </c>
      <c r="AE353" s="47" t="n">
        <f aca="false">10*LOG10(U353/L_PREF^2)</f>
        <v>-25.5595382254289</v>
      </c>
      <c r="AF353" s="47" t="n">
        <f aca="false">10*LOG10(V353/L_PREF^2)</f>
        <v>-33.6718089559913</v>
      </c>
      <c r="AG353" s="47" t="n">
        <f aca="false">10*LOG10(W353/L_PREF^2)</f>
        <v>-65.6278326640448</v>
      </c>
      <c r="AH353" s="47" t="n">
        <f aca="false">10*LOG10(X353/L_PREF^2)</f>
        <v>-37.1026387633834</v>
      </c>
      <c r="AI353" s="47" t="n">
        <f aca="false">10*LOG10(Y353/L_PREF^2)</f>
        <v>-73.8142134542039</v>
      </c>
      <c r="AJ353" s="47" t="n">
        <f aca="false">10*LOG10(Z353/L_PREF^2)</f>
        <v>-37.1595410954285</v>
      </c>
      <c r="AK353" s="47" t="n">
        <f aca="false">10*LOG10(R353/$R$6)</f>
        <v>15.8718320490025</v>
      </c>
      <c r="AL353" s="37" t="n">
        <f aca="false">(12194^2*B353^4/((B353^2+20.6^2)*SQRT((B353^2+107.7^2)*(B353^2+737.9^2))*(B353^2+12194^2))*1.2589254)^2</f>
        <v>0.0422033732258325</v>
      </c>
      <c r="AM353" s="37" t="n">
        <v>0</v>
      </c>
      <c r="AN353" s="37" t="n">
        <v>0</v>
      </c>
      <c r="AO353" s="37" t="n">
        <v>0</v>
      </c>
      <c r="AP353" s="37" t="n">
        <v>0</v>
      </c>
      <c r="AQ353" s="37" t="n">
        <v>0</v>
      </c>
      <c r="AR353" s="37" t="n">
        <v>0</v>
      </c>
      <c r="AS353" s="37" t="n">
        <v>0</v>
      </c>
      <c r="AT353" s="37" t="n">
        <v>0</v>
      </c>
      <c r="AU353" s="37" t="n">
        <v>0</v>
      </c>
      <c r="AV353" s="37" t="n">
        <v>0</v>
      </c>
      <c r="AW353" s="37" t="n">
        <v>0</v>
      </c>
      <c r="AX353" s="37" t="n">
        <v>0</v>
      </c>
      <c r="AY353" s="37" t="n">
        <v>0</v>
      </c>
      <c r="AZ353" s="37" t="n">
        <v>0</v>
      </c>
      <c r="BA353" s="37" t="n">
        <v>0</v>
      </c>
      <c r="BB353" s="37" t="n">
        <v>0</v>
      </c>
      <c r="BC353" s="37" t="n">
        <v>0</v>
      </c>
      <c r="BD353" s="37" t="n">
        <v>0</v>
      </c>
      <c r="BE353" s="37" t="n">
        <f aca="false">IF(B353&gt;2000,AK353,-999)</f>
        <v>15.8718320490025</v>
      </c>
      <c r="BF353" s="37" t="n">
        <f aca="false">IF(AND(B353&lt;1000,AK353&gt;=-3),B353,1000000000)</f>
        <v>1000000000</v>
      </c>
    </row>
    <row r="354" customFormat="false" ht="15" hidden="false" customHeight="false" outlineLevel="0" collapsed="false">
      <c r="A354" s="5" t="n">
        <v>315</v>
      </c>
      <c r="B354" s="47" t="n">
        <f aca="false">20*10^(A354/100)</f>
        <v>28250.7508924551</v>
      </c>
      <c r="C354" s="37" t="n">
        <f aca="false">2*PI()*B354</f>
        <v>177504.702924264</v>
      </c>
      <c r="D354" s="37" t="n">
        <f aca="false">SQRT(L_Rp0^2+L_Rp1^2*C354)</f>
        <v>196697072.538514</v>
      </c>
      <c r="E354" s="5" t="str">
        <f aca="false">COMPLEX(D354,C354*L_Mp)</f>
        <v>196697072.538514+2622227127.08227i</v>
      </c>
      <c r="F354" s="5" t="str">
        <f aca="false">IMDIV(1,E354)</f>
        <v>2.84459525328898e-11-3.79221446586771e-10i</v>
      </c>
      <c r="G354" s="5" t="str">
        <f aca="false">COMPLEX(0,C354*L_Cf)</f>
        <v>1.87696629929433e-10i</v>
      </c>
      <c r="H354" s="5" t="str">
        <f aca="false">COMPLEX(0,C354*L_Cbv)</f>
        <v>1.87696629929433e-09i</v>
      </c>
      <c r="I354" s="5" t="str">
        <f aca="false">COMPLEX(L_Rsq+L_Rh,C354*(L_Md+L_Mh)-1/(C354*L_Cd))</f>
        <v>552400610.124532-5821010504.76328i</v>
      </c>
      <c r="J354" s="5" t="str">
        <f aca="false">IMDIV(1,I354)</f>
        <v>1.61571150303053e-11+1.70258204995236e-10i</v>
      </c>
      <c r="K354" s="5" t="str">
        <f aca="false">IMSUM(F354,G354,H354)</f>
        <v>2.84459525328898e-11+1.68544148263699e-09i</v>
      </c>
      <c r="L354" s="5" t="str">
        <f aca="false">IMSUM(IMPRODUCT(IMSUM(F354,G354),H354),IMPRODUCT(IMSUM(J354,L_Yv),K354))</f>
        <v>7.3041881318352e-20+8.8838005950278e-20i</v>
      </c>
      <c r="M354" s="37" t="n">
        <f aca="false">IMABS(IMDIV(IMPRODUCT(J354,F354,H354),L354))^2</f>
        <v>1.12661037064165E-018</v>
      </c>
      <c r="N354" s="5" t="str">
        <f aca="false">IMDIV(IMPRODUCT(L_Yv,K354,E354),H354)</f>
        <v>0.00043273355958473+0.00470335044688996i</v>
      </c>
      <c r="O354" s="37" t="n">
        <f aca="false">IMABS(IMSUM(1,IMPRODUCT(E354,G354),N354))^2</f>
        <v>0.26005004528148</v>
      </c>
      <c r="P354" s="37" t="n">
        <f aca="false">IMABS(N354)^2</f>
        <v>2.23087637598509E-005</v>
      </c>
      <c r="Q354" s="37" t="n">
        <f aca="false">p_Rb^2/(1+(C354*p_Rb*L_Ctot)^2)</f>
        <v>5231819434325.28</v>
      </c>
      <c r="R354" s="37" t="n">
        <f aca="false">M354*L_Kt^2*Q354</f>
        <v>0.00118294326650519</v>
      </c>
      <c r="S354" s="37" t="n">
        <f aca="false">L_kT4*D354</f>
        <v>3.23873924641748E-012</v>
      </c>
      <c r="T354" s="37" t="n">
        <f aca="false">L_kT4*L_Rsq*O354</f>
        <v>1.34328626822246E-012</v>
      </c>
      <c r="U354" s="37" t="n">
        <f aca="false">L_kT4*L_Rh*O354</f>
        <v>1.02202973969283E-012</v>
      </c>
      <c r="V354" s="37" t="n">
        <f aca="false">L_kT4*p_Rv*P354</f>
        <v>1.83663813079724E-013</v>
      </c>
      <c r="W354" s="37" t="n">
        <f aca="false">L_kT4/p_Rb*Q354/R354</f>
        <v>7.28227236397305E-017</v>
      </c>
      <c r="X354" s="37" t="n">
        <f aca="false">p_en^2*(1+p_fc/B354)/R354</f>
        <v>5.42938486312615E-014</v>
      </c>
      <c r="Y354" s="37" t="n">
        <f aca="false">p_in^2*Q354/R354</f>
        <v>1.10567843413611E-017</v>
      </c>
      <c r="Z354" s="37" t="n">
        <f aca="false">p_eo^2/L_G^2/R354</f>
        <v>5.35915199768934E-014</v>
      </c>
      <c r="AA354" s="37" t="n">
        <f aca="false">SUM(S354:Z354)</f>
        <v>5.89568831552863E-012</v>
      </c>
      <c r="AB354" s="47" t="n">
        <f aca="false">10*LOG10(AA354/L_PREF^2)</f>
        <v>-18.3152547550411</v>
      </c>
      <c r="AC354" s="47" t="n">
        <f aca="false">10*LOG10(S354/L_PREF^2)</f>
        <v>-20.916840073192</v>
      </c>
      <c r="AD354" s="47" t="n">
        <f aca="false">10*LOG10(T354/L_PREF^2)</f>
        <v>-24.7389141614177</v>
      </c>
      <c r="AE354" s="47" t="n">
        <f aca="false">10*LOG10(U354/L_PREF^2)</f>
        <v>-25.9259645795924</v>
      </c>
      <c r="AF354" s="47" t="n">
        <f aca="false">10*LOG10(V354/L_PREF^2)</f>
        <v>-33.3803639478218</v>
      </c>
      <c r="AG354" s="47" t="n">
        <f aca="false">10*LOG10(W354/L_PREF^2)</f>
        <v>-67.3979307339599</v>
      </c>
      <c r="AH354" s="47" t="n">
        <f aca="false">10*LOG10(X354/L_PREF^2)</f>
        <v>-38.6730936352238</v>
      </c>
      <c r="AI354" s="47" t="n">
        <f aca="false">10*LOG10(Y354/L_PREF^2)</f>
        <v>-75.5843115241191</v>
      </c>
      <c r="AJ354" s="47" t="n">
        <f aca="false">10*LOG10(Z354/L_PREF^2)</f>
        <v>-38.7296391653447</v>
      </c>
      <c r="AK354" s="47" t="n">
        <f aca="false">10*LOG10(R354/$R$6)</f>
        <v>17.4419301189187</v>
      </c>
      <c r="AL354" s="37" t="n">
        <f aca="false">(12194^2*B354^4/((B354^2+20.6^2)*SQRT((B354^2+107.7^2)*(B354^2+737.9^2))*(B354^2+12194^2))*1.2589254)^2</f>
        <v>0.0390630915193173</v>
      </c>
      <c r="AM354" s="37" t="n">
        <v>0</v>
      </c>
      <c r="AN354" s="37" t="n">
        <v>0</v>
      </c>
      <c r="AO354" s="37" t="n">
        <v>0</v>
      </c>
      <c r="AP354" s="37" t="n">
        <v>0</v>
      </c>
      <c r="AQ354" s="37" t="n">
        <v>0</v>
      </c>
      <c r="AR354" s="37" t="n">
        <v>0</v>
      </c>
      <c r="AS354" s="37" t="n">
        <v>0</v>
      </c>
      <c r="AT354" s="37" t="n">
        <v>0</v>
      </c>
      <c r="AU354" s="37" t="n">
        <v>0</v>
      </c>
      <c r="AV354" s="37" t="n">
        <v>0</v>
      </c>
      <c r="AW354" s="37" t="n">
        <v>0</v>
      </c>
      <c r="AX354" s="37" t="n">
        <v>0</v>
      </c>
      <c r="AY354" s="37" t="n">
        <v>0</v>
      </c>
      <c r="AZ354" s="37" t="n">
        <v>0</v>
      </c>
      <c r="BA354" s="37" t="n">
        <v>0</v>
      </c>
      <c r="BB354" s="37" t="n">
        <v>0</v>
      </c>
      <c r="BC354" s="37" t="n">
        <v>0</v>
      </c>
      <c r="BD354" s="37" t="n">
        <v>0</v>
      </c>
      <c r="BE354" s="37" t="n">
        <f aca="false">IF(B354&gt;2000,AK354,-999)</f>
        <v>17.4419301189187</v>
      </c>
      <c r="BF354" s="37" t="n">
        <f aca="false">IF(AND(B354&lt;1000,AK354&gt;=-3),B354,1000000000)</f>
        <v>1000000000</v>
      </c>
    </row>
    <row r="355" customFormat="false" ht="15" hidden="false" customHeight="false" outlineLevel="0" collapsed="false">
      <c r="A355" s="5" t="n">
        <v>316</v>
      </c>
      <c r="B355" s="47" t="n">
        <f aca="false">20*10^(A355/100)</f>
        <v>28908.7954149186</v>
      </c>
      <c r="C355" s="37" t="n">
        <f aca="false">2*PI()*B355</f>
        <v>181639.318599277</v>
      </c>
      <c r="D355" s="37" t="n">
        <f aca="false">SQRT(L_Rp0^2+L_Rp1^2*C355)</f>
        <v>198630540.003753</v>
      </c>
      <c r="E355" s="5" t="str">
        <f aca="false">COMPLEX(D355,C355*L_Mp)</f>
        <v>198630540.003753+2683306643.31178i</v>
      </c>
      <c r="F355" s="5" t="str">
        <f aca="false">IMDIV(1,E355)</f>
        <v>2.74367163744124e-11-3.7064352398544e-10i</v>
      </c>
      <c r="G355" s="5" t="str">
        <f aca="false">COMPLEX(0,C355*L_Cf)</f>
        <v>1.92068646081502e-10i</v>
      </c>
      <c r="H355" s="5" t="str">
        <f aca="false">COMPLEX(0,C355*L_Cbv)</f>
        <v>1.92068646081503e-09i</v>
      </c>
      <c r="I355" s="5" t="str">
        <f aca="false">COMPLEX(L_Rsq+L_Rh,C355*(L_Md+L_Mh)-1/(C355*L_Cd))</f>
        <v>552400610.124532-5657704368.83221i</v>
      </c>
      <c r="J355" s="5" t="str">
        <f aca="false">IMDIV(1,I355)</f>
        <v>1.70943717957917e-11+1.75081091908443e-10i</v>
      </c>
      <c r="K355" s="5" t="str">
        <f aca="false">IMSUM(F355,G355,H355)</f>
        <v>2.74367163744124e-11+1.74211158291109e-09i</v>
      </c>
      <c r="L355" s="5" t="str">
        <f aca="false">IMSUM(IMPRODUCT(IMSUM(F355,G355),H355),IMPRODUCT(IMSUM(J355,L_Yv),K355))</f>
        <v>3.849943893268e-20+9.07655062046298e-20i</v>
      </c>
      <c r="M355" s="37" t="n">
        <f aca="false">IMABS(IMDIV(IMPRODUCT(J355,F355,H355),L355))^2</f>
        <v>1.62220487651799E-018</v>
      </c>
      <c r="N355" s="5" t="str">
        <f aca="false">IMDIV(IMPRODUCT(L_Yv,K355,E355),H355)</f>
        <v>0.000436987188008256+0.00486198024433933i</v>
      </c>
      <c r="O355" s="37" t="n">
        <f aca="false">IMABS(IMSUM(1,IMPRODUCT(E355,G355),N355))^2</f>
        <v>0.237131269710208</v>
      </c>
      <c r="P355" s="37" t="n">
        <f aca="false">IMABS(N355)^2</f>
        <v>2.38298096988293E-005</v>
      </c>
      <c r="Q355" s="37" t="n">
        <f aca="false">p_Rb^2/(1+(C355*p_Rb*L_Ctot)^2)</f>
        <v>4996348771184.68</v>
      </c>
      <c r="R355" s="37" t="n">
        <f aca="false">M355*L_Kt^2*Q355</f>
        <v>0.00162665658063799</v>
      </c>
      <c r="S355" s="37" t="n">
        <f aca="false">L_kT4*D355</f>
        <v>3.2705749869322E-012</v>
      </c>
      <c r="T355" s="37" t="n">
        <f aca="false">L_kT4*L_Rsq*O355</f>
        <v>1.22489953048497E-012</v>
      </c>
      <c r="U355" s="37" t="n">
        <f aca="false">L_kT4*L_Rh*O355</f>
        <v>9.31956037895036E-013</v>
      </c>
      <c r="V355" s="37" t="n">
        <f aca="false">L_kT4*p_Rv*P355</f>
        <v>1.96186295276831E-013</v>
      </c>
      <c r="W355" s="37" t="n">
        <f aca="false">L_kT4/p_Rb*Q355/R355</f>
        <v>5.05748915309599E-017</v>
      </c>
      <c r="X355" s="37" t="n">
        <f aca="false">p_en^2*(1+p_fc/B355)/R355</f>
        <v>3.94806049876278E-014</v>
      </c>
      <c r="Y355" s="37" t="n">
        <f aca="false">p_in^2*Q355/R355</f>
        <v>7.67886232204134E-018</v>
      </c>
      <c r="Z355" s="37" t="n">
        <f aca="false">p_eo^2/L_G^2/R355</f>
        <v>3.89730250705899E-014</v>
      </c>
      <c r="AA355" s="37" t="n">
        <f aca="false">SUM(S355:Z355)</f>
        <v>5.7021287344011E-012</v>
      </c>
      <c r="AB355" s="47" t="n">
        <f aca="false">10*LOG10(AA355/L_PREF^2)</f>
        <v>-18.4602297337225</v>
      </c>
      <c r="AC355" s="47" t="n">
        <f aca="false">10*LOG10(S355/L_PREF^2)</f>
        <v>-20.8743588034965</v>
      </c>
      <c r="AD355" s="47" t="n">
        <f aca="false">10*LOG10(T355/L_PREF^2)</f>
        <v>-25.1395952315426</v>
      </c>
      <c r="AE355" s="47" t="n">
        <f aca="false">10*LOG10(U355/L_PREF^2)</f>
        <v>-26.3266456497173</v>
      </c>
      <c r="AF355" s="47" t="n">
        <f aca="false">10*LOG10(V355/L_PREF^2)</f>
        <v>-33.0939132515218</v>
      </c>
      <c r="AG355" s="47" t="n">
        <f aca="false">10*LOG10(W355/L_PREF^2)</f>
        <v>-68.9812503132469</v>
      </c>
      <c r="AH355" s="47" t="n">
        <f aca="false">10*LOG10(X355/L_PREF^2)</f>
        <v>-40.0567619229553</v>
      </c>
      <c r="AI355" s="47" t="n">
        <f aca="false">10*LOG10(Y355/L_PREF^2)</f>
        <v>-77.167631103406</v>
      </c>
      <c r="AJ355" s="47" t="n">
        <f aca="false">10*LOG10(Z355/L_PREF^2)</f>
        <v>-40.1129587446327</v>
      </c>
      <c r="AK355" s="47" t="n">
        <f aca="false">10*LOG10(R355/$R$6)</f>
        <v>18.8252496982067</v>
      </c>
      <c r="AL355" s="37" t="n">
        <f aca="false">(12194^2*B355^4/((B355^2+20.6^2)*SQRT((B355^2+107.7^2)*(B355^2+737.9^2))*(B355^2+12194^2))*1.2589254)^2</f>
        <v>0.0361361221430547</v>
      </c>
      <c r="AM355" s="37" t="n">
        <v>0</v>
      </c>
      <c r="AN355" s="37" t="n">
        <v>0</v>
      </c>
      <c r="AO355" s="37" t="n">
        <v>0</v>
      </c>
      <c r="AP355" s="37" t="n">
        <v>0</v>
      </c>
      <c r="AQ355" s="37" t="n">
        <v>0</v>
      </c>
      <c r="AR355" s="37" t="n">
        <v>0</v>
      </c>
      <c r="AS355" s="37" t="n">
        <v>0</v>
      </c>
      <c r="AT355" s="37" t="n">
        <v>0</v>
      </c>
      <c r="AU355" s="37" t="n">
        <v>0</v>
      </c>
      <c r="AV355" s="37" t="n">
        <v>0</v>
      </c>
      <c r="AW355" s="37" t="n">
        <v>0</v>
      </c>
      <c r="AX355" s="37" t="n">
        <v>0</v>
      </c>
      <c r="AY355" s="37" t="n">
        <v>0</v>
      </c>
      <c r="AZ355" s="37" t="n">
        <v>0</v>
      </c>
      <c r="BA355" s="37" t="n">
        <v>0</v>
      </c>
      <c r="BB355" s="37" t="n">
        <v>0</v>
      </c>
      <c r="BC355" s="37" t="n">
        <v>0</v>
      </c>
      <c r="BD355" s="37" t="n">
        <v>0</v>
      </c>
      <c r="BE355" s="37" t="n">
        <f aca="false">IF(B355&gt;2000,AK355,-999)</f>
        <v>18.8252496982067</v>
      </c>
      <c r="BF355" s="37" t="n">
        <f aca="false">IF(AND(B355&lt;1000,AK355&gt;=-3),B355,1000000000)</f>
        <v>1000000000</v>
      </c>
    </row>
    <row r="356" customFormat="false" ht="15" hidden="false" customHeight="false" outlineLevel="0" collapsed="false">
      <c r="A356" s="5" t="n">
        <v>317</v>
      </c>
      <c r="B356" s="47" t="n">
        <f aca="false">20*10^(A356/100)</f>
        <v>29582.1677633641</v>
      </c>
      <c r="C356" s="37" t="n">
        <f aca="false">2*PI()*B356</f>
        <v>185870.241845291</v>
      </c>
      <c r="D356" s="37" t="n">
        <f aca="false">SQRT(L_Rp0^2+L_Rp1^2*C356)</f>
        <v>200589751.905388</v>
      </c>
      <c r="E356" s="5" t="str">
        <f aca="false">COMPLEX(D356,C356*L_Mp)</f>
        <v>200589751.905388+2745808884.24134i</v>
      </c>
      <c r="F356" s="5" t="str">
        <f aca="false">IMDIV(1,E356)</f>
        <v>2.6464065998901e-11-3.62258125565685e-10i</v>
      </c>
      <c r="G356" s="5" t="str">
        <f aca="false">COMPLEX(0,C356*L_Cf)</f>
        <v>1.96542499572054e-10i</v>
      </c>
      <c r="H356" s="5" t="str">
        <f aca="false">COMPLEX(0,C356*L_Cbv)</f>
        <v>1.96542499572054e-09i</v>
      </c>
      <c r="I356" s="5" t="str">
        <f aca="false">COMPLEX(L_Rsq+L_Rh,C356*(L_Md+L_Mh)-1/(C356*L_Cd))</f>
        <v>552400610.124532-5497398022.64607i</v>
      </c>
      <c r="J356" s="5" t="str">
        <f aca="false">IMDIV(1,I356)</f>
        <v>1.80957542119297e-11+1.80085904323178e-10i</v>
      </c>
      <c r="K356" s="5" t="str">
        <f aca="false">IMSUM(F356,G356,H356)</f>
        <v>2.6464065998901e-11+1.79970936972691e-09i</v>
      </c>
      <c r="L356" s="5" t="str">
        <f aca="false">IMSUM(IMPRODUCT(IMSUM(F356,G356),H356),IMPRODUCT(IMSUM(J356,L_Yv),K356))</f>
        <v>2.131159508954e-21+9.29454592070574e-20i</v>
      </c>
      <c r="M356" s="37" t="n">
        <f aca="false">IMABS(IMDIV(IMPRODUCT(J356,F356,H356),L356))^2</f>
        <v>1.93151771497073E-018</v>
      </c>
      <c r="N356" s="5" t="str">
        <f aca="false">IMDIV(IMPRODUCT(L_Yv,K356,E356),H356)</f>
        <v>0.000441297454191854+0.00502318792807019i</v>
      </c>
      <c r="O356" s="37" t="n">
        <f aca="false">IMABS(IMSUM(1,IMPRODUCT(E356,G356),N356))^2</f>
        <v>0.214287490359325</v>
      </c>
      <c r="P356" s="37" t="n">
        <f aca="false">IMABS(N356)^2</f>
        <v>2.54271604037863E-005</v>
      </c>
      <c r="Q356" s="37" t="n">
        <f aca="false">p_Rb^2/(1+(C356*p_Rb*L_Ctot)^2)</f>
        <v>4771476033659.76</v>
      </c>
      <c r="R356" s="37" t="n">
        <f aca="false">M356*L_Kt^2*Q356</f>
        <v>0.00184964706427456</v>
      </c>
      <c r="S356" s="37" t="n">
        <f aca="false">L_kT4*D356</f>
        <v>3.30283462555306E-012</v>
      </c>
      <c r="T356" s="37" t="n">
        <f aca="false">L_kT4*L_Rsq*O356</f>
        <v>1.1069001850777E-012</v>
      </c>
      <c r="U356" s="37" t="n">
        <f aca="false">L_kT4*L_Rh*O356</f>
        <v>8.421770807781E-013</v>
      </c>
      <c r="V356" s="37" t="n">
        <f aca="false">L_kT4*p_Rv*P356</f>
        <v>2.09336980113343E-013</v>
      </c>
      <c r="W356" s="37" t="n">
        <f aca="false">L_kT4/p_Rb*Q356/R356</f>
        <v>4.24758390953379E-017</v>
      </c>
      <c r="X356" s="37" t="n">
        <f aca="false">p_en^2*(1+p_fc/B356)/R356</f>
        <v>3.47181620712659E-014</v>
      </c>
      <c r="Y356" s="37" t="n">
        <f aca="false">p_in^2*Q356/R356</f>
        <v>6.44917093349799E-018</v>
      </c>
      <c r="Z356" s="37" t="n">
        <f aca="false">p_eo^2/L_G^2/R356</f>
        <v>3.42744996723516E-014</v>
      </c>
      <c r="AA356" s="37" t="n">
        <f aca="false">SUM(S356:Z356)</f>
        <v>5.53029045827584E-012</v>
      </c>
      <c r="AB356" s="47" t="n">
        <f aca="false">10*LOG10(AA356/L_PREF^2)</f>
        <v>-18.5931204969528</v>
      </c>
      <c r="AC356" s="47" t="n">
        <f aca="false">10*LOG10(S356/L_PREF^2)</f>
        <v>-20.8317316241638</v>
      </c>
      <c r="AD356" s="47" t="n">
        <f aca="false">10*LOG10(T356/L_PREF^2)</f>
        <v>-25.5795153126623</v>
      </c>
      <c r="AE356" s="47" t="n">
        <f aca="false">10*LOG10(U356/L_PREF^2)</f>
        <v>-26.7665657308371</v>
      </c>
      <c r="AF356" s="47" t="n">
        <f aca="false">10*LOG10(V356/L_PREF^2)</f>
        <v>-32.8121403656534</v>
      </c>
      <c r="AG356" s="47" t="n">
        <f aca="false">10*LOG10(W356/L_PREF^2)</f>
        <v>-69.7391802436662</v>
      </c>
      <c r="AH356" s="47" t="n">
        <f aca="false">10*LOG10(X356/L_PREF^2)</f>
        <v>-40.6150326512981</v>
      </c>
      <c r="AI356" s="47" t="n">
        <f aca="false">10*LOG10(Y356/L_PREF^2)</f>
        <v>-77.9255610338254</v>
      </c>
      <c r="AJ356" s="47" t="n">
        <f aca="false">10*LOG10(Z356/L_PREF^2)</f>
        <v>-40.670888675053</v>
      </c>
      <c r="AK356" s="47" t="n">
        <f aca="false">10*LOG10(R356/$R$6)</f>
        <v>19.383179628627</v>
      </c>
      <c r="AL356" s="37" t="n">
        <f aca="false">(12194^2*B356^4/((B356^2+20.6^2)*SQRT((B356^2+107.7^2)*(B356^2+737.9^2))*(B356^2+12194^2))*1.2589254)^2</f>
        <v>0.0334102437365901</v>
      </c>
      <c r="AM356" s="37" t="n">
        <v>0</v>
      </c>
      <c r="AN356" s="37" t="n">
        <v>0</v>
      </c>
      <c r="AO356" s="37" t="n">
        <v>0</v>
      </c>
      <c r="AP356" s="37" t="n">
        <v>0</v>
      </c>
      <c r="AQ356" s="37" t="n">
        <v>0</v>
      </c>
      <c r="AR356" s="37" t="n">
        <v>0</v>
      </c>
      <c r="AS356" s="37" t="n">
        <v>0</v>
      </c>
      <c r="AT356" s="37" t="n">
        <v>0</v>
      </c>
      <c r="AU356" s="37" t="n">
        <v>0</v>
      </c>
      <c r="AV356" s="37" t="n">
        <v>0</v>
      </c>
      <c r="AW356" s="37" t="n">
        <v>0</v>
      </c>
      <c r="AX356" s="37" t="n">
        <v>0</v>
      </c>
      <c r="AY356" s="37" t="n">
        <v>0</v>
      </c>
      <c r="AZ356" s="37" t="n">
        <v>0</v>
      </c>
      <c r="BA356" s="37" t="n">
        <v>0</v>
      </c>
      <c r="BB356" s="37" t="n">
        <v>0</v>
      </c>
      <c r="BC356" s="37" t="n">
        <v>0</v>
      </c>
      <c r="BD356" s="37" t="n">
        <v>0</v>
      </c>
      <c r="BE356" s="37" t="n">
        <f aca="false">IF(B356&gt;2000,AK356,-999)</f>
        <v>19.383179628627</v>
      </c>
      <c r="BF356" s="37" t="n">
        <f aca="false">IF(AND(B356&lt;1000,AK356&gt;=-3),B356,1000000000)</f>
        <v>1000000000</v>
      </c>
    </row>
    <row r="357" customFormat="false" ht="15" hidden="false" customHeight="false" outlineLevel="0" collapsed="false">
      <c r="A357" s="5" t="n">
        <v>318</v>
      </c>
      <c r="B357" s="47" t="n">
        <f aca="false">20*10^(A357/100)</f>
        <v>30271.2249687242</v>
      </c>
      <c r="C357" s="37" t="n">
        <f aca="false">2*PI()*B357</f>
        <v>190199.715953816</v>
      </c>
      <c r="D357" s="37" t="n">
        <f aca="false">SQRT(L_Rp0^2+L_Rp1^2*C357)</f>
        <v>202574984.875086</v>
      </c>
      <c r="E357" s="5" t="str">
        <f aca="false">COMPLEX(D357,C357*L_Mp)</f>
        <v>202574984.875086+2809766989.3864i</v>
      </c>
      <c r="F357" s="5" t="str">
        <f aca="false">IMDIV(1,E357)</f>
        <v>2.55266377168642e-11-3.54061011289711e-10i</v>
      </c>
      <c r="G357" s="5" t="str">
        <f aca="false">COMPLEX(0,C357*L_Cf)</f>
        <v>2.01120562497426e-10i</v>
      </c>
      <c r="H357" s="5" t="str">
        <f aca="false">COMPLEX(0,C357*L_Cbv)</f>
        <v>2.01120562497426e-09i</v>
      </c>
      <c r="I357" s="5" t="str">
        <f aca="false">COMPLEX(L_Rsq+L_Rh,C357*(L_Md+L_Mh)-1/(C357*L_Cd))</f>
        <v>552400610.124532-5340006469.6582i</v>
      </c>
      <c r="J357" s="5" t="str">
        <f aca="false">IMDIV(1,I357)</f>
        <v>1.91667237711726e-11+1.85282975913332e-10i</v>
      </c>
      <c r="K357" s="5" t="str">
        <f aca="false">IMSUM(F357,G357,H357)</f>
        <v>2.55266377168642e-11+1.85826517618197e-09i</v>
      </c>
      <c r="L357" s="5" t="str">
        <f aca="false">IMSUM(IMPRODUCT(IMSUM(F357,G357),H357),IMPRODUCT(IMSUM(J357,L_Yv),K357))</f>
        <v>-3.6169895692617e-20+9.54023544419127e-20i</v>
      </c>
      <c r="M357" s="37" t="n">
        <f aca="false">IMABS(IMDIV(IMPRODUCT(J357,F357,H357),L357))^2</f>
        <v>1.6989052302342E-018</v>
      </c>
      <c r="N357" s="5" t="str">
        <f aca="false">IMDIV(IMPRODUCT(L_Yv,K357,E357),H357)</f>
        <v>0.000445664966725189+0.00518705897253023i</v>
      </c>
      <c r="O357" s="37" t="n">
        <f aca="false">IMABS(IMSUM(1,IMPRODUCT(E357,G357),N357))^2</f>
        <v>0.191633656542501</v>
      </c>
      <c r="P357" s="37" t="n">
        <f aca="false">IMABS(N357)^2</f>
        <v>2.71041980470725E-005</v>
      </c>
      <c r="Q357" s="37" t="n">
        <f aca="false">p_Rb^2/(1+(C357*p_Rb*L_Ctot)^2)</f>
        <v>4556724236525.01</v>
      </c>
      <c r="R357" s="37" t="n">
        <f aca="false">M357*L_Kt^2*Q357</f>
        <v>0.00155367195061259</v>
      </c>
      <c r="S357" s="37" t="n">
        <f aca="false">L_kT4*D357</f>
        <v>3.33552271719197E-012</v>
      </c>
      <c r="T357" s="37" t="n">
        <f aca="false">L_kT4*L_Rsq*O357</f>
        <v>9.89882001689981E-013</v>
      </c>
      <c r="U357" s="37" t="n">
        <f aca="false">L_kT4*L_Rh*O357</f>
        <v>7.53144633758944E-013</v>
      </c>
      <c r="V357" s="37" t="n">
        <f aca="false">L_kT4*p_Rv*P357</f>
        <v>2.23143712371565E-013</v>
      </c>
      <c r="W357" s="37" t="n">
        <f aca="false">L_kT4/p_Rb*Q357/R357</f>
        <v>4.8291590496535E-017</v>
      </c>
      <c r="X357" s="37" t="n">
        <f aca="false">p_en^2*(1+p_fc/B357)/R357</f>
        <v>4.13288158275913E-014</v>
      </c>
      <c r="Y357" s="37" t="n">
        <f aca="false">p_in^2*Q357/R357</f>
        <v>7.33218527039822E-018</v>
      </c>
      <c r="Z357" s="37" t="n">
        <f aca="false">p_eo^2/L_G^2/R357</f>
        <v>4.08038052520987E-014</v>
      </c>
      <c r="AA357" s="37" t="n">
        <f aca="false">SUM(S357:Z357)</f>
        <v>5.38388130986792E-012</v>
      </c>
      <c r="AB357" s="47" t="n">
        <f aca="false">10*LOG10(AA357/L_PREF^2)</f>
        <v>-18.7096451422749</v>
      </c>
      <c r="AC357" s="47" t="n">
        <f aca="false">10*LOG10(S357/L_PREF^2)</f>
        <v>-20.7889608848671</v>
      </c>
      <c r="AD357" s="47" t="n">
        <f aca="false">10*LOG10(T357/L_PREF^2)</f>
        <v>-26.0647656346695</v>
      </c>
      <c r="AE357" s="47" t="n">
        <f aca="false">10*LOG10(U357/L_PREF^2)</f>
        <v>-27.2518160528442</v>
      </c>
      <c r="AF357" s="47" t="n">
        <f aca="false">10*LOG10(V357/L_PREF^2)</f>
        <v>-32.5347533730492</v>
      </c>
      <c r="AG357" s="47" t="n">
        <f aca="false">10*LOG10(W357/L_PREF^2)</f>
        <v>-69.1818848208637</v>
      </c>
      <c r="AH357" s="47" t="n">
        <f aca="false">10*LOG10(X357/L_PREF^2)</f>
        <v>-39.8580702947501</v>
      </c>
      <c r="AI357" s="47" t="n">
        <f aca="false">10*LOG10(Y357/L_PREF^2)</f>
        <v>-77.3682656110229</v>
      </c>
      <c r="AJ357" s="47" t="n">
        <f aca="false">10*LOG10(Z357/L_PREF^2)</f>
        <v>-39.9135932522515</v>
      </c>
      <c r="AK357" s="47" t="n">
        <f aca="false">10*LOG10(R357/$R$6)</f>
        <v>18.6258842058255</v>
      </c>
      <c r="AL357" s="37" t="n">
        <f aca="false">(12194^2*B357^4/((B357^2+20.6^2)*SQRT((B357^2+107.7^2)*(B357^2+737.9^2))*(B357^2+12194^2))*1.2589254)^2</f>
        <v>0.0308736847970416</v>
      </c>
      <c r="AM357" s="37" t="n">
        <v>0</v>
      </c>
      <c r="AN357" s="37" t="n">
        <v>0</v>
      </c>
      <c r="AO357" s="37" t="n">
        <v>0</v>
      </c>
      <c r="AP357" s="37" t="n">
        <v>0</v>
      </c>
      <c r="AQ357" s="37" t="n">
        <v>0</v>
      </c>
      <c r="AR357" s="37" t="n">
        <v>0</v>
      </c>
      <c r="AS357" s="37" t="n">
        <v>0</v>
      </c>
      <c r="AT357" s="37" t="n">
        <v>0</v>
      </c>
      <c r="AU357" s="37" t="n">
        <v>0</v>
      </c>
      <c r="AV357" s="37" t="n">
        <v>0</v>
      </c>
      <c r="AW357" s="37" t="n">
        <v>0</v>
      </c>
      <c r="AX357" s="37" t="n">
        <v>0</v>
      </c>
      <c r="AY357" s="37" t="n">
        <v>0</v>
      </c>
      <c r="AZ357" s="37" t="n">
        <v>0</v>
      </c>
      <c r="BA357" s="37" t="n">
        <v>0</v>
      </c>
      <c r="BB357" s="37" t="n">
        <v>0</v>
      </c>
      <c r="BC357" s="37" t="n">
        <v>0</v>
      </c>
      <c r="BD357" s="37" t="n">
        <v>0</v>
      </c>
      <c r="BE357" s="37" t="n">
        <f aca="false">IF(B357&gt;2000,AK357,-999)</f>
        <v>18.6258842058255</v>
      </c>
      <c r="BF357" s="37" t="n">
        <f aca="false">IF(AND(B357&lt;1000,AK357&gt;=-3),B357,1000000000)</f>
        <v>1000000000</v>
      </c>
    </row>
    <row r="358" customFormat="false" ht="15" hidden="false" customHeight="false" outlineLevel="0" collapsed="false">
      <c r="A358" s="5" t="n">
        <v>319</v>
      </c>
      <c r="B358" s="47" t="n">
        <f aca="false">20*10^(A358/100)</f>
        <v>30976.3323782496</v>
      </c>
      <c r="C358" s="37" t="n">
        <f aca="false">2*PI()*B358</f>
        <v>194630.036469329</v>
      </c>
      <c r="D358" s="37" t="n">
        <f aca="false">SQRT(L_Rp0^2+L_Rp1^2*C358)</f>
        <v>204586518.556632</v>
      </c>
      <c r="E358" s="5" t="str">
        <f aca="false">COMPLEX(D358,C358*L_Mp)</f>
        <v>204586518.556632+2875214870.18089i</v>
      </c>
      <c r="F358" s="5" t="str">
        <f aca="false">IMDIV(1,E358)</f>
        <v>2.46231203229676e-11-3.46048029959767e-10i</v>
      </c>
      <c r="G358" s="5" t="str">
        <f aca="false">COMPLEX(0,C358*L_Cf)</f>
        <v>2.05805262207179e-10i</v>
      </c>
      <c r="H358" s="5" t="str">
        <f aca="false">COMPLEX(0,C358*L_Cbv)</f>
        <v>2.05805262207179e-09i</v>
      </c>
      <c r="I358" s="5" t="str">
        <f aca="false">COMPLEX(L_Rsq+L_Rh,C358*(L_Md+L_Mh)-1/(C358*L_Cd))</f>
        <v>552400610.124532-5185446258.78389i</v>
      </c>
      <c r="J358" s="5" t="str">
        <f aca="false">IMDIV(1,I358)</f>
        <v>2.03133273367763e-11+1.90683473753211e-10i</v>
      </c>
      <c r="K358" s="5" t="str">
        <f aca="false">IMSUM(F358,G358,H358)</f>
        <v>2.46231203229676e-11+1.9178098543192e-09i</v>
      </c>
      <c r="L358" s="5" t="str">
        <f aca="false">IMSUM(IMPRODUCT(IMSUM(F358,G358),H358),IMPRODUCT(IMSUM(J358,L_Yv),K358))</f>
        <v>-7.6518225376086e-20+9.8163618511219e-20i</v>
      </c>
      <c r="M358" s="37" t="n">
        <f aca="false">IMABS(IMDIV(IMPRODUCT(J358,F358,H358),L358))^2</f>
        <v>1.21010403527343E-018</v>
      </c>
      <c r="N358" s="5" t="str">
        <f aca="false">IMDIV(IMPRODUCT(L_Yv,K358,E358),H358)</f>
        <v>0.00045009034082459+0.00535368026431637i</v>
      </c>
      <c r="O358" s="37" t="n">
        <f aca="false">IMABS(IMSUM(1,IMPRODUCT(E358,G358),N358))^2</f>
        <v>0.16930088082317</v>
      </c>
      <c r="P358" s="37" t="n">
        <f aca="false">IMABS(N358)^2</f>
        <v>2.88644736874342E-005</v>
      </c>
      <c r="Q358" s="37" t="n">
        <f aca="false">p_Rb^2/(1+(C358*p_Rb*L_Ctot)^2)</f>
        <v>4351637862426.47</v>
      </c>
      <c r="R358" s="37" t="n">
        <f aca="false">M358*L_Kt^2*Q358</f>
        <v>0.00105684885451947</v>
      </c>
      <c r="S358" s="37" t="n">
        <f aca="false">L_kT4*D358</f>
        <v>3.3686438663572E-012</v>
      </c>
      <c r="T358" s="37" t="n">
        <f aca="false">L_kT4*L_Rsq*O358</f>
        <v>8.74522241138511E-013</v>
      </c>
      <c r="U358" s="37" t="n">
        <f aca="false">L_kT4*L_Rh*O358</f>
        <v>6.6537398588099E-013</v>
      </c>
      <c r="V358" s="37" t="n">
        <f aca="false">L_kT4*p_Rv*P358</f>
        <v>2.37635727243407E-013</v>
      </c>
      <c r="W358" s="37" t="n">
        <f aca="false">L_kT4/p_Rb*Q358/R358</f>
        <v>6.77981671653162E-017</v>
      </c>
      <c r="X358" s="37" t="n">
        <f aca="false">p_en^2*(1+p_fc/B358)/R358</f>
        <v>6.07528778393621E-014</v>
      </c>
      <c r="Y358" s="37" t="n">
        <f aca="false">p_in^2*Q358/R358</f>
        <v>1.02938983276021E-017</v>
      </c>
      <c r="Z358" s="37" t="n">
        <f aca="false">p_eo^2/L_G^2/R358</f>
        <v>5.99856142411863E-014</v>
      </c>
      <c r="AA358" s="37" t="n">
        <f aca="false">SUM(S358:Z358)</f>
        <v>5.26699240476615E-012</v>
      </c>
      <c r="AB358" s="47" t="n">
        <f aca="false">10*LOG10(AA358/L_PREF^2)</f>
        <v>-18.804972992417</v>
      </c>
      <c r="AC358" s="47" t="n">
        <f aca="false">10*LOG10(S358/L_PREF^2)</f>
        <v>-20.746048916117</v>
      </c>
      <c r="AD358" s="47" t="n">
        <f aca="false">10*LOG10(T358/L_PREF^2)</f>
        <v>-26.6028913225209</v>
      </c>
      <c r="AE358" s="47" t="n">
        <f aca="false">10*LOG10(U358/L_PREF^2)</f>
        <v>-27.7899417406956</v>
      </c>
      <c r="AF358" s="47" t="n">
        <f aca="false">10*LOG10(V358/L_PREF^2)</f>
        <v>-32.2614825628891</v>
      </c>
      <c r="AG358" s="47" t="n">
        <f aca="false">10*LOG10(W358/L_PREF^2)</f>
        <v>-67.7084203788492</v>
      </c>
      <c r="AH358" s="47" t="n">
        <f aca="false">10*LOG10(X358/L_PREF^2)</f>
        <v>-38.184931362156</v>
      </c>
      <c r="AI358" s="47" t="n">
        <f aca="false">10*LOG10(Y358/L_PREF^2)</f>
        <v>-75.8948011690084</v>
      </c>
      <c r="AJ358" s="47" t="n">
        <f aca="false">10*LOG10(Z358/L_PREF^2)</f>
        <v>-38.2401288102378</v>
      </c>
      <c r="AK358" s="47" t="n">
        <f aca="false">10*LOG10(R358/$R$6)</f>
        <v>16.9524197638118</v>
      </c>
      <c r="AL358" s="37" t="n">
        <f aca="false">(12194^2*B358^4/((B358^2+20.6^2)*SQRT((B358^2+107.7^2)*(B358^2+737.9^2))*(B358^2+12194^2))*1.2589254)^2</f>
        <v>0.0285151359310382</v>
      </c>
      <c r="AM358" s="37" t="n">
        <v>0</v>
      </c>
      <c r="AN358" s="37" t="n">
        <v>0</v>
      </c>
      <c r="AO358" s="37" t="n">
        <v>0</v>
      </c>
      <c r="AP358" s="37" t="n">
        <v>0</v>
      </c>
      <c r="AQ358" s="37" t="n">
        <v>0</v>
      </c>
      <c r="AR358" s="37" t="n">
        <v>0</v>
      </c>
      <c r="AS358" s="37" t="n">
        <v>0</v>
      </c>
      <c r="AT358" s="37" t="n">
        <v>0</v>
      </c>
      <c r="AU358" s="37" t="n">
        <v>0</v>
      </c>
      <c r="AV358" s="37" t="n">
        <v>0</v>
      </c>
      <c r="AW358" s="37" t="n">
        <v>0</v>
      </c>
      <c r="AX358" s="37" t="n">
        <v>0</v>
      </c>
      <c r="AY358" s="37" t="n">
        <v>0</v>
      </c>
      <c r="AZ358" s="37" t="n">
        <v>0</v>
      </c>
      <c r="BA358" s="37" t="n">
        <v>0</v>
      </c>
      <c r="BB358" s="37" t="n">
        <v>0</v>
      </c>
      <c r="BC358" s="37" t="n">
        <v>0</v>
      </c>
      <c r="BD358" s="37" t="n">
        <v>0</v>
      </c>
      <c r="BE358" s="37" t="n">
        <f aca="false">IF(B358&gt;2000,AK358,-999)</f>
        <v>16.9524197638118</v>
      </c>
      <c r="BF358" s="37" t="n">
        <f aca="false">IF(AND(B358&lt;1000,AK358&gt;=-3),B358,1000000000)</f>
        <v>1000000000</v>
      </c>
    </row>
    <row r="359" customFormat="false" ht="15" hidden="false" customHeight="false" outlineLevel="0" collapsed="false">
      <c r="A359" s="5" t="n">
        <v>320</v>
      </c>
      <c r="B359" s="47" t="n">
        <f aca="false">20*10^(A359/100)</f>
        <v>31697.8638492223</v>
      </c>
      <c r="C359" s="37" t="n">
        <f aca="false">2*PI()*B359</f>
        <v>199163.552406412</v>
      </c>
      <c r="D359" s="37" t="n">
        <f aca="false">SQRT(L_Rp0^2+L_Rp1^2*C359)</f>
        <v>206624635.651623</v>
      </c>
      <c r="E359" s="5" t="str">
        <f aca="false">COMPLEX(D359,C359*L_Mp)</f>
        <v>206624635.651623+2942187227.95753i</v>
      </c>
      <c r="F359" s="5" t="str">
        <f aca="false">IMDIV(1,E359)</f>
        <v>2.37522530132879e-11-3.38215117623911e-10i</v>
      </c>
      <c r="G359" s="5" t="str">
        <f aca="false">COMPLEX(0,C359*L_Cf)</f>
        <v>2.1059908259111e-10i</v>
      </c>
      <c r="H359" s="5" t="str">
        <f aca="false">COMPLEX(0,C359*L_Cbv)</f>
        <v>2.1059908259111e-09i</v>
      </c>
      <c r="I359" s="5" t="str">
        <f aca="false">COMPLEX(L_Rsq+L_Rh,C359*(L_Md+L_Mh)-1/(C359*L_Cd))</f>
        <v>552400610.124532-5033635440.15347i</v>
      </c>
      <c r="J359" s="5" t="str">
        <f aca="false">IMDIV(1,I359)</f>
        <v>2.15422740645592e-11+1.96299483029931e-10i</v>
      </c>
      <c r="K359" s="5" t="str">
        <f aca="false">IMSUM(F359,G359,H359)</f>
        <v>2.37522530132879e-11+1.9783747908783e-09i</v>
      </c>
      <c r="L359" s="5" t="str">
        <f aca="false">IMSUM(IMPRODUCT(IMSUM(F359,G359),H359),IMPRODUCT(IMSUM(J359,L_Yv),K359))</f>
        <v>-1.1903656762054e-19+1.0126002345728e-19i</v>
      </c>
      <c r="M359" s="37" t="n">
        <f aca="false">IMABS(IMDIV(IMPRODUCT(J359,F359,H359),L359))^2</f>
        <v>8.14083158553717E-019</v>
      </c>
      <c r="N359" s="5" t="str">
        <f aca="false">IMDIV(IMPRODUCT(L_Yv,K359,E359),H359)</f>
        <v>0.000454574198433571+0.00552314014824298i</v>
      </c>
      <c r="O359" s="37" t="n">
        <f aca="false">IMABS(IMSUM(1,IMPRODUCT(E359,G359),N359))^2</f>
        <v>0.147438237250457</v>
      </c>
      <c r="P359" s="37" t="n">
        <f aca="false">IMABS(N359)^2</f>
        <v>3.0711714799015E-005</v>
      </c>
      <c r="Q359" s="37" t="n">
        <f aca="false">p_Rb^2/(1+(C359*p_Rb*L_Ctot)^2)</f>
        <v>4155781895668.26</v>
      </c>
      <c r="R359" s="37" t="n">
        <f aca="false">M359*L_Kt^2*Q359</f>
        <v>0.000678983064701368</v>
      </c>
      <c r="S359" s="37" t="n">
        <f aca="false">L_kT4*D359</f>
        <v>3.40220272790583E-012</v>
      </c>
      <c r="T359" s="37" t="n">
        <f aca="false">L_kT4*L_Rsq*O359</f>
        <v>7.61590944139587E-013</v>
      </c>
      <c r="U359" s="37" t="n">
        <f aca="false">L_kT4*L_Rh*O359</f>
        <v>5.79451017109995E-013</v>
      </c>
      <c r="V359" s="37" t="n">
        <f aca="false">L_kT4*p_Rv*P359</f>
        <v>2.52843712315227E-013</v>
      </c>
      <c r="W359" s="37" t="n">
        <f aca="false">L_kT4/p_Rb*Q359/R359</f>
        <v>1.00779428746133E-016</v>
      </c>
      <c r="X359" s="37" t="n">
        <f aca="false">p_en^2*(1+p_fc/B359)/R359</f>
        <v>9.45559759704332E-014</v>
      </c>
      <c r="Y359" s="37" t="n">
        <f aca="false">p_in^2*Q359/R359</f>
        <v>1.53014931878163E-017</v>
      </c>
      <c r="Z359" s="37" t="n">
        <f aca="false">p_eo^2/L_G^2/R359</f>
        <v>9.33686434820394E-014</v>
      </c>
      <c r="AA359" s="37" t="n">
        <f aca="false">SUM(S359:Z359)</f>
        <v>5.18412910184505E-012</v>
      </c>
      <c r="AB359" s="47" t="n">
        <f aca="false">10*LOG10(AA359/L_PREF^2)</f>
        <v>-18.8738418297145</v>
      </c>
      <c r="AC359" s="47" t="n">
        <f aca="false">10*LOG10(S359/L_PREF^2)</f>
        <v>-20.7029980286633</v>
      </c>
      <c r="AD359" s="47" t="n">
        <f aca="false">10*LOG10(T359/L_PREF^2)</f>
        <v>-27.203382199925</v>
      </c>
      <c r="AE359" s="47" t="n">
        <f aca="false">10*LOG10(U359/L_PREF^2)</f>
        <v>-28.3904326180997</v>
      </c>
      <c r="AF359" s="47" t="n">
        <f aca="false">10*LOG10(V359/L_PREF^2)</f>
        <v>-31.9920783320419</v>
      </c>
      <c r="AG359" s="47" t="n">
        <f aca="false">10*LOG10(W359/L_PREF^2)</f>
        <v>-65.9868809903777</v>
      </c>
      <c r="AH359" s="47" t="n">
        <f aca="false">10*LOG10(X359/L_PREF^2)</f>
        <v>-36.2637100971784</v>
      </c>
      <c r="AI359" s="47" t="n">
        <f aca="false">10*LOG10(Y359/L_PREF^2)</f>
        <v>-74.1732617805369</v>
      </c>
      <c r="AJ359" s="47" t="n">
        <f aca="false">10*LOG10(Z359/L_PREF^2)</f>
        <v>-36.3185894217672</v>
      </c>
      <c r="AK359" s="47" t="n">
        <f aca="false">10*LOG10(R359/$R$6)</f>
        <v>15.0308803753412</v>
      </c>
      <c r="AL359" s="37" t="n">
        <f aca="false">(12194^2*B359^4/((B359^2+20.6^2)*SQRT((B359^2+107.7^2)*(B359^2+737.9^2))*(B359^2+12194^2))*1.2589254)^2</f>
        <v>0.0263237578626525</v>
      </c>
      <c r="AM359" s="37" t="n">
        <v>0</v>
      </c>
      <c r="AN359" s="37" t="n">
        <v>0</v>
      </c>
      <c r="AO359" s="37" t="n">
        <v>0</v>
      </c>
      <c r="AP359" s="37" t="n">
        <v>0</v>
      </c>
      <c r="AQ359" s="37" t="n">
        <v>0</v>
      </c>
      <c r="AR359" s="37" t="n">
        <v>0</v>
      </c>
      <c r="AS359" s="37" t="n">
        <v>0</v>
      </c>
      <c r="AT359" s="37" t="n">
        <v>0</v>
      </c>
      <c r="AU359" s="37" t="n">
        <v>0</v>
      </c>
      <c r="AV359" s="37" t="n">
        <v>0</v>
      </c>
      <c r="AW359" s="37" t="n">
        <v>0</v>
      </c>
      <c r="AX359" s="37" t="n">
        <v>0</v>
      </c>
      <c r="AY359" s="37" t="n">
        <v>0</v>
      </c>
      <c r="AZ359" s="37" t="n">
        <v>0</v>
      </c>
      <c r="BA359" s="37" t="n">
        <v>0</v>
      </c>
      <c r="BB359" s="37" t="n">
        <v>0</v>
      </c>
      <c r="BC359" s="37" t="n">
        <v>0</v>
      </c>
      <c r="BD359" s="37" t="n">
        <v>0</v>
      </c>
      <c r="BE359" s="37" t="n">
        <f aca="false">IF(B359&gt;2000,AK359,-999)</f>
        <v>15.0308803753412</v>
      </c>
      <c r="BF359" s="37" t="n">
        <f aca="false">IF(AND(B359&lt;1000,AK359&gt;=-3),B359,1000000000)</f>
        <v>1000000000</v>
      </c>
    </row>
    <row r="360" customFormat="false" ht="15" hidden="false" customHeight="false" outlineLevel="0" collapsed="false">
      <c r="A360" s="5" t="n">
        <v>321</v>
      </c>
      <c r="B360" s="47" t="n">
        <f aca="false">20*10^(A360/100)</f>
        <v>32436.2019471786</v>
      </c>
      <c r="C360" s="37" t="n">
        <f aca="false">2*PI()*B360</f>
        <v>203802.667495222</v>
      </c>
      <c r="D360" s="37" t="n">
        <f aca="false">SQRT(L_Rp0^2+L_Rp1^2*C360)</f>
        <v>208689621.965537</v>
      </c>
      <c r="E360" s="5" t="str">
        <f aca="false">COMPLEX(D360,C360*L_Mp)</f>
        <v>208689621.965537+3010719572.34687i</v>
      </c>
      <c r="F360" s="5" t="str">
        <f aca="false">IMDIV(1,E360)</f>
        <v>2.29128233868293e-11-3.30558295993493e-10i</v>
      </c>
      <c r="G360" s="5" t="str">
        <f aca="false">COMPLEX(0,C360*L_Cf)</f>
        <v>2.15504565396238e-10i</v>
      </c>
      <c r="H360" s="5" t="str">
        <f aca="false">COMPLEX(0,C360*L_Cbv)</f>
        <v>2.15504565396238e-09i</v>
      </c>
      <c r="I360" s="5" t="str">
        <f aca="false">COMPLEX(L_Rsq+L_Rh,C360*(L_Md+L_Mh)-1/(C360*L_Cd))</f>
        <v>552400610.124532-4884493521.66147i</v>
      </c>
      <c r="J360" s="5" t="str">
        <f aca="false">IMDIV(1,I360)</f>
        <v>2.28610243277082e-11+2.02144101908328e-10i</v>
      </c>
      <c r="K360" s="5" t="str">
        <f aca="false">IMSUM(F360,G360,H360)</f>
        <v>2.29128233868293e-11+2.03999192336513e-09i</v>
      </c>
      <c r="L360" s="5" t="str">
        <f aca="false">IMSUM(IMPRODUCT(IMSUM(F360,G360),H360),IMPRODUCT(IMSUM(J360,L_Yv),K360))</f>
        <v>-1.63856656893477e-19+1.04726161400618e-19i</v>
      </c>
      <c r="M360" s="37" t="n">
        <f aca="false">IMABS(IMDIV(IMPRODUCT(J360,F360,H360),L360))^2</f>
        <v>5.58020395859495E-019</v>
      </c>
      <c r="N360" s="5" t="str">
        <f aca="false">IMDIV(IMPRODUCT(L_Yv,K360,E360),H360)</f>
        <v>0.000459117168324182+0.00569552847418362i</v>
      </c>
      <c r="O360" s="37" t="n">
        <f aca="false">IMABS(IMSUM(1,IMPRODUCT(E360,G360),N360))^2</f>
        <v>0.126214744323314</v>
      </c>
      <c r="P360" s="37" t="n">
        <f aca="false">IMABS(N360)^2</f>
        <v>3.26498331744864E-005</v>
      </c>
      <c r="Q360" s="37" t="n">
        <f aca="false">p_Rb^2/(1+(C360*p_Rb*L_Ctot)^2)</f>
        <v>3968740899486.04</v>
      </c>
      <c r="R360" s="37" t="n">
        <f aca="false">M360*L_Kt^2*Q360</f>
        <v>0.000444467739879563</v>
      </c>
      <c r="S360" s="37" t="n">
        <f aca="false">L_kT4*D360</f>
        <v>3.43620400780225E-012</v>
      </c>
      <c r="T360" s="37" t="n">
        <f aca="false">L_kT4*L_Rsq*O360</f>
        <v>6.5196117429321E-013</v>
      </c>
      <c r="U360" s="37" t="n">
        <f aca="false">L_kT4*L_Rh*O360</f>
        <v>4.96039991635177E-013</v>
      </c>
      <c r="V360" s="37" t="n">
        <f aca="false">L_kT4*p_Rv*P360</f>
        <v>2.68799872632796E-013</v>
      </c>
      <c r="W360" s="37" t="n">
        <f aca="false">L_kT4/p_Rb*Q360/R360</f>
        <v>1.47024797444051E-016</v>
      </c>
      <c r="X360" s="37" t="n">
        <f aca="false">p_en^2*(1+p_fc/B360)/R360</f>
        <v>1.44436377807737E-013</v>
      </c>
      <c r="Y360" s="37" t="n">
        <f aca="false">p_in^2*Q360/R360</f>
        <v>2.23229975057439E-017</v>
      </c>
      <c r="Z360" s="37" t="n">
        <f aca="false">p_eo^2/L_G^2/R360</f>
        <v>1.42632911256108E-013</v>
      </c>
      <c r="AA360" s="37" t="n">
        <f aca="false">SUM(S360:Z360)</f>
        <v>5.14024368322223E-012</v>
      </c>
      <c r="AB360" s="47" t="n">
        <f aca="false">10*LOG10(AA360/L_PREF^2)</f>
        <v>-18.9107628327234</v>
      </c>
      <c r="AC360" s="47" t="n">
        <f aca="false">10*LOG10(S360/L_PREF^2)</f>
        <v>-20.6598105129313</v>
      </c>
      <c r="AD360" s="47" t="n">
        <f aca="false">10*LOG10(T360/L_PREF^2)</f>
        <v>-27.8783825800752</v>
      </c>
      <c r="AE360" s="47" t="n">
        <f aca="false">10*LOG10(U360/L_PREF^2)</f>
        <v>-29.0654329982499</v>
      </c>
      <c r="AF360" s="47" t="n">
        <f aca="false">10*LOG10(V360/L_PREF^2)</f>
        <v>-31.7263093273073</v>
      </c>
      <c r="AG360" s="47" t="n">
        <f aca="false">10*LOG10(W360/L_PREF^2)</f>
        <v>-64.3466940158064</v>
      </c>
      <c r="AH360" s="47" t="n">
        <f aca="false">10*LOG10(X360/L_PREF^2)</f>
        <v>-34.4238340272408</v>
      </c>
      <c r="AI360" s="47" t="n">
        <f aca="false">10*LOG10(Y360/L_PREF^2)</f>
        <v>-72.5330748059656</v>
      </c>
      <c r="AJ360" s="47" t="n">
        <f aca="false">10*LOG10(Z360/L_PREF^2)</f>
        <v>-34.4784024471967</v>
      </c>
      <c r="AK360" s="47" t="n">
        <f aca="false">10*LOG10(R360/$R$6)</f>
        <v>13.1906934007707</v>
      </c>
      <c r="AL360" s="37" t="n">
        <f aca="false">(12194^2*B360^4/((B360^2+20.6^2)*SQRT((B360^2+107.7^2)*(B360^2+737.9^2))*(B360^2+12194^2))*1.2589254)^2</f>
        <v>0.0242891855980057</v>
      </c>
      <c r="AM360" s="37" t="n">
        <v>0</v>
      </c>
      <c r="AN360" s="37" t="n">
        <v>0</v>
      </c>
      <c r="AO360" s="37" t="n">
        <v>0</v>
      </c>
      <c r="AP360" s="37" t="n">
        <v>0</v>
      </c>
      <c r="AQ360" s="37" t="n">
        <v>0</v>
      </c>
      <c r="AR360" s="37" t="n">
        <v>0</v>
      </c>
      <c r="AS360" s="37" t="n">
        <v>0</v>
      </c>
      <c r="AT360" s="37" t="n">
        <v>0</v>
      </c>
      <c r="AU360" s="37" t="n">
        <v>0</v>
      </c>
      <c r="AV360" s="37" t="n">
        <v>0</v>
      </c>
      <c r="AW360" s="37" t="n">
        <v>0</v>
      </c>
      <c r="AX360" s="37" t="n">
        <v>0</v>
      </c>
      <c r="AY360" s="37" t="n">
        <v>0</v>
      </c>
      <c r="AZ360" s="37" t="n">
        <v>0</v>
      </c>
      <c r="BA360" s="37" t="n">
        <v>0</v>
      </c>
      <c r="BB360" s="37" t="n">
        <v>0</v>
      </c>
      <c r="BC360" s="37" t="n">
        <v>0</v>
      </c>
      <c r="BD360" s="37" t="n">
        <v>0</v>
      </c>
      <c r="BE360" s="37" t="n">
        <f aca="false">IF(B360&gt;2000,AK360,-999)</f>
        <v>13.1906934007707</v>
      </c>
      <c r="BF360" s="37" t="n">
        <f aca="false">IF(AND(B360&lt;1000,AK360&gt;=-3),B360,1000000000)</f>
        <v>1000000000</v>
      </c>
    </row>
    <row r="361" customFormat="false" ht="15" hidden="false" customHeight="false" outlineLevel="0" collapsed="false">
      <c r="A361" s="5" t="n">
        <v>322</v>
      </c>
      <c r="B361" s="47" t="n">
        <f aca="false">20*10^(A361/100)</f>
        <v>33191.7381487512</v>
      </c>
      <c r="C361" s="37" t="n">
        <f aca="false">2*PI()*B361</f>
        <v>208549.841455986</v>
      </c>
      <c r="D361" s="37" t="n">
        <f aca="false">SQRT(L_Rp0^2+L_Rp1^2*C361)</f>
        <v>210781766.454155</v>
      </c>
      <c r="E361" s="5" t="str">
        <f aca="false">COMPLEX(D361,C361*L_Mp)</f>
        <v>210781766.454155+3080848240.10507i</v>
      </c>
      <c r="F361" s="5" t="str">
        <f aca="false">IMDIV(1,E361)</f>
        <v>2.21036655279141e-11-3.23073670873502e-10i</v>
      </c>
      <c r="G361" s="5" t="str">
        <f aca="false">COMPLEX(0,C361*L_Cf)</f>
        <v>2.2052431157448e-10i</v>
      </c>
      <c r="H361" s="5" t="str">
        <f aca="false">COMPLEX(0,C361*L_Cbv)</f>
        <v>2.2052431157448e-09i</v>
      </c>
      <c r="I361" s="5" t="str">
        <f aca="false">COMPLEX(L_Rsq+L_Rh,C361*(L_Md+L_Mh)-1/(C361*L_Cd))</f>
        <v>552400610.124532-4737941426.28856i</v>
      </c>
      <c r="J361" s="5" t="str">
        <f aca="false">IMDIV(1,I361)</f>
        <v>2.42778928175771e-11+2.08231547929429e-10i</v>
      </c>
      <c r="K361" s="5" t="str">
        <f aca="false">IMSUM(F361,G361,H361)</f>
        <v>2.21036655279141e-11+2.10269375644578e-09i</v>
      </c>
      <c r="L361" s="5" t="str">
        <f aca="false">IMSUM(IMPRODUCT(IMSUM(F361,G361),H361),IMPRODUCT(IMSUM(J361,L_Yv),K361))</f>
        <v>-2.11120069354425e-19+1.08600997886021e-19i</v>
      </c>
      <c r="M361" s="37" t="n">
        <f aca="false">IMABS(IMDIV(IMPRODUCT(J361,F361,H361),L361))^2</f>
        <v>3.97635279701332E-019</v>
      </c>
      <c r="N361" s="5" t="str">
        <f aca="false">IMDIV(IMPRODUCT(L_Yv,K361,E361),H361)</f>
        <v>0.000463719886199142+0.00587093664471045i</v>
      </c>
      <c r="O361" s="37" t="n">
        <f aca="false">IMABS(IMSUM(1,IMPRODUCT(E361,G361),N361))^2</f>
        <v>0.105821551033284</v>
      </c>
      <c r="P361" s="37" t="n">
        <f aca="false">IMABS(N361)^2</f>
        <v>3.46829332190606E-005</v>
      </c>
      <c r="Q361" s="37" t="n">
        <f aca="false">p_Rb^2/(1+(C361*p_Rb*L_Ctot)^2)</f>
        <v>3790118134849.88</v>
      </c>
      <c r="R361" s="37" t="n">
        <f aca="false">M361*L_Kt^2*Q361</f>
        <v>0.000302464968247335</v>
      </c>
      <c r="S361" s="37" t="n">
        <f aca="false">L_kT4*D361</f>
        <v>3.47065246388254E-012</v>
      </c>
      <c r="T361" s="37" t="n">
        <f aca="false">L_kT4*L_Rsq*O361</f>
        <v>5.46620310068203E-013</v>
      </c>
      <c r="U361" s="37" t="n">
        <f aca="false">L_kT4*L_Rh*O361</f>
        <v>4.15892149295237E-013</v>
      </c>
      <c r="V361" s="37" t="n">
        <f aca="false">L_kT4*p_Rv*P361</f>
        <v>2.85537998984336E-013</v>
      </c>
      <c r="W361" s="37" t="n">
        <f aca="false">L_kT4/p_Rb*Q361/R361</f>
        <v>2.06326852417408E-016</v>
      </c>
      <c r="X361" s="37" t="n">
        <f aca="false">p_en^2*(1+p_fc/B361)/R361</f>
        <v>2.12232244413347E-013</v>
      </c>
      <c r="Y361" s="37" t="n">
        <f aca="false">p_in^2*Q361/R361</f>
        <v>3.1326918261081E-017</v>
      </c>
      <c r="Z361" s="37" t="n">
        <f aca="false">p_eo^2/L_G^2/R361</f>
        <v>2.0959692643349E-013</v>
      </c>
      <c r="AA361" s="37" t="n">
        <f aca="false">SUM(S361:Z361)</f>
        <v>5.14076974684783E-012</v>
      </c>
      <c r="AB361" s="47" t="n">
        <f aca="false">10*LOG10(AA361/L_PREF^2)</f>
        <v>-18.9103183891256</v>
      </c>
      <c r="AC361" s="47" t="n">
        <f aca="false">10*LOG10(S361/L_PREF^2)</f>
        <v>-20.6164886384921</v>
      </c>
      <c r="AD361" s="47" t="n">
        <f aca="false">10*LOG10(T361/L_PREF^2)</f>
        <v>-28.6437422714974</v>
      </c>
      <c r="AE361" s="47" t="n">
        <f aca="false">10*LOG10(U361/L_PREF^2)</f>
        <v>-29.8307926896721</v>
      </c>
      <c r="AF361" s="47" t="n">
        <f aca="false">10*LOG10(V361/L_PREF^2)</f>
        <v>-31.4639607961795</v>
      </c>
      <c r="AG361" s="47" t="n">
        <f aca="false">10*LOG10(W361/L_PREF^2)</f>
        <v>-62.875042384018</v>
      </c>
      <c r="AH361" s="47" t="n">
        <f aca="false">10*LOG10(X361/L_PREF^2)</f>
        <v>-32.7524862445371</v>
      </c>
      <c r="AI361" s="47" t="n">
        <f aca="false">10*LOG10(Y361/L_PREF^2)</f>
        <v>-71.0614231741771</v>
      </c>
      <c r="AJ361" s="47" t="n">
        <f aca="false">10*LOG10(Z361/L_PREF^2)</f>
        <v>-32.806750815409</v>
      </c>
      <c r="AK361" s="47" t="n">
        <f aca="false">10*LOG10(R361/$R$6)</f>
        <v>11.519041768983</v>
      </c>
      <c r="AL361" s="37" t="n">
        <f aca="false">(12194^2*B361^4/((B361^2+20.6^2)*SQRT((B361^2+107.7^2)*(B361^2+737.9^2))*(B361^2+12194^2))*1.2589254)^2</f>
        <v>0.0224015291413202</v>
      </c>
      <c r="AM361" s="37" t="n">
        <v>0</v>
      </c>
      <c r="AN361" s="37" t="n">
        <v>0</v>
      </c>
      <c r="AO361" s="37" t="n">
        <v>0</v>
      </c>
      <c r="AP361" s="37" t="n">
        <v>0</v>
      </c>
      <c r="AQ361" s="37" t="n">
        <v>0</v>
      </c>
      <c r="AR361" s="37" t="n">
        <v>0</v>
      </c>
      <c r="AS361" s="37" t="n">
        <v>0</v>
      </c>
      <c r="AT361" s="37" t="n">
        <v>0</v>
      </c>
      <c r="AU361" s="37" t="n">
        <v>0</v>
      </c>
      <c r="AV361" s="37" t="n">
        <v>0</v>
      </c>
      <c r="AW361" s="37" t="n">
        <v>0</v>
      </c>
      <c r="AX361" s="37" t="n">
        <v>0</v>
      </c>
      <c r="AY361" s="37" t="n">
        <v>0</v>
      </c>
      <c r="AZ361" s="37" t="n">
        <v>0</v>
      </c>
      <c r="BA361" s="37" t="n">
        <v>0</v>
      </c>
      <c r="BB361" s="37" t="n">
        <v>0</v>
      </c>
      <c r="BC361" s="37" t="n">
        <v>0</v>
      </c>
      <c r="BD361" s="37" t="n">
        <v>0</v>
      </c>
      <c r="BE361" s="37" t="n">
        <f aca="false">IF(B361&gt;2000,AK361,-999)</f>
        <v>11.519041768983</v>
      </c>
      <c r="BF361" s="37" t="n">
        <f aca="false">IF(AND(B361&lt;1000,AK361&gt;=-3),B361,1000000000)</f>
        <v>1000000000</v>
      </c>
    </row>
    <row r="362" customFormat="false" ht="15" hidden="false" customHeight="false" outlineLevel="0" collapsed="false">
      <c r="A362" s="5" t="n">
        <v>323</v>
      </c>
      <c r="B362" s="47" t="n">
        <f aca="false">20*10^(A362/100)</f>
        <v>33964.8730492349</v>
      </c>
      <c r="C362" s="37" t="n">
        <f aca="false">2*PI()*B362</f>
        <v>213407.591303173</v>
      </c>
      <c r="D362" s="37" t="n">
        <f aca="false">SQRT(L_Rp0^2+L_Rp1^2*C362)</f>
        <v>212901361.270345</v>
      </c>
      <c r="E362" s="5" t="str">
        <f aca="false">COMPLEX(D362,C362*L_Mp)</f>
        <v>212901361.270345+3152610414.38001i</v>
      </c>
      <c r="F362" s="5" t="str">
        <f aca="false">IMDIV(1,E362)</f>
        <v>2.13236581661974e-11-3.15757430606889e-10i</v>
      </c>
      <c r="G362" s="5" t="str">
        <f aca="false">COMPLEX(0,C362*L_Cf)</f>
        <v>2.25660982661703e-10i</v>
      </c>
      <c r="H362" s="5" t="str">
        <f aca="false">COMPLEX(0,C362*L_Cbv)</f>
        <v>2.25660982661703e-09i</v>
      </c>
      <c r="I362" s="5" t="str">
        <f aca="false">COMPLEX(L_Rsq+L_Rh,C362*(L_Md+L_Mh)-1/(C362*L_Cd))</f>
        <v>552400610.124532-4593901450.17395i</v>
      </c>
      <c r="J362" s="5" t="str">
        <f aca="false">IMDIV(1,I362)</f>
        <v>2.58021684424234e-11+2.14577277527916e-10i</v>
      </c>
      <c r="K362" s="5" t="str">
        <f aca="false">IMSUM(F362,G362,H362)</f>
        <v>2.13236581661974e-11+2.16651337867184e-09i</v>
      </c>
      <c r="L362" s="5" t="str">
        <f aca="false">IMSUM(IMPRODUCT(IMSUM(F362,G362),H362),IMPRODUCT(IMSUM(J362,L_Yv),K362))</f>
        <v>-2.60979168810669e-19+1.129285189601e-19i</v>
      </c>
      <c r="M362" s="37" t="n">
        <f aca="false">IMABS(IMDIV(IMPRODUCT(J362,F362,H362),L362))^2</f>
        <v>2.94610726002226E-019</v>
      </c>
      <c r="N362" s="5" t="str">
        <f aca="false">IMDIV(IMPRODUCT(L_Yv,K362,E362),H362)</f>
        <v>0.000468382994794761+0.00604945766355734i</v>
      </c>
      <c r="O362" s="37" t="n">
        <f aca="false">IMABS(IMSUM(1,IMPRODUCT(E362,G362),N362))^2</f>
        <v>0.0864743461318249</v>
      </c>
      <c r="P362" s="37" t="n">
        <f aca="false">IMABS(N362)^2</f>
        <v>3.68153206529856E-005</v>
      </c>
      <c r="Q362" s="37" t="n">
        <f aca="false">p_Rb^2/(1+(C362*p_Rb*L_Ctot)^2)</f>
        <v>3619534718927.66</v>
      </c>
      <c r="R362" s="37" t="n">
        <f aca="false">M362*L_Kt^2*Q362</f>
        <v>0.000214012295939412</v>
      </c>
      <c r="S362" s="37" t="n">
        <f aca="false">L_kT4*D362</f>
        <v>3.50555290662478E-012</v>
      </c>
      <c r="T362" s="37" t="n">
        <f aca="false">L_kT4*L_Rsq*O362</f>
        <v>4.46682489851768E-013</v>
      </c>
      <c r="U362" s="37" t="n">
        <f aca="false">L_kT4*L_Rh*O362</f>
        <v>3.39855174305214E-013</v>
      </c>
      <c r="V362" s="37" t="n">
        <f aca="false">L_kT4*p_Rv*P362</f>
        <v>3.03093539546507E-013</v>
      </c>
      <c r="W362" s="37" t="n">
        <f aca="false">L_kT4/p_Rb*Q362/R362</f>
        <v>2.78478780403506E-016</v>
      </c>
      <c r="X362" s="37" t="n">
        <f aca="false">p_en^2*(1+p_fc/B362)/R362</f>
        <v>2.99928701236334E-013</v>
      </c>
      <c r="Y362" s="37" t="n">
        <f aca="false">p_in^2*Q362/R362</f>
        <v>4.22818546831576E-017</v>
      </c>
      <c r="Z362" s="37" t="n">
        <f aca="false">p_eo^2/L_G^2/R362</f>
        <v>2.96224697838821E-013</v>
      </c>
      <c r="AA362" s="37" t="n">
        <f aca="false">SUM(S362:Z362)</f>
        <v>5.19165827003851E-012</v>
      </c>
      <c r="AB362" s="47" t="n">
        <f aca="false">10*LOG10(AA362/L_PREF^2)</f>
        <v>-18.8675389311364</v>
      </c>
      <c r="AC362" s="47" t="n">
        <f aca="false">10*LOG10(S362/L_PREF^2)</f>
        <v>-20.5730346535665</v>
      </c>
      <c r="AD362" s="47" t="n">
        <f aca="false">10*LOG10(T362/L_PREF^2)</f>
        <v>-29.5206106305537</v>
      </c>
      <c r="AE362" s="47" t="n">
        <f aca="false">10*LOG10(U362/L_PREF^2)</f>
        <v>-30.7076610487284</v>
      </c>
      <c r="AF362" s="47" t="n">
        <f aca="false">10*LOG10(V362/L_PREF^2)</f>
        <v>-31.2048331186963</v>
      </c>
      <c r="AG362" s="47" t="n">
        <f aca="false">10*LOG10(W362/L_PREF^2)</f>
        <v>-61.5726788303818</v>
      </c>
      <c r="AH362" s="47" t="n">
        <f aca="false">10*LOG10(X362/L_PREF^2)</f>
        <v>-31.2504196440757</v>
      </c>
      <c r="AI362" s="47" t="n">
        <f aca="false">10*LOG10(Y362/L_PREF^2)</f>
        <v>-69.759059620541</v>
      </c>
      <c r="AJ362" s="47" t="n">
        <f aca="false">10*LOG10(Z362/L_PREF^2)</f>
        <v>-31.3043872617736</v>
      </c>
      <c r="AK362" s="47" t="n">
        <f aca="false">10*LOG10(R362/$R$6)</f>
        <v>10.0166782153476</v>
      </c>
      <c r="AL362" s="37" t="n">
        <f aca="false">(12194^2*B362^4/((B362^2+20.6^2)*SQRT((B362^2+107.7^2)*(B362^2+737.9^2))*(B362^2+12194^2))*1.2589254)^2</f>
        <v>0.0206513711466873</v>
      </c>
      <c r="AM362" s="37" t="n">
        <v>0</v>
      </c>
      <c r="AN362" s="37" t="n">
        <v>0</v>
      </c>
      <c r="AO362" s="37" t="n">
        <v>0</v>
      </c>
      <c r="AP362" s="37" t="n">
        <v>0</v>
      </c>
      <c r="AQ362" s="37" t="n">
        <v>0</v>
      </c>
      <c r="AR362" s="37" t="n">
        <v>0</v>
      </c>
      <c r="AS362" s="37" t="n">
        <v>0</v>
      </c>
      <c r="AT362" s="37" t="n">
        <v>0</v>
      </c>
      <c r="AU362" s="37" t="n">
        <v>0</v>
      </c>
      <c r="AV362" s="37" t="n">
        <v>0</v>
      </c>
      <c r="AW362" s="37" t="n">
        <v>0</v>
      </c>
      <c r="AX362" s="37" t="n">
        <v>0</v>
      </c>
      <c r="AY362" s="37" t="n">
        <v>0</v>
      </c>
      <c r="AZ362" s="37" t="n">
        <v>0</v>
      </c>
      <c r="BA362" s="37" t="n">
        <v>0</v>
      </c>
      <c r="BB362" s="37" t="n">
        <v>0</v>
      </c>
      <c r="BC362" s="37" t="n">
        <v>0</v>
      </c>
      <c r="BD362" s="37" t="n">
        <v>0</v>
      </c>
      <c r="BE362" s="37" t="n">
        <f aca="false">IF(B362&gt;2000,AK362,-999)</f>
        <v>10.0166782153476</v>
      </c>
      <c r="BF362" s="37" t="n">
        <f aca="false">IF(AND(B362&lt;1000,AK362&gt;=-3),B362,1000000000)</f>
        <v>1000000000</v>
      </c>
    </row>
    <row r="363" customFormat="false" ht="15" hidden="false" customHeight="false" outlineLevel="0" collapsed="false">
      <c r="A363" s="5" t="n">
        <v>324</v>
      </c>
      <c r="B363" s="47" t="n">
        <f aca="false">20*10^(A363/100)</f>
        <v>34756.0165749875</v>
      </c>
      <c r="C363" s="37" t="n">
        <f aca="false">2*PI()*B363</f>
        <v>218378.492680052</v>
      </c>
      <c r="D363" s="37" t="n">
        <f aca="false">SQRT(L_Rp0^2+L_Rp1^2*C363)</f>
        <v>215048701.81121</v>
      </c>
      <c r="E363" s="5" t="str">
        <f aca="false">COMPLEX(D363,C363*L_Mp)</f>
        <v>215048701.81121+3226044144.42639i</v>
      </c>
      <c r="F363" s="5" t="str">
        <f aca="false">IMDIV(1,E363)</f>
        <v>2.05717229111692e-11-3.08605844533771e-10i</v>
      </c>
      <c r="G363" s="5" t="str">
        <f aca="false">COMPLEX(0,C363*L_Cf)</f>
        <v>2.3091730218891e-10i</v>
      </c>
      <c r="H363" s="5" t="str">
        <f aca="false">COMPLEX(0,C363*L_Cbv)</f>
        <v>2.3091730218891e-09i</v>
      </c>
      <c r="I363" s="5" t="str">
        <f aca="false">COMPLEX(L_Rsq+L_Rh,C363*(L_Md+L_Mh)-1/(C363*L_Cd))</f>
        <v>552400610.124532-4452297221.41569i</v>
      </c>
      <c r="J363" s="5" t="str">
        <f aca="false">IMDIV(1,I363)</f>
        <v>2.74442541995648e-11+2.21198120489045e-10i</v>
      </c>
      <c r="K363" s="5" t="str">
        <f aca="false">IMSUM(F363,G363,H363)</f>
        <v>2.05717229111692e-11+2.23148447954424e-09i</v>
      </c>
      <c r="L363" s="5" t="str">
        <f aca="false">IMSUM(IMPRODUCT(IMSUM(F363,G363),H363),IMPRODUCT(IMSUM(J363,L_Yv),K363))</f>
        <v>-3.13598167644299e-19+1.17758490261506e-19i</v>
      </c>
      <c r="M363" s="37" t="n">
        <f aca="false">IMABS(IMDIV(IMPRODUCT(J363,F363,H363),L363))^2</f>
        <v>2.25844300058912E-019</v>
      </c>
      <c r="N363" s="5" t="str">
        <f aca="false">IMDIV(IMPRODUCT(L_Yv,K363,E363),H363)</f>
        <v>0.000473107143984661+0.00623118618493155i</v>
      </c>
      <c r="O363" s="37" t="n">
        <f aca="false">IMABS(IMSUM(1,IMPRODUCT(E363,G363),N363))^2</f>
        <v>0.0684160127373852</v>
      </c>
      <c r="P363" s="37" t="n">
        <f aca="false">IMABS(N363)^2</f>
        <v>3.90515116409711E-005</v>
      </c>
      <c r="Q363" s="37" t="n">
        <f aca="false">p_Rb^2/(1+(C363*p_Rb*L_Ctot)^2)</f>
        <v>3456628821423.65</v>
      </c>
      <c r="R363" s="37" t="n">
        <f aca="false">M363*L_Kt^2*Q363</f>
        <v>0.000156674856650537</v>
      </c>
      <c r="S363" s="37" t="n">
        <f aca="false">L_kT4*D363</f>
        <v>3.54091019992543E-012</v>
      </c>
      <c r="T363" s="37" t="n">
        <f aca="false">L_kT4*L_Rsq*O363</f>
        <v>3.5340232429949E-013</v>
      </c>
      <c r="U363" s="37" t="n">
        <f aca="false">L_kT4*L_Rh*O363</f>
        <v>2.68883628199816E-013</v>
      </c>
      <c r="V363" s="37" t="n">
        <f aca="false">L_kT4*p_Rv*P363</f>
        <v>3.21503675045234E-013</v>
      </c>
      <c r="W363" s="37" t="n">
        <f aca="false">L_kT4/p_Rb*Q363/R363</f>
        <v>3.63271668355103E-016</v>
      </c>
      <c r="X363" s="37" t="n">
        <f aca="false">p_en^2*(1+p_fc/B363)/R363</f>
        <v>4.09664589150449E-013</v>
      </c>
      <c r="Y363" s="37" t="n">
        <f aca="false">p_in^2*Q363/R363</f>
        <v>5.51560871878385E-017</v>
      </c>
      <c r="Z363" s="37" t="n">
        <f aca="false">p_eo^2/L_G^2/R363</f>
        <v>4.04632428289681E-013</v>
      </c>
      <c r="AA363" s="37" t="n">
        <f aca="false">SUM(S363:Z363)</f>
        <v>5.29941527266564E-012</v>
      </c>
      <c r="AB363" s="47" t="n">
        <f aca="false">10*LOG10(AA363/L_PREF^2)</f>
        <v>-18.778320383053</v>
      </c>
      <c r="AC363" s="47" t="n">
        <f aca="false">10*LOG10(S363/L_PREF^2)</f>
        <v>-20.5294507845615</v>
      </c>
      <c r="AD363" s="47" t="n">
        <f aca="false">10*LOG10(T363/L_PREF^2)</f>
        <v>-30.5379058982693</v>
      </c>
      <c r="AE363" s="47" t="n">
        <f aca="false">10*LOG10(U363/L_PREF^2)</f>
        <v>-31.724956316444</v>
      </c>
      <c r="AF363" s="47" t="n">
        <f aca="false">10*LOG10(V363/L_PREF^2)</f>
        <v>-30.948740497046</v>
      </c>
      <c r="AG363" s="47" t="n">
        <f aca="false">10*LOG10(W363/L_PREF^2)</f>
        <v>-60.4182846287575</v>
      </c>
      <c r="AH363" s="47" t="n">
        <f aca="false">10*LOG10(X363/L_PREF^2)</f>
        <v>-29.8963156557643</v>
      </c>
      <c r="AI363" s="47" t="n">
        <f aca="false">10*LOG10(Y363/L_PREF^2)</f>
        <v>-68.6046654189167</v>
      </c>
      <c r="AJ363" s="47" t="n">
        <f aca="false">10*LOG10(Z363/L_PREF^2)</f>
        <v>-29.94999306015</v>
      </c>
      <c r="AK363" s="47" t="n">
        <f aca="false">10*LOG10(R363/$R$6)</f>
        <v>8.66228401372401</v>
      </c>
      <c r="AL363" s="37" t="n">
        <f aca="false">(12194^2*B363^4/((B363^2+20.6^2)*SQRT((B363^2+107.7^2)*(B363^2+737.9^2))*(B363^2+12194^2))*1.2589254)^2</f>
        <v>0.0190297618755092</v>
      </c>
      <c r="AM363" s="37" t="n">
        <v>0</v>
      </c>
      <c r="AN363" s="37" t="n">
        <v>0</v>
      </c>
      <c r="AO363" s="37" t="n">
        <v>0</v>
      </c>
      <c r="AP363" s="37" t="n">
        <v>0</v>
      </c>
      <c r="AQ363" s="37" t="n">
        <v>0</v>
      </c>
      <c r="AR363" s="37" t="n">
        <v>0</v>
      </c>
      <c r="AS363" s="37" t="n">
        <v>0</v>
      </c>
      <c r="AT363" s="37" t="n">
        <v>0</v>
      </c>
      <c r="AU363" s="37" t="n">
        <v>0</v>
      </c>
      <c r="AV363" s="37" t="n">
        <v>0</v>
      </c>
      <c r="AW363" s="37" t="n">
        <v>0</v>
      </c>
      <c r="AX363" s="37" t="n">
        <v>0</v>
      </c>
      <c r="AY363" s="37" t="n">
        <v>0</v>
      </c>
      <c r="AZ363" s="37" t="n">
        <v>0</v>
      </c>
      <c r="BA363" s="37" t="n">
        <v>0</v>
      </c>
      <c r="BB363" s="37" t="n">
        <v>0</v>
      </c>
      <c r="BC363" s="37" t="n">
        <v>0</v>
      </c>
      <c r="BD363" s="37" t="n">
        <v>0</v>
      </c>
      <c r="BE363" s="37" t="n">
        <f aca="false">IF(B363&gt;2000,AK363,-999)</f>
        <v>8.66228401372401</v>
      </c>
      <c r="BF363" s="37" t="n">
        <f aca="false">IF(AND(B363&lt;1000,AK363&gt;=-3),B363,1000000000)</f>
        <v>1000000000</v>
      </c>
    </row>
    <row r="364" customFormat="false" ht="15" hidden="false" customHeight="false" outlineLevel="0" collapsed="false">
      <c r="A364" s="5" t="n">
        <v>325</v>
      </c>
      <c r="B364" s="47" t="n">
        <f aca="false">20*10^(A364/100)</f>
        <v>35565.5882007785</v>
      </c>
      <c r="C364" s="37" t="n">
        <f aca="false">2*PI()*B364</f>
        <v>223465.181224331</v>
      </c>
      <c r="D364" s="37" t="n">
        <f aca="false">SQRT(L_Rp0^2+L_Rp1^2*C364)</f>
        <v>217224086.765594</v>
      </c>
      <c r="E364" s="5" t="str">
        <f aca="false">COMPLEX(D364,C364*L_Mp)</f>
        <v>217224086.765594+3301188365.77988i</v>
      </c>
      <c r="F364" s="5" t="str">
        <f aca="false">IMDIV(1,E364)</f>
        <v>1.9846822558134e-11-3.01615261466422e-10i</v>
      </c>
      <c r="G364" s="5" t="str">
        <f aca="false">COMPLEX(0,C364*L_Cf)</f>
        <v>2.36296057126288e-10i</v>
      </c>
      <c r="H364" s="5" t="str">
        <f aca="false">COMPLEX(0,C364*L_Cbv)</f>
        <v>2.36296057126288e-09i</v>
      </c>
      <c r="I364" s="5" t="str">
        <f aca="false">COMPLEX(L_Rsq+L_Rh,C364*(L_Md+L_Mh)-1/(C364*L_Cd))</f>
        <v>552400610.124532-4313053659.57735i</v>
      </c>
      <c r="J364" s="5" t="str">
        <f aca="false">IMDIV(1,I364)</f>
        <v>2.92158308816441e-11+2.2811243143497e-10i</v>
      </c>
      <c r="K364" s="5" t="str">
        <f aca="false">IMSUM(F364,G364,H364)</f>
        <v>1.9846822558134e-11+2.29764136692275e-09i</v>
      </c>
      <c r="L364" s="5" t="str">
        <f aca="false">IMSUM(IMPRODUCT(IMSUM(F364,G364),H364),IMPRODUCT(IMSUM(J364,L_Yv),K364))</f>
        <v>-3.69154319315804e-19+1.23147350456246e-19i</v>
      </c>
      <c r="M364" s="37" t="n">
        <f aca="false">IMABS(IMDIV(IMPRODUCT(J364,F364,H364),L364))^2</f>
        <v>1.78163578835761E-019</v>
      </c>
      <c r="N364" s="5" t="str">
        <f aca="false">IMDIV(IMPRODUCT(L_Yv,K364,E364),H364)</f>
        <v>0.000477892990884308+0.00641621856370049i</v>
      </c>
      <c r="O364" s="37" t="n">
        <f aca="false">IMABS(IMSUM(1,IMPRODUCT(E364,G364),N364))^2</f>
        <v>0.051919552558549</v>
      </c>
      <c r="P364" s="37" t="n">
        <f aca="false">IMABS(N364)^2</f>
        <v>4.13962423679111E-005</v>
      </c>
      <c r="Q364" s="37" t="n">
        <f aca="false">p_Rb^2/(1+(C364*p_Rb*L_Ctot)^2)</f>
        <v>3301054897088.12</v>
      </c>
      <c r="R364" s="37" t="n">
        <f aca="false">M364*L_Kt^2*Q364</f>
        <v>0.000118034536725845</v>
      </c>
      <c r="S364" s="37" t="n">
        <f aca="false">L_kT4*D364</f>
        <v>3.57672926188147E-012</v>
      </c>
      <c r="T364" s="37" t="n">
        <f aca="false">L_kT4*L_Rsq*O364</f>
        <v>2.68190001384784E-013</v>
      </c>
      <c r="U364" s="37" t="n">
        <f aca="false">L_kT4*L_Rh*O364</f>
        <v>2.04050442402137E-013</v>
      </c>
      <c r="V364" s="37" t="n">
        <f aca="false">L_kT4*p_Rv*P364</f>
        <v>3.40807397590811E-013</v>
      </c>
      <c r="W364" s="37" t="n">
        <f aca="false">L_kT4/p_Rb*Q364/R364</f>
        <v>4.60491623523808E-016</v>
      </c>
      <c r="X364" s="37" t="n">
        <f aca="false">p_en^2*(1+p_fc/B364)/R364</f>
        <v>5.43738731089612E-013</v>
      </c>
      <c r="Y364" s="37" t="n">
        <f aca="false">p_in^2*Q364/R364</f>
        <v>6.99171401154263E-017</v>
      </c>
      <c r="Z364" s="37" t="n">
        <f aca="false">p_eo^2/L_G^2/R364</f>
        <v>5.37094730550703E-013</v>
      </c>
      <c r="AA364" s="37" t="n">
        <f aca="false">SUM(S364:Z364)</f>
        <v>5.47114097366316E-012</v>
      </c>
      <c r="AB364" s="47" t="n">
        <f aca="false">10*LOG10(AA364/L_PREF^2)</f>
        <v>-18.6398208603775</v>
      </c>
      <c r="AC364" s="47" t="n">
        <f aca="false">10*LOG10(S364/L_PREF^2)</f>
        <v>-20.4857392356392</v>
      </c>
      <c r="AD364" s="47" t="n">
        <f aca="false">10*LOG10(T364/L_PREF^2)</f>
        <v>-31.7361740880552</v>
      </c>
      <c r="AE364" s="47" t="n">
        <f aca="false">10*LOG10(U364/L_PREF^2)</f>
        <v>-32.9232245062299</v>
      </c>
      <c r="AF364" s="47" t="n">
        <f aca="false">10*LOG10(V364/L_PREF^2)</f>
        <v>-30.6955097830255</v>
      </c>
      <c r="AG364" s="47" t="n">
        <f aca="false">10*LOG10(W364/L_PREF^2)</f>
        <v>-59.3883825666583</v>
      </c>
      <c r="AH364" s="47" t="n">
        <f aca="false">10*LOG10(X364/L_PREF^2)</f>
        <v>-28.6666972196538</v>
      </c>
      <c r="AI364" s="47" t="n">
        <f aca="false">10*LOG10(Y364/L_PREF^2)</f>
        <v>-67.5747633568175</v>
      </c>
      <c r="AJ364" s="47" t="n">
        <f aca="false">10*LOG10(Z364/L_PREF^2)</f>
        <v>-28.7200909980515</v>
      </c>
      <c r="AK364" s="47" t="n">
        <f aca="false">10*LOG10(R364/$R$6)</f>
        <v>7.4323819516255</v>
      </c>
      <c r="AL364" s="37" t="n">
        <f aca="false">(12194^2*B364^4/((B364^2+20.6^2)*SQRT((B364^2+107.7^2)*(B364^2+737.9^2))*(B364^2+12194^2))*1.2589254)^2</f>
        <v>0.0175282118122532</v>
      </c>
      <c r="AM364" s="37" t="n">
        <v>0</v>
      </c>
      <c r="AN364" s="37" t="n">
        <v>0</v>
      </c>
      <c r="AO364" s="37" t="n">
        <v>0</v>
      </c>
      <c r="AP364" s="37" t="n">
        <v>0</v>
      </c>
      <c r="AQ364" s="37" t="n">
        <v>0</v>
      </c>
      <c r="AR364" s="37" t="n">
        <v>0</v>
      </c>
      <c r="AS364" s="37" t="n">
        <v>0</v>
      </c>
      <c r="AT364" s="37" t="n">
        <v>0</v>
      </c>
      <c r="AU364" s="37" t="n">
        <v>0</v>
      </c>
      <c r="AV364" s="37" t="n">
        <v>0</v>
      </c>
      <c r="AW364" s="37" t="n">
        <v>0</v>
      </c>
      <c r="AX364" s="37" t="n">
        <v>0</v>
      </c>
      <c r="AY364" s="37" t="n">
        <v>0</v>
      </c>
      <c r="AZ364" s="37" t="n">
        <v>0</v>
      </c>
      <c r="BA364" s="37" t="n">
        <v>0</v>
      </c>
      <c r="BB364" s="37" t="n">
        <v>0</v>
      </c>
      <c r="BC364" s="37" t="n">
        <v>0</v>
      </c>
      <c r="BD364" s="37" t="n">
        <v>0</v>
      </c>
      <c r="BE364" s="37" t="n">
        <f aca="false">IF(B364&gt;2000,AK364,-999)</f>
        <v>7.4323819516255</v>
      </c>
      <c r="BF364" s="37" t="n">
        <f aca="false">IF(AND(B364&lt;1000,AK364&gt;=-3),B364,1000000000)</f>
        <v>1000000000</v>
      </c>
    </row>
    <row r="365" customFormat="false" ht="15" hidden="false" customHeight="false" outlineLevel="0" collapsed="false">
      <c r="A365" s="5" t="n">
        <v>326</v>
      </c>
      <c r="B365" s="47" t="n">
        <f aca="false">20*10^(A365/100)</f>
        <v>36394.0171721997</v>
      </c>
      <c r="C365" s="37" t="n">
        <f aca="false">2*PI()*B365</f>
        <v>228670.353965606</v>
      </c>
      <c r="D365" s="37" t="n">
        <f aca="false">SQRT(L_Rp0^2+L_Rp1^2*C365)</f>
        <v>219427818.161954</v>
      </c>
      <c r="E365" s="5" t="str">
        <f aca="false">COMPLEX(D365,C365*L_Mp)</f>
        <v>219427818.161954+3378082920.90131i</v>
      </c>
      <c r="F365" s="5" t="str">
        <f aca="false">IMDIV(1,E365)</f>
        <v>1.91479594627698e-11-2.94782108180796e-10i</v>
      </c>
      <c r="G365" s="5" t="str">
        <f aca="false">COMPLEX(0,C365*L_Cf)</f>
        <v>2.41800099360903e-10i</v>
      </c>
      <c r="H365" s="5" t="str">
        <f aca="false">COMPLEX(0,C365*L_Cbv)</f>
        <v>2.41800099360904e-09i</v>
      </c>
      <c r="I365" s="5" t="str">
        <f aca="false">COMPLEX(L_Rsq+L_Rh,C365*(L_Md+L_Mh)-1/(C365*L_Cd))</f>
        <v>552400610.124532-4176096935.87933i</v>
      </c>
      <c r="J365" s="5" t="str">
        <f aca="false">IMDIV(1,I365)</f>
        <v>3.11300493294678e-11+2.35340260738046e-10i</v>
      </c>
      <c r="K365" s="5" t="str">
        <f aca="false">IMSUM(F365,G365,H365)</f>
        <v>1.91479594627698e-11+2.36501898478915e-09i</v>
      </c>
      <c r="L365" s="5" t="str">
        <f aca="false">IMSUM(IMPRODUCT(IMSUM(F365,G365),H365),IMPRODUCT(IMSUM(J365,L_Yv),K365))</f>
        <v>-4.27839261719243e-19+1.29159266410325e-19i</v>
      </c>
      <c r="M365" s="37" t="n">
        <f aca="false">IMABS(IMDIV(IMPRODUCT(J365,F365,H365),L365))^2</f>
        <v>1.43955835618365E-019</v>
      </c>
      <c r="N365" s="5" t="str">
        <f aca="false">IMDIV(IMPRODUCT(L_Yv,K365,E365),H365)</f>
        <v>0.000482741199956298+0.00660465290648055i</v>
      </c>
      <c r="O365" s="37" t="n">
        <f aca="false">IMABS(IMSUM(1,IMPRODUCT(E365,G365),N365))^2</f>
        <v>0.0372913063799247</v>
      </c>
      <c r="P365" s="37" t="n">
        <f aca="false">IMABS(N365)^2</f>
        <v>4.38544790812172E-005</v>
      </c>
      <c r="Q365" s="37" t="n">
        <f aca="false">p_Rb^2/(1+(C365*p_Rb*L_Ctot)^2)</f>
        <v>3152482952769.38</v>
      </c>
      <c r="R365" s="37" t="n">
        <f aca="false">M365*L_Kt^2*Q365</f>
        <v>9.10792501992276E-005</v>
      </c>
      <c r="S365" s="37" t="n">
        <f aca="false">L_kT4*D365</f>
        <v>3.61301506557872E-012</v>
      </c>
      <c r="T365" s="37" t="n">
        <f aca="false">L_kT4*L_Rsq*O365</f>
        <v>1.9262792179101E-013</v>
      </c>
      <c r="U365" s="37" t="n">
        <f aca="false">L_kT4*L_Rh*O365</f>
        <v>1.46559575142647E-013</v>
      </c>
      <c r="V365" s="37" t="n">
        <f aca="false">L_kT4*p_Rv*P365</f>
        <v>3.61045593354528E-013</v>
      </c>
      <c r="W365" s="37" t="n">
        <f aca="false">L_kT4/p_Rb*Q365/R365</f>
        <v>5.69916706179188E-016</v>
      </c>
      <c r="X365" s="37" t="n">
        <f aca="false">p_en^2*(1+p_fc/B365)/R365</f>
        <v>7.04615518235554E-013</v>
      </c>
      <c r="Y365" s="37" t="n">
        <f aca="false">p_in^2*Q365/R365</f>
        <v>8.65313160207624E-017</v>
      </c>
      <c r="Z365" s="37" t="n">
        <f aca="false">p_eo^2/L_G^2/R365</f>
        <v>6.96050171249457E-013</v>
      </c>
      <c r="AA365" s="37" t="n">
        <f aca="false">SUM(S365:Z365)</f>
        <v>5.71457029337411E-012</v>
      </c>
      <c r="AB365" s="47" t="n">
        <f aca="false">10*LOG10(AA365/L_PREF^2)</f>
        <v>-18.4507641210544</v>
      </c>
      <c r="AC365" s="47" t="n">
        <f aca="false">10*LOG10(S365/L_PREF^2)</f>
        <v>-20.4419021883161</v>
      </c>
      <c r="AD365" s="47" t="n">
        <f aca="false">10*LOG10(T365/L_PREF^2)</f>
        <v>-33.1734075214872</v>
      </c>
      <c r="AE365" s="47" t="n">
        <f aca="false">10*LOG10(U365/L_PREF^2)</f>
        <v>-34.3604579396619</v>
      </c>
      <c r="AF365" s="47" t="n">
        <f aca="false">10*LOG10(V365/L_PREF^2)</f>
        <v>-30.444979426301</v>
      </c>
      <c r="AG365" s="47" t="n">
        <f aca="false">10*LOG10(W365/L_PREF^2)</f>
        <v>-58.4624860353277</v>
      </c>
      <c r="AH365" s="47" t="n">
        <f aca="false">10*LOG10(X365/L_PREF^2)</f>
        <v>-27.5410778760926</v>
      </c>
      <c r="AI365" s="47" t="n">
        <f aca="false">10*LOG10(Y365/L_PREF^2)</f>
        <v>-66.6488668254869</v>
      </c>
      <c r="AJ365" s="47" t="n">
        <f aca="false">10*LOG10(Z365/L_PREF^2)</f>
        <v>-27.5941944667215</v>
      </c>
      <c r="AK365" s="47" t="n">
        <f aca="false">10*LOG10(R365/$R$6)</f>
        <v>6.30648542029552</v>
      </c>
      <c r="AL365" s="37" t="n">
        <f aca="false">(12194^2*B365^4/((B365^2+20.6^2)*SQRT((B365^2+107.7^2)*(B365^2+737.9^2))*(B365^2+12194^2))*1.2589254)^2</f>
        <v>0.0161386822715309</v>
      </c>
      <c r="AM365" s="37" t="n">
        <v>0</v>
      </c>
      <c r="AN365" s="37" t="n">
        <v>0</v>
      </c>
      <c r="AO365" s="37" t="n">
        <v>0</v>
      </c>
      <c r="AP365" s="37" t="n">
        <v>0</v>
      </c>
      <c r="AQ365" s="37" t="n">
        <v>0</v>
      </c>
      <c r="AR365" s="37" t="n">
        <v>0</v>
      </c>
      <c r="AS365" s="37" t="n">
        <v>0</v>
      </c>
      <c r="AT365" s="37" t="n">
        <v>0</v>
      </c>
      <c r="AU365" s="37" t="n">
        <v>0</v>
      </c>
      <c r="AV365" s="37" t="n">
        <v>0</v>
      </c>
      <c r="AW365" s="37" t="n">
        <v>0</v>
      </c>
      <c r="AX365" s="37" t="n">
        <v>0</v>
      </c>
      <c r="AY365" s="37" t="n">
        <v>0</v>
      </c>
      <c r="AZ365" s="37" t="n">
        <v>0</v>
      </c>
      <c r="BA365" s="37" t="n">
        <v>0</v>
      </c>
      <c r="BB365" s="37" t="n">
        <v>0</v>
      </c>
      <c r="BC365" s="37" t="n">
        <v>0</v>
      </c>
      <c r="BD365" s="37" t="n">
        <v>0</v>
      </c>
      <c r="BE365" s="37" t="n">
        <f aca="false">IF(B365&gt;2000,AK365,-999)</f>
        <v>6.30648542029552</v>
      </c>
      <c r="BF365" s="37" t="n">
        <f aca="false">IF(AND(B365&lt;1000,AK365&gt;=-3),B365,1000000000)</f>
        <v>1000000000</v>
      </c>
    </row>
    <row r="366" customFormat="false" ht="15" hidden="false" customHeight="false" outlineLevel="0" collapsed="false">
      <c r="A366" s="5" t="n">
        <v>327</v>
      </c>
      <c r="B366" s="47" t="n">
        <f aca="false">20*10^(A366/100)</f>
        <v>37241.7427332574</v>
      </c>
      <c r="C366" s="37" t="n">
        <f aca="false">2*PI()*B366</f>
        <v>233996.770755365</v>
      </c>
      <c r="D366" s="37" t="n">
        <f aca="false">SQRT(L_Rp0^2+L_Rp1^2*C366)</f>
        <v>221660201.416596</v>
      </c>
      <c r="E366" s="5" t="str">
        <f aca="false">COMPLEX(D366,C366*L_Mp)</f>
        <v>221660201.416596+3456768580.30161i</v>
      </c>
      <c r="F366" s="5" t="str">
        <f aca="false">IMDIV(1,E366)</f>
        <v>1.84741739814842e-11-2.88102887925279e-10i</v>
      </c>
      <c r="G366" s="5" t="str">
        <f aca="false">COMPLEX(0,C366*L_Cf)</f>
        <v>2.47432347208803e-10i</v>
      </c>
      <c r="H366" s="5" t="str">
        <f aca="false">COMPLEX(0,C366*L_Cbv)</f>
        <v>2.47432347208803e-09i</v>
      </c>
      <c r="I366" s="5" t="str">
        <f aca="false">COMPLEX(L_Rsq+L_Rh,C366*(L_Md+L_Mh)-1/(C366*L_Cd))</f>
        <v>552400610.124532-4041354434.05389i</v>
      </c>
      <c r="J366" s="5" t="str">
        <f aca="false">IMDIV(1,I366)</f>
        <v>3.32017570073236e-11+2.42903547607737e-10i</v>
      </c>
      <c r="K366" s="5" t="str">
        <f aca="false">IMSUM(F366,G366,H366)</f>
        <v>1.84741739814842e-11+2.43365293137155e-09i</v>
      </c>
      <c r="L366" s="5" t="str">
        <f aca="false">IMSUM(IMPRODUCT(IMSUM(F366,G366),H366),IMPRODUCT(IMSUM(J366,L_Yv),K366))</f>
        <v>-4.89860533775422e-19+1.35867383839351e-19i</v>
      </c>
      <c r="M366" s="37" t="n">
        <f aca="false">IMABS(IMDIV(IMPRODUCT(J366,F366,H366),L366))^2</f>
        <v>1.18676717117916E-019</v>
      </c>
      <c r="N366" s="5" t="str">
        <f aca="false">IMDIV(IMPRODUCT(L_Yv,K366,E366),H366)</f>
        <v>0.000487652443116509+0.00679658912365456i</v>
      </c>
      <c r="O366" s="37" t="n">
        <f aca="false">IMABS(IMSUM(1,IMPRODUCT(E366,G366),N366))^2</f>
        <v>0.0248745000582428</v>
      </c>
      <c r="P366" s="37" t="n">
        <f aca="false">IMABS(N366)^2</f>
        <v>4.6431428621057E-005</v>
      </c>
      <c r="Q366" s="37" t="n">
        <f aca="false">p_Rb^2/(1+(C366*p_Rb*L_Ctot)^2)</f>
        <v>3010597847454.15</v>
      </c>
      <c r="R366" s="37" t="n">
        <f aca="false">M366*L_Kt^2*Q366</f>
        <v>7.17060329007761E-005</v>
      </c>
      <c r="S366" s="37" t="n">
        <f aca="false">L_kT4*D366</f>
        <v>3.64977263988597E-012</v>
      </c>
      <c r="T366" s="37" t="n">
        <f aca="false">L_kT4*L_Rsq*O366</f>
        <v>1.28489015723759E-013</v>
      </c>
      <c r="U366" s="37" t="n">
        <f aca="false">L_kT4*L_Rh*O366</f>
        <v>9.77599476746776E-014</v>
      </c>
      <c r="V366" s="37" t="n">
        <f aca="false">L_kT4*p_Rv*P366</f>
        <v>3.82261129262116E-013</v>
      </c>
      <c r="W366" s="37" t="n">
        <f aca="false">L_kT4/p_Rb*Q366/R366</f>
        <v>6.91313660027981E-016</v>
      </c>
      <c r="X366" s="37" t="n">
        <f aca="false">p_en^2*(1+p_fc/B366)/R366</f>
        <v>8.9492958373024E-013</v>
      </c>
      <c r="Y366" s="37" t="n">
        <f aca="false">p_in^2*Q366/R366</f>
        <v>1.04963199247826E-016</v>
      </c>
      <c r="Z366" s="37" t="n">
        <f aca="false">p_eo^2/L_G^2/R366</f>
        <v>8.84105913182632E-013</v>
      </c>
      <c r="AA366" s="37" t="n">
        <f aca="false">SUM(S366:Z366)</f>
        <v>6.03811450631867E-012</v>
      </c>
      <c r="AB366" s="47" t="n">
        <f aca="false">10*LOG10(AA366/L_PREF^2)</f>
        <v>-18.2115864663711</v>
      </c>
      <c r="AC366" s="47" t="n">
        <f aca="false">10*LOG10(S366/L_PREF^2)</f>
        <v>-20.397941801094</v>
      </c>
      <c r="AD366" s="47" t="n">
        <f aca="false">10*LOG10(T366/L_PREF^2)</f>
        <v>-34.9319398906501</v>
      </c>
      <c r="AE366" s="47" t="n">
        <f aca="false">10*LOG10(U366/L_PREF^2)</f>
        <v>-36.1189903088248</v>
      </c>
      <c r="AF366" s="47" t="n">
        <f aca="false">10*LOG10(V366/L_PREF^2)</f>
        <v>-30.196998528832</v>
      </c>
      <c r="AG366" s="47" t="n">
        <f aca="false">10*LOG10(W366/L_PREF^2)</f>
        <v>-57.6238485290906</v>
      </c>
      <c r="AH366" s="47" t="n">
        <f aca="false">10*LOG10(X366/L_PREF^2)</f>
        <v>-26.5027112651539</v>
      </c>
      <c r="AI366" s="47" t="n">
        <f aca="false">10*LOG10(Y366/L_PREF^2)</f>
        <v>-65.8102293192497</v>
      </c>
      <c r="AJ366" s="47" t="n">
        <f aca="false">10*LOG10(Z366/L_PREF^2)</f>
        <v>-26.555556960485</v>
      </c>
      <c r="AK366" s="47" t="n">
        <f aca="false">10*LOG10(R366/$R$6)</f>
        <v>5.26784791405901</v>
      </c>
      <c r="AL366" s="37" t="n">
        <f aca="false">(12194^2*B366^4/((B366^2+20.6^2)*SQRT((B366^2+107.7^2)*(B366^2+737.9^2))*(B366^2+12194^2))*1.2589254)^2</f>
        <v>0.014853574308233</v>
      </c>
      <c r="AM366" s="37" t="n">
        <v>0</v>
      </c>
      <c r="AN366" s="37" t="n">
        <v>0</v>
      </c>
      <c r="AO366" s="37" t="n">
        <v>0</v>
      </c>
      <c r="AP366" s="37" t="n">
        <v>0</v>
      </c>
      <c r="AQ366" s="37" t="n">
        <v>0</v>
      </c>
      <c r="AR366" s="37" t="n">
        <v>0</v>
      </c>
      <c r="AS366" s="37" t="n">
        <v>0</v>
      </c>
      <c r="AT366" s="37" t="n">
        <v>0</v>
      </c>
      <c r="AU366" s="37" t="n">
        <v>0</v>
      </c>
      <c r="AV366" s="37" t="n">
        <v>0</v>
      </c>
      <c r="AW366" s="37" t="n">
        <v>0</v>
      </c>
      <c r="AX366" s="37" t="n">
        <v>0</v>
      </c>
      <c r="AY366" s="37" t="n">
        <v>0</v>
      </c>
      <c r="AZ366" s="37" t="n">
        <v>0</v>
      </c>
      <c r="BA366" s="37" t="n">
        <v>0</v>
      </c>
      <c r="BB366" s="37" t="n">
        <v>0</v>
      </c>
      <c r="BC366" s="37" t="n">
        <v>0</v>
      </c>
      <c r="BD366" s="37" t="n">
        <v>0</v>
      </c>
      <c r="BE366" s="37" t="n">
        <f aca="false">IF(B366&gt;2000,AK366,-999)</f>
        <v>5.26784791405901</v>
      </c>
      <c r="BF366" s="37" t="n">
        <f aca="false">IF(AND(B366&lt;1000,AK366&gt;=-3),B366,1000000000)</f>
        <v>1000000000</v>
      </c>
    </row>
    <row r="367" customFormat="false" ht="15" hidden="false" customHeight="false" outlineLevel="0" collapsed="false">
      <c r="A367" s="5" t="n">
        <v>328</v>
      </c>
      <c r="B367" s="47" t="n">
        <f aca="false">20*10^(A367/100)</f>
        <v>38109.2143592649</v>
      </c>
      <c r="C367" s="37" t="n">
        <f aca="false">2*PI()*B367</f>
        <v>239447.255730291</v>
      </c>
      <c r="D367" s="37" t="n">
        <f aca="false">SQRT(L_Rp0^2+L_Rp1^2*C367)</f>
        <v>223921545.382275</v>
      </c>
      <c r="E367" s="5" t="str">
        <f aca="false">COMPLEX(D367,C367*L_Mp)</f>
        <v>223921545.382275+3537287064.15893i</v>
      </c>
      <c r="F367" s="5" t="str">
        <f aca="false">IMDIV(1,E367)</f>
        <v>1.78245429748881e-11-2.81574178947264e-10i</v>
      </c>
      <c r="G367" s="5" t="str">
        <f aca="false">COMPLEX(0,C367*L_Cf)</f>
        <v>2.53195786962346e-10i</v>
      </c>
      <c r="H367" s="5" t="str">
        <f aca="false">COMPLEX(0,C367*L_Cbv)</f>
        <v>2.53195786962346e-09i</v>
      </c>
      <c r="I367" s="5" t="str">
        <f aca="false">COMPLEX(L_Rsq+L_Rh,C367*(L_Md+L_Mh)-1/(C367*L_Cd))</f>
        <v>552400610.124532-3908754711.84304i</v>
      </c>
      <c r="J367" s="5" t="str">
        <f aca="false">IMDIV(1,I367)</f>
        <v>3.5447766010371e-11+2.50826338490306e-10i</v>
      </c>
      <c r="K367" s="5" t="str">
        <f aca="false">IMSUM(F367,G367,H367)</f>
        <v>1.78245429748881e-11+2.50357947763854e-09i</v>
      </c>
      <c r="L367" s="5" t="str">
        <f aca="false">IMSUM(IMPRODUCT(IMSUM(F367,G367),H367),IMPRODUCT(IMSUM(J367,L_Yv),K367))</f>
        <v>-5.55443291267511e-19+1.43355315174339e-19i</v>
      </c>
      <c r="M367" s="37" t="n">
        <f aca="false">IMABS(IMDIV(IMPRODUCT(J367,F367,H367),L367))^2</f>
        <v>9.95140827940917E-020</v>
      </c>
      <c r="N367" s="5" t="str">
        <f aca="false">IMDIV(IMPRODUCT(L_Yv,K367,E367),H367)</f>
        <v>0.000492627399841007+0.00699212898234544i</v>
      </c>
      <c r="O367" s="37" t="n">
        <f aca="false">IMABS(IMSUM(1,IMPRODUCT(E367,G367),N367))^2</f>
        <v>0.0150531481289106</v>
      </c>
      <c r="P367" s="37" t="n">
        <f aca="false">IMABS(N367)^2</f>
        <v>4.91325494608292E-005</v>
      </c>
      <c r="Q367" s="37" t="n">
        <f aca="false">p_Rb^2/(1+(C367*p_Rb*L_Ctot)^2)</f>
        <v>2875098623811.2</v>
      </c>
      <c r="R367" s="37" t="n">
        <f aca="false">M367*L_Kt^2*Q367</f>
        <v>5.74215242195299E-005</v>
      </c>
      <c r="S367" s="37" t="n">
        <f aca="false">L_kT4*D367</f>
        <v>3.68700707025534E-012</v>
      </c>
      <c r="T367" s="37" t="n">
        <f aca="false">L_kT4*L_Rsq*O367</f>
        <v>7.7756906956879E-014</v>
      </c>
      <c r="U367" s="37" t="n">
        <f aca="false">L_kT4*L_Rh*O367</f>
        <v>5.91607859444725E-014</v>
      </c>
      <c r="V367" s="37" t="n">
        <f aca="false">L_kT4*p_Rv*P367</f>
        <v>4.04498943887886E-013</v>
      </c>
      <c r="W367" s="37" t="n">
        <f aca="false">L_kT4/p_Rb*Q367/R367</f>
        <v>8.24434425433528E-016</v>
      </c>
      <c r="X367" s="37" t="n">
        <f aca="false">p_en^2*(1+p_fc/B367)/R367</f>
        <v>1.1174892909836E-012</v>
      </c>
      <c r="Y367" s="37" t="n">
        <f aca="false">p_in^2*Q367/R367</f>
        <v>1.25175126526567E-016</v>
      </c>
      <c r="Z367" s="37" t="n">
        <f aca="false">p_eo^2/L_G^2/R367</f>
        <v>1.10404118595101E-012</v>
      </c>
      <c r="AA367" s="37" t="n">
        <f aca="false">SUM(S367:Z367)</f>
        <v>6.45090379353115E-012</v>
      </c>
      <c r="AB367" s="47" t="n">
        <f aca="false">10*LOG10(AA367/L_PREF^2)</f>
        <v>-17.9243942629798</v>
      </c>
      <c r="AC367" s="47" t="n">
        <f aca="false">10*LOG10(S367/L_PREF^2)</f>
        <v>-20.3538602091199</v>
      </c>
      <c r="AD367" s="47" t="n">
        <f aca="false">10*LOG10(T367/L_PREF^2)</f>
        <v>-37.1132101459334</v>
      </c>
      <c r="AE367" s="47" t="n">
        <f aca="false">10*LOG10(U367/L_PREF^2)</f>
        <v>-38.3002605641081</v>
      </c>
      <c r="AF367" s="47" t="n">
        <f aca="false">10*LOG10(V367/L_PREF^2)</f>
        <v>-29.951425992839</v>
      </c>
      <c r="AG367" s="47" t="n">
        <f aca="false">10*LOG10(W367/L_PREF^2)</f>
        <v>-56.8590387325758</v>
      </c>
      <c r="AH367" s="47" t="n">
        <f aca="false">10*LOG10(X367/L_PREF^2)</f>
        <v>-25.5381662139335</v>
      </c>
      <c r="AI367" s="47" t="n">
        <f aca="false">10*LOG10(Y367/L_PREF^2)</f>
        <v>-65.045419522735</v>
      </c>
      <c r="AJ367" s="47" t="n">
        <f aca="false">10*LOG10(Z367/L_PREF^2)</f>
        <v>-25.5907471639708</v>
      </c>
      <c r="AK367" s="47" t="n">
        <f aca="false">10*LOG10(R367/$R$6)</f>
        <v>4.30303811754482</v>
      </c>
      <c r="AL367" s="37" t="n">
        <f aca="false">(12194^2*B367^4/((B367^2+20.6^2)*SQRT((B367^2+107.7^2)*(B367^2+737.9^2))*(B367^2+12194^2))*1.2589254)^2</f>
        <v>0.0136657162200884</v>
      </c>
      <c r="AM367" s="37" t="n">
        <v>0</v>
      </c>
      <c r="AN367" s="37" t="n">
        <v>0</v>
      </c>
      <c r="AO367" s="37" t="n">
        <v>0</v>
      </c>
      <c r="AP367" s="37" t="n">
        <v>0</v>
      </c>
      <c r="AQ367" s="37" t="n">
        <v>0</v>
      </c>
      <c r="AR367" s="37" t="n">
        <v>0</v>
      </c>
      <c r="AS367" s="37" t="n">
        <v>0</v>
      </c>
      <c r="AT367" s="37" t="n">
        <v>0</v>
      </c>
      <c r="AU367" s="37" t="n">
        <v>0</v>
      </c>
      <c r="AV367" s="37" t="n">
        <v>0</v>
      </c>
      <c r="AW367" s="37" t="n">
        <v>0</v>
      </c>
      <c r="AX367" s="37" t="n">
        <v>0</v>
      </c>
      <c r="AY367" s="37" t="n">
        <v>0</v>
      </c>
      <c r="AZ367" s="37" t="n">
        <v>0</v>
      </c>
      <c r="BA367" s="37" t="n">
        <v>0</v>
      </c>
      <c r="BB367" s="37" t="n">
        <v>0</v>
      </c>
      <c r="BC367" s="37" t="n">
        <v>0</v>
      </c>
      <c r="BD367" s="37" t="n">
        <v>0</v>
      </c>
      <c r="BE367" s="37" t="n">
        <f aca="false">IF(B367&gt;2000,AK367,-999)</f>
        <v>4.30303811754482</v>
      </c>
      <c r="BF367" s="37" t="n">
        <f aca="false">IF(AND(B367&lt;1000,AK367&gt;=-3),B367,1000000000)</f>
        <v>1000000000</v>
      </c>
    </row>
    <row r="368" customFormat="false" ht="15" hidden="false" customHeight="false" outlineLevel="0" collapsed="false">
      <c r="A368" s="5" t="n">
        <v>329</v>
      </c>
      <c r="B368" s="47" t="n">
        <f aca="false">20*10^(A368/100)</f>
        <v>38996.8919951609</v>
      </c>
      <c r="C368" s="37" t="n">
        <f aca="false">2*PI()*B368</f>
        <v>245024.698809664</v>
      </c>
      <c r="D368" s="37" t="n">
        <f aca="false">SQRT(L_Rp0^2+L_Rp1^2*C368)</f>
        <v>226212162.397166</v>
      </c>
      <c r="E368" s="5" t="str">
        <f aca="false">COMPLEX(D368,C368*L_Mp)</f>
        <v>226212162.397166+3619681064.43919i</v>
      </c>
      <c r="F368" s="5" t="str">
        <f aca="false">IMDIV(1,E368)</f>
        <v>1.71981783718191e-11-2.75192633038113e-10i</v>
      </c>
      <c r="G368" s="5" t="str">
        <f aca="false">COMPLEX(0,C368*L_Cf)</f>
        <v>2.5909347447358e-10i</v>
      </c>
      <c r="H368" s="5" t="str">
        <f aca="false">COMPLEX(0,C368*L_Cbv)</f>
        <v>2.5909347447358e-09i</v>
      </c>
      <c r="I368" s="5" t="str">
        <f aca="false">COMPLEX(L_Rsq+L_Rh,C368*(L_Md+L_Mh)-1/(C368*L_Cd))</f>
        <v>552400610.124532-3778227463.11888i</v>
      </c>
      <c r="J368" s="5" t="str">
        <f aca="false">IMDIV(1,I368)</f>
        <v>3.78871712940499e-11+2.59135034356312e-10i</v>
      </c>
      <c r="K368" s="5" t="str">
        <f aca="false">IMSUM(F368,G368,H368)</f>
        <v>1.71981783718191e-11+2.57483558617127e-09i</v>
      </c>
      <c r="L368" s="5" t="str">
        <f aca="false">IMSUM(IMPRODUCT(IMSUM(F368,G368),H368),IMPRODUCT(IMSUM(J368,L_Yv),K368))</f>
        <v>-6.24832252111824e-19+1.51718916512586e-19i</v>
      </c>
      <c r="M368" s="37" t="n">
        <f aca="false">IMABS(IMDIV(IMPRODUCT(J368,F368,H368),L368))^2</f>
        <v>8.46664438062145E-020</v>
      </c>
      <c r="N368" s="5" t="str">
        <f aca="false">IMDIV(IMPRODUCT(L_Yv,K368,E368),H368)</f>
        <v>0.000497666757273767+0.00719137616037453i</v>
      </c>
      <c r="O368" s="37" t="n">
        <f aca="false">IMABS(IMSUM(1,IMPRODUCT(E368,G368),N368))^2</f>
        <v>0.00825635025298167</v>
      </c>
      <c r="P368" s="37" t="n">
        <f aca="false">IMABS(N368)^2</f>
        <v>5.19635632812985E-005</v>
      </c>
      <c r="Q368" s="37" t="n">
        <f aca="false">p_Rb^2/(1+(C368*p_Rb*L_Ctot)^2)</f>
        <v>2745697869820.48</v>
      </c>
      <c r="R368" s="37" t="n">
        <f aca="false">M368*L_Kt^2*Q368</f>
        <v>4.66553541716483E-005</v>
      </c>
      <c r="S368" s="37" t="n">
        <f aca="false">L_kT4*D368</f>
        <v>3.7247234995285E-012</v>
      </c>
      <c r="T368" s="37" t="n">
        <f aca="false">L_kT4*L_Rsq*O368</f>
        <v>4.26481060922744E-014</v>
      </c>
      <c r="U368" s="37" t="n">
        <f aca="false">L_kT4*L_Rh*O368</f>
        <v>3.24485061740099E-014</v>
      </c>
      <c r="V368" s="37" t="n">
        <f aca="false">L_kT4*p_Rv*P368</f>
        <v>4.27806142742381E-013</v>
      </c>
      <c r="W368" s="37" t="n">
        <f aca="false">L_kT4/p_Rb*Q368/R368</f>
        <v>9.69012420772888E-016</v>
      </c>
      <c r="X368" s="37" t="n">
        <f aca="false">p_en^2*(1+p_fc/B368)/R368</f>
        <v>1.37527871735392E-012</v>
      </c>
      <c r="Y368" s="37" t="n">
        <f aca="false">p_in^2*Q368/R368</f>
        <v>1.47126622365724E-016</v>
      </c>
      <c r="Z368" s="37" t="n">
        <f aca="false">p_eo^2/L_G^2/R368</f>
        <v>1.35880926903282E-012</v>
      </c>
      <c r="AA368" s="37" t="n">
        <f aca="false">SUM(S368:Z368)</f>
        <v>6.96283037996704E-012</v>
      </c>
      <c r="AB368" s="47" t="n">
        <f aca="false">10*LOG10(AA368/L_PREF^2)</f>
        <v>-17.5927417577921</v>
      </c>
      <c r="AC368" s="47" t="n">
        <f aca="false">10*LOG10(S368/L_PREF^2)</f>
        <v>-20.3096595238754</v>
      </c>
      <c r="AD368" s="47" t="n">
        <f aca="false">10*LOG10(T368/L_PREF^2)</f>
        <v>-39.7216024145015</v>
      </c>
      <c r="AE368" s="47" t="n">
        <f aca="false">10*LOG10(U368/L_PREF^2)</f>
        <v>-40.9086528326762</v>
      </c>
      <c r="AF368" s="47" t="n">
        <f aca="false">10*LOG10(V368/L_PREF^2)</f>
        <v>-29.7081297514115</v>
      </c>
      <c r="AG368" s="47" t="n">
        <f aca="false">10*LOG10(W368/L_PREF^2)</f>
        <v>-56.1573064746754</v>
      </c>
      <c r="AH368" s="47" t="n">
        <f aca="false">10*LOG10(X368/L_PREF^2)</f>
        <v>-24.6366926905818</v>
      </c>
      <c r="AI368" s="47" t="n">
        <f aca="false">10*LOG10(Y368/L_PREF^2)</f>
        <v>-64.3436872648346</v>
      </c>
      <c r="AJ368" s="47" t="n">
        <f aca="false">10*LOG10(Z368/L_PREF^2)</f>
        <v>-24.689014906071</v>
      </c>
      <c r="AK368" s="47" t="n">
        <f aca="false">10*LOG10(R368/$R$6)</f>
        <v>3.40130585964502</v>
      </c>
      <c r="AL368" s="37" t="n">
        <f aca="false">(12194^2*B368^4/((B368^2+20.6^2)*SQRT((B368^2+107.7^2)*(B368^2+737.9^2))*(B368^2+12194^2))*1.2589254)^2</f>
        <v>0.0125683499090762</v>
      </c>
      <c r="AM368" s="37" t="n">
        <v>0</v>
      </c>
      <c r="AN368" s="37" t="n">
        <v>0</v>
      </c>
      <c r="AO368" s="37" t="n">
        <v>0</v>
      </c>
      <c r="AP368" s="37" t="n">
        <v>0</v>
      </c>
      <c r="AQ368" s="37" t="n">
        <v>0</v>
      </c>
      <c r="AR368" s="37" t="n">
        <v>0</v>
      </c>
      <c r="AS368" s="37" t="n">
        <v>0</v>
      </c>
      <c r="AT368" s="37" t="n">
        <v>0</v>
      </c>
      <c r="AU368" s="37" t="n">
        <v>0</v>
      </c>
      <c r="AV368" s="37" t="n">
        <v>0</v>
      </c>
      <c r="AW368" s="37" t="n">
        <v>0</v>
      </c>
      <c r="AX368" s="37" t="n">
        <v>0</v>
      </c>
      <c r="AY368" s="37" t="n">
        <v>0</v>
      </c>
      <c r="AZ368" s="37" t="n">
        <v>0</v>
      </c>
      <c r="BA368" s="37" t="n">
        <v>0</v>
      </c>
      <c r="BB368" s="37" t="n">
        <v>0</v>
      </c>
      <c r="BC368" s="37" t="n">
        <v>0</v>
      </c>
      <c r="BD368" s="37" t="n">
        <v>0</v>
      </c>
      <c r="BE368" s="37" t="n">
        <f aca="false">IF(B368&gt;2000,AK368,-999)</f>
        <v>3.40130585964502</v>
      </c>
      <c r="BF368" s="37" t="n">
        <f aca="false">IF(AND(B368&lt;1000,AK368&gt;=-3),B368,1000000000)</f>
        <v>1000000000</v>
      </c>
    </row>
    <row r="369" customFormat="false" ht="15" hidden="false" customHeight="false" outlineLevel="0" collapsed="false">
      <c r="A369" s="5" t="n">
        <v>330</v>
      </c>
      <c r="B369" s="47" t="n">
        <f aca="false">20*10^(A369/100)</f>
        <v>39905.2462993776</v>
      </c>
      <c r="C369" s="37" t="n">
        <f aca="false">2*PI()*B369</f>
        <v>250732.057227632</v>
      </c>
      <c r="D369" s="37" t="n">
        <f aca="false">SQRT(L_Rp0^2+L_Rp1^2*C369)</f>
        <v>228532368.334202</v>
      </c>
      <c r="E369" s="5" t="str">
        <f aca="false">COMPLEX(D369,C369*L_Mp)</f>
        <v>228532368.334202+3703994267.53197i</v>
      </c>
      <c r="F369" s="5" t="str">
        <f aca="false">IMDIV(1,E369)</f>
        <v>1.65942257914423e-11-2.68954974096922e-10i</v>
      </c>
      <c r="G369" s="5" t="str">
        <f aca="false">COMPLEX(0,C369*L_Cf)</f>
        <v>2.65128536774486e-10i</v>
      </c>
      <c r="H369" s="5" t="str">
        <f aca="false">COMPLEX(0,C369*L_Cbv)</f>
        <v>2.65128536774486e-09i</v>
      </c>
      <c r="I369" s="5" t="str">
        <f aca="false">COMPLEX(L_Rsq+L_Rh,C369*(L_Md+L_Mh)-1/(C369*L_Cd))</f>
        <v>552400610.124532-3649703480.60643i</v>
      </c>
      <c r="J369" s="5" t="str">
        <f aca="false">IMDIV(1,I369)</f>
        <v>4.05417300426922e-11+2.67858670925912e-10i</v>
      </c>
      <c r="K369" s="5" t="str">
        <f aca="false">IMSUM(F369,G369,H369)</f>
        <v>1.65942257914423e-11+2.64745893042242e-09i</v>
      </c>
      <c r="L369" s="5" t="str">
        <f aca="false">IMSUM(IMPRODUCT(IMSUM(F369,G369),H369),IMPRODUCT(IMSUM(J369,L_Yv),K369))</f>
        <v>-6.98293906076432e-19+1.6106841841259e-19i</v>
      </c>
      <c r="M369" s="37" t="n">
        <f aca="false">IMABS(IMDIV(IMPRODUCT(J369,F369,H369),L369))^2</f>
        <v>7.294261834763E-020</v>
      </c>
      <c r="N369" s="5" t="str">
        <f aca="false">IMDIV(IMPRODUCT(L_Yv,K369,E369),H369)</f>
        <v>0.000502771210335246+0.00739443630123297i</v>
      </c>
      <c r="O369" s="37" t="n">
        <f aca="false">IMABS(IMSUM(1,IMPRODUCT(E369,G369),N369))^2</f>
        <v>0.00496301916756511</v>
      </c>
      <c r="P369" s="37" t="n">
        <f aca="false">IMABS(N369)^2</f>
        <v>5.49304671029339E-005</v>
      </c>
      <c r="Q369" s="37" t="n">
        <f aca="false">p_Rb^2/(1+(C369*p_Rb*L_Ctot)^2)</f>
        <v>2622121109133.73</v>
      </c>
      <c r="R369" s="37" t="n">
        <f aca="false">M369*L_Kt^2*Q369</f>
        <v>3.83858817015828E-005</v>
      </c>
      <c r="S369" s="37" t="n">
        <f aca="false">L_kT4*D369</f>
        <v>3.76292712874917E-012</v>
      </c>
      <c r="T369" s="37" t="n">
        <f aca="false">L_kT4*L_Rsq*O369</f>
        <v>2.56364327470081E-014</v>
      </c>
      <c r="U369" s="37" t="n">
        <f aca="false">L_kT4*L_Rh*O369</f>
        <v>1.9505296307204E-014</v>
      </c>
      <c r="V369" s="37" t="n">
        <f aca="false">L_kT4*p_Rv*P369</f>
        <v>4.52232098155609E-013</v>
      </c>
      <c r="W369" s="37" t="n">
        <f aca="false">L_kT4/p_Rb*Q369/R369</f>
        <v>1.12475857776166E-015</v>
      </c>
      <c r="X369" s="37" t="n">
        <f aca="false">p_en^2*(1+p_fc/B369)/R369</f>
        <v>1.67145776182901E-012</v>
      </c>
      <c r="Y369" s="37" t="n">
        <f aca="false">p_in^2*Q369/R369</f>
        <v>1.70773797090195E-016</v>
      </c>
      <c r="Z369" s="37" t="n">
        <f aca="false">p_eo^2/L_G^2/R369</f>
        <v>1.65153761977624E-012</v>
      </c>
      <c r="AA369" s="37" t="n">
        <f aca="false">SUM(S369:Z369)</f>
        <v>7.5845918699391E-012</v>
      </c>
      <c r="AB369" s="47" t="n">
        <f aca="false">10*LOG10(AA369/L_PREF^2)</f>
        <v>-17.221277751442</v>
      </c>
      <c r="AC369" s="47" t="n">
        <f aca="false">10*LOG10(S369/L_PREF^2)</f>
        <v>-20.2653418328941</v>
      </c>
      <c r="AD369" s="47" t="n">
        <f aca="false">10*LOG10(T369/L_PREF^2)</f>
        <v>-41.9320239739505</v>
      </c>
      <c r="AE369" s="47" t="n">
        <f aca="false">10*LOG10(U369/L_PREF^2)</f>
        <v>-43.1190743921252</v>
      </c>
      <c r="AF369" s="47" t="n">
        <f aca="false">10*LOG10(V369/L_PREF^2)</f>
        <v>-29.4669860723031</v>
      </c>
      <c r="AG369" s="47" t="n">
        <f aca="false">10*LOG10(W369/L_PREF^2)</f>
        <v>-55.5100067741181</v>
      </c>
      <c r="AH369" s="47" t="n">
        <f aca="false">10*LOG10(X369/L_PREF^2)</f>
        <v>-23.7896458499487</v>
      </c>
      <c r="AI369" s="47" t="n">
        <f aca="false">10*LOG10(Y369/L_PREF^2)</f>
        <v>-63.6963875642772</v>
      </c>
      <c r="AJ369" s="47" t="n">
        <f aca="false">10*LOG10(Z369/L_PREF^2)</f>
        <v>-23.8417152055142</v>
      </c>
      <c r="AK369" s="47" t="n">
        <f aca="false">10*LOG10(R369/$R$6)</f>
        <v>2.55400615908821</v>
      </c>
      <c r="AL369" s="37" t="n">
        <f aca="false">(12194^2*B369^4/((B369^2+20.6^2)*SQRT((B369^2+107.7^2)*(B369^2+737.9^2))*(B369^2+12194^2))*1.2589254)^2</f>
        <v>0.0115551163450494</v>
      </c>
      <c r="AM369" s="37" t="n">
        <v>0</v>
      </c>
      <c r="AN369" s="37" t="n">
        <v>0</v>
      </c>
      <c r="AO369" s="37" t="n">
        <v>0</v>
      </c>
      <c r="AP369" s="37" t="n">
        <v>0</v>
      </c>
      <c r="AQ369" s="37" t="n">
        <v>0</v>
      </c>
      <c r="AR369" s="37" t="n">
        <v>0</v>
      </c>
      <c r="AS369" s="37" t="n">
        <v>0</v>
      </c>
      <c r="AT369" s="37" t="n">
        <v>0</v>
      </c>
      <c r="AU369" s="37" t="n">
        <v>0</v>
      </c>
      <c r="AV369" s="37" t="n">
        <v>0</v>
      </c>
      <c r="AW369" s="37" t="n">
        <v>0</v>
      </c>
      <c r="AX369" s="37" t="n">
        <v>0</v>
      </c>
      <c r="AY369" s="37" t="n">
        <v>0</v>
      </c>
      <c r="AZ369" s="37" t="n">
        <v>0</v>
      </c>
      <c r="BA369" s="37" t="n">
        <v>0</v>
      </c>
      <c r="BB369" s="37" t="n">
        <v>0</v>
      </c>
      <c r="BC369" s="37" t="n">
        <v>0</v>
      </c>
      <c r="BD369" s="37" t="n">
        <v>0</v>
      </c>
      <c r="BE369" s="37" t="n">
        <f aca="false">IF(B369&gt;2000,AK369,-999)</f>
        <v>2.55400615908821</v>
      </c>
      <c r="BF369" s="37" t="n">
        <f aca="false">IF(AND(B369&lt;1000,AK369&gt;=-3),B369,1000000000)</f>
        <v>1000000000</v>
      </c>
    </row>
    <row r="370" customFormat="false" ht="15" hidden="false" customHeight="false" outlineLevel="0" collapsed="false">
      <c r="A370" s="5" t="n">
        <v>331</v>
      </c>
      <c r="B370" s="47" t="n">
        <f aca="false">20*10^(A370/100)</f>
        <v>40834.7588933906</v>
      </c>
      <c r="C370" s="37" t="n">
        <f aca="false">2*PI()*B370</f>
        <v>256572.357101173</v>
      </c>
      <c r="D370" s="37" t="n">
        <f aca="false">SQRT(L_Rp0^2+L_Rp1^2*C370)</f>
        <v>230882482.650796</v>
      </c>
      <c r="E370" s="5" t="str">
        <f aca="false">COMPLEX(D370,C370*L_Mp)</f>
        <v>230882482.650796+3790271377.41355i</v>
      </c>
      <c r="F370" s="5" t="str">
        <f aca="false">IMDIV(1,E370)</f>
        <v>1.6011863221059e-11-2.62857996713556e-10i</v>
      </c>
      <c r="G370" s="5" t="str">
        <f aca="false">COMPLEX(0,C370*L_Cf)</f>
        <v>2.71304173734982e-10i</v>
      </c>
      <c r="H370" s="5" t="str">
        <f aca="false">COMPLEX(0,C370*L_Cbv)</f>
        <v>2.71304173734982e-09i</v>
      </c>
      <c r="I370" s="5" t="str">
        <f aca="false">COMPLEX(L_Rsq+L_Rh,C370*(L_Md+L_Mh)-1/(C370*L_Cd))</f>
        <v>552400610.124532-3523114619.18893i</v>
      </c>
      <c r="J370" s="5" t="str">
        <f aca="false">IMDIV(1,I370)</f>
        <v>4.34363158007439e-11+2.77029236384821e-10i</v>
      </c>
      <c r="K370" s="5" t="str">
        <f aca="false">IMSUM(F370,G370,H370)</f>
        <v>1.6011863221059e-11+2.72148791437125e-09i</v>
      </c>
      <c r="L370" s="5" t="str">
        <f aca="false">IMSUM(IMPRODUCT(IMSUM(F370,G370),H370),IMPRODUCT(IMSUM(J370,L_Yv),K370))</f>
        <v>-7.7611902945509e-19+1.71530991777978e-19i</v>
      </c>
      <c r="M370" s="37" t="n">
        <f aca="false">IMABS(IMDIV(IMPRODUCT(J370,F370,H370),L370))^2</f>
        <v>6.35322596411569E-020</v>
      </c>
      <c r="N370" s="5" t="str">
        <f aca="false">IMDIV(IMPRODUCT(L_Yv,K370,E370),H370)</f>
        <v>0.000507941461831751+0.00760141707009525i</v>
      </c>
      <c r="O370" s="37" t="n">
        <f aca="false">IMABS(IMSUM(1,IMPRODUCT(E370,G370),N370))^2</f>
        <v>0.00570708256859509</v>
      </c>
      <c r="P370" s="37" t="n">
        <f aca="false">IMABS(N370)^2</f>
        <v>5.80395460021833E-005</v>
      </c>
      <c r="Q370" s="37" t="n">
        <f aca="false">p_Rb^2/(1+(C370*p_Rb*L_Ctot)^2)</f>
        <v>2504106218873.31</v>
      </c>
      <c r="R370" s="37" t="n">
        <f aca="false">M370*L_Kt^2*Q370</f>
        <v>3.19289380292626E-005</v>
      </c>
      <c r="S370" s="37" t="n">
        <f aca="false">L_kT4*D370</f>
        <v>3.80162321798165E-012</v>
      </c>
      <c r="T370" s="37" t="n">
        <f aca="false">L_kT4*L_Rsq*O370</f>
        <v>2.94798858339269E-014</v>
      </c>
      <c r="U370" s="37" t="n">
        <f aca="false">L_kT4*L_Rh*O370</f>
        <v>2.24295600705366E-014</v>
      </c>
      <c r="V370" s="37" t="n">
        <f aca="false">L_kT4*p_Rv*P370</f>
        <v>4.7782855396772E-013</v>
      </c>
      <c r="W370" s="37" t="n">
        <f aca="false">L_kT4/p_Rb*Q370/R370</f>
        <v>1.29135711738078E-015</v>
      </c>
      <c r="X370" s="37" t="n">
        <f aca="false">p_en^2*(1+p_fc/B370)/R370</f>
        <v>2.00935994687324E-012</v>
      </c>
      <c r="Y370" s="37" t="n">
        <f aca="false">p_in^2*Q370/R370</f>
        <v>1.96068705493612E-016</v>
      </c>
      <c r="Z370" s="37" t="n">
        <f aca="false">p_eo^2/L_G^2/R370</f>
        <v>1.98552572091007E-012</v>
      </c>
      <c r="AA370" s="37" t="n">
        <f aca="false">SUM(S370:Z370)</f>
        <v>8.32773431146002E-012</v>
      </c>
      <c r="AB370" s="47" t="n">
        <f aca="false">10*LOG10(AA370/L_PREF^2)</f>
        <v>-16.8153313036192</v>
      </c>
      <c r="AC370" s="47" t="n">
        <f aca="false">10*LOG10(S370/L_PREF^2)</f>
        <v>-20.220909199506</v>
      </c>
      <c r="AD370" s="47" t="n">
        <f aca="false">10*LOG10(T370/L_PREF^2)</f>
        <v>-41.325341940199</v>
      </c>
      <c r="AE370" s="47" t="n">
        <f aca="false">10*LOG10(U370/L_PREF^2)</f>
        <v>-42.5123923583738</v>
      </c>
      <c r="AF370" s="47" t="n">
        <f aca="false">10*LOG10(V370/L_PREF^2)</f>
        <v>-29.2278789266989</v>
      </c>
      <c r="AG370" s="47" t="n">
        <f aca="false">10*LOG10(W370/L_PREF^2)</f>
        <v>-54.9101363081159</v>
      </c>
      <c r="AH370" s="47" t="n">
        <f aca="false">10*LOG10(X370/L_PREF^2)</f>
        <v>-22.9900225023002</v>
      </c>
      <c r="AI370" s="47" t="n">
        <f aca="false">10*LOG10(Y370/L_PREF^2)</f>
        <v>-63.096517098275</v>
      </c>
      <c r="AJ370" s="47" t="n">
        <f aca="false">10*LOG10(Z370/L_PREF^2)</f>
        <v>-23.0418447395125</v>
      </c>
      <c r="AK370" s="47" t="n">
        <f aca="false">10*LOG10(R370/$R$6)</f>
        <v>1.75413569308648</v>
      </c>
      <c r="AL370" s="37" t="n">
        <f aca="false">(12194^2*B370^4/((B370^2+20.6^2)*SQRT((B370^2+107.7^2)*(B370^2+737.9^2))*(B370^2+12194^2))*1.2589254)^2</f>
        <v>0.0106200403520747</v>
      </c>
      <c r="AM370" s="37" t="n">
        <v>0</v>
      </c>
      <c r="AN370" s="37" t="n">
        <v>0</v>
      </c>
      <c r="AO370" s="37" t="n">
        <v>0</v>
      </c>
      <c r="AP370" s="37" t="n">
        <v>0</v>
      </c>
      <c r="AQ370" s="37" t="n">
        <v>0</v>
      </c>
      <c r="AR370" s="37" t="n">
        <v>0</v>
      </c>
      <c r="AS370" s="37" t="n">
        <v>0</v>
      </c>
      <c r="AT370" s="37" t="n">
        <v>0</v>
      </c>
      <c r="AU370" s="37" t="n">
        <v>0</v>
      </c>
      <c r="AV370" s="37" t="n">
        <v>0</v>
      </c>
      <c r="AW370" s="37" t="n">
        <v>0</v>
      </c>
      <c r="AX370" s="37" t="n">
        <v>0</v>
      </c>
      <c r="AY370" s="37" t="n">
        <v>0</v>
      </c>
      <c r="AZ370" s="37" t="n">
        <v>0</v>
      </c>
      <c r="BA370" s="37" t="n">
        <v>0</v>
      </c>
      <c r="BB370" s="37" t="n">
        <v>0</v>
      </c>
      <c r="BC370" s="37" t="n">
        <v>0</v>
      </c>
      <c r="BD370" s="37" t="n">
        <v>0</v>
      </c>
      <c r="BE370" s="37" t="n">
        <f aca="false">IF(B370&gt;2000,AK370,-999)</f>
        <v>1.75413569308648</v>
      </c>
      <c r="BF370" s="37" t="n">
        <f aca="false">IF(AND(B370&lt;1000,AK370&gt;=-3),B370,1000000000)</f>
        <v>1000000000</v>
      </c>
    </row>
    <row r="371" customFormat="false" ht="15" hidden="false" customHeight="false" outlineLevel="0" collapsed="false">
      <c r="A371" s="5" t="n">
        <v>332</v>
      </c>
      <c r="B371" s="47" t="n">
        <f aca="false">20*10^(A371/100)</f>
        <v>41785.9226170808</v>
      </c>
      <c r="C371" s="37" t="n">
        <f aca="false">2*PI()*B371</f>
        <v>262548.695034585</v>
      </c>
      <c r="D371" s="37" t="n">
        <f aca="false">SQRT(L_Rp0^2+L_Rp1^2*C371)</f>
        <v>233262828.438923</v>
      </c>
      <c r="E371" s="5" t="str">
        <f aca="false">COMPLEX(D371,C371*L_Mp)</f>
        <v>233262828.438923+3878558139.34961i</v>
      </c>
      <c r="F371" s="5" t="str">
        <f aca="false">IMDIV(1,E371)</f>
        <v>1.54502997473403e-11-2.56898564771235e-10i</v>
      </c>
      <c r="G371" s="5" t="str">
        <f aca="false">COMPLEX(0,C371*L_Cf)</f>
        <v>2.77623659759527e-10i</v>
      </c>
      <c r="H371" s="5" t="str">
        <f aca="false">COMPLEX(0,C371*L_Cbv)</f>
        <v>2.77623659759528e-09i</v>
      </c>
      <c r="I371" s="5" t="str">
        <f aca="false">COMPLEX(L_Rsq+L_Rh,C371*(L_Md+L_Mh)-1/(C371*L_Cd))</f>
        <v>552400610.124532-3398393759.77647i</v>
      </c>
      <c r="J371" s="5" t="str">
        <f aca="false">IMDIV(1,I371)</f>
        <v>4.65994644501501e-11+2.86682031652019e-10i</v>
      </c>
      <c r="K371" s="5" t="str">
        <f aca="false">IMSUM(F371,G371,H371)</f>
        <v>1.54502997473403e-11+2.79696169258357e-09i</v>
      </c>
      <c r="L371" s="5" t="str">
        <f aca="false">IMSUM(IMPRODUCT(IMSUM(F371,G371),H371),IMPRODUCT(IMSUM(J371,L_Yv),K371))</f>
        <v>-8.58625551384548e-19+1.8325385127073e-19i</v>
      </c>
      <c r="M371" s="37" t="n">
        <f aca="false">IMABS(IMDIV(IMPRODUCT(J371,F371,H371),L371))^2</f>
        <v>5.58699431860197E-020</v>
      </c>
      <c r="N371" s="5" t="str">
        <f aca="false">IMDIV(IMPRODUCT(L_Yv,K371,E371),H371)</f>
        <v>0.000513178222565631+0.00781242821090476i</v>
      </c>
      <c r="O371" s="37" t="n">
        <f aca="false">IMABS(IMSUM(1,IMPRODUCT(E371,G371),N371))^2</f>
        <v>0.011083205485813</v>
      </c>
      <c r="P371" s="37" t="n">
        <f aca="false">IMABS(N371)^2</f>
        <v>6.12973864386562E-005</v>
      </c>
      <c r="Q371" s="37" t="n">
        <f aca="false">p_Rb^2/(1+(C371*p_Rb*L_Ctot)^2)</f>
        <v>2391402873634.45</v>
      </c>
      <c r="R371" s="37" t="n">
        <f aca="false">M371*L_Kt^2*Q371</f>
        <v>2.68144196323666E-005</v>
      </c>
      <c r="S371" s="37" t="n">
        <f aca="false">L_kT4*D371</f>
        <v>3.84081708713567E-012</v>
      </c>
      <c r="T371" s="37" t="n">
        <f aca="false">L_kT4*L_Rsq*O371</f>
        <v>5.72502024403251E-014</v>
      </c>
      <c r="U371" s="37" t="n">
        <f aca="false">L_kT4*L_Rh*O371</f>
        <v>4.35584066342566E-014</v>
      </c>
      <c r="V371" s="37" t="n">
        <f aca="false">L_kT4*p_Rv*P371</f>
        <v>5.04649735249167E-013</v>
      </c>
      <c r="W371" s="37" t="n">
        <f aca="false">L_kT4/p_Rb*Q371/R371</f>
        <v>1.4684610542332E-015</v>
      </c>
      <c r="X371" s="37" t="n">
        <f aca="false">p_en^2*(1+p_fc/B371)/R371</f>
        <v>2.39248741942215E-012</v>
      </c>
      <c r="Y371" s="37" t="n">
        <f aca="false">p_in^2*Q371/R371</f>
        <v>2.22958664258007E-016</v>
      </c>
      <c r="Z371" s="37" t="n">
        <f aca="false">p_eo^2/L_G^2/R371</f>
        <v>2.36424015763228E-012</v>
      </c>
      <c r="AA371" s="37" t="n">
        <f aca="false">SUM(S371:Z371)</f>
        <v>9.20469442823234E-012</v>
      </c>
      <c r="AB371" s="47" t="n">
        <f aca="false">10*LOG10(AA371/L_PREF^2)</f>
        <v>-16.3805061568894</v>
      </c>
      <c r="AC371" s="47" t="n">
        <f aca="false">10*LOG10(S371/L_PREF^2)</f>
        <v>-20.1763636626098</v>
      </c>
      <c r="AD371" s="47" t="n">
        <f aca="false">10*LOG10(T371/L_PREF^2)</f>
        <v>-38.4428296462065</v>
      </c>
      <c r="AE371" s="47" t="n">
        <f aca="false">10*LOG10(U371/L_PREF^2)</f>
        <v>-39.6298800643813</v>
      </c>
      <c r="AF371" s="47" t="n">
        <f aca="false">10*LOG10(V371/L_PREF^2)</f>
        <v>-28.9906994157949</v>
      </c>
      <c r="AG371" s="47" t="n">
        <f aca="false">10*LOG10(W371/L_PREF^2)</f>
        <v>-54.3519755845069</v>
      </c>
      <c r="AH371" s="47" t="n">
        <f aca="false">10*LOG10(X371/L_PREF^2)</f>
        <v>-22.2321032855302</v>
      </c>
      <c r="AI371" s="47" t="n">
        <f aca="false">10*LOG10(Y371/L_PREF^2)</f>
        <v>-62.5383563746661</v>
      </c>
      <c r="AJ371" s="47" t="n">
        <f aca="false">10*LOG10(Z371/L_PREF^2)</f>
        <v>-22.283684015904</v>
      </c>
      <c r="AK371" s="47" t="n">
        <f aca="false">10*LOG10(R371/$R$6)</f>
        <v>0.995974969478039</v>
      </c>
      <c r="AL371" s="37" t="n">
        <f aca="false">(12194^2*B371^4/((B371^2+20.6^2)*SQRT((B371^2+107.7^2)*(B371^2+737.9^2))*(B371^2+12194^2))*1.2589254)^2</f>
        <v>0.00975751491568777</v>
      </c>
      <c r="AM371" s="37" t="n">
        <v>0</v>
      </c>
      <c r="AN371" s="37" t="n">
        <v>0</v>
      </c>
      <c r="AO371" s="37" t="n">
        <v>0</v>
      </c>
      <c r="AP371" s="37" t="n">
        <v>0</v>
      </c>
      <c r="AQ371" s="37" t="n">
        <v>0</v>
      </c>
      <c r="AR371" s="37" t="n">
        <v>0</v>
      </c>
      <c r="AS371" s="37" t="n">
        <v>0</v>
      </c>
      <c r="AT371" s="37" t="n">
        <v>0</v>
      </c>
      <c r="AU371" s="37" t="n">
        <v>0</v>
      </c>
      <c r="AV371" s="37" t="n">
        <v>0</v>
      </c>
      <c r="AW371" s="37" t="n">
        <v>0</v>
      </c>
      <c r="AX371" s="37" t="n">
        <v>0</v>
      </c>
      <c r="AY371" s="37" t="n">
        <v>0</v>
      </c>
      <c r="AZ371" s="37" t="n">
        <v>0</v>
      </c>
      <c r="BA371" s="37" t="n">
        <v>0</v>
      </c>
      <c r="BB371" s="37" t="n">
        <v>0</v>
      </c>
      <c r="BC371" s="37" t="n">
        <v>0</v>
      </c>
      <c r="BD371" s="37" t="n">
        <v>0</v>
      </c>
      <c r="BE371" s="37" t="n">
        <f aca="false">IF(B371&gt;2000,AK371,-999)</f>
        <v>0.995974969478039</v>
      </c>
      <c r="BF371" s="37" t="n">
        <f aca="false">IF(AND(B371&lt;1000,AK371&gt;=-3),B371,1000000000)</f>
        <v>1000000000</v>
      </c>
    </row>
    <row r="372" customFormat="false" ht="15" hidden="false" customHeight="false" outlineLevel="0" collapsed="false">
      <c r="A372" s="5" t="n">
        <v>333</v>
      </c>
      <c r="B372" s="47" t="n">
        <f aca="false">20*10^(A372/100)</f>
        <v>42759.2417900447</v>
      </c>
      <c r="C372" s="37" t="n">
        <f aca="false">2*PI()*B372</f>
        <v>268664.239761348</v>
      </c>
      <c r="D372" s="37" t="n">
        <f aca="false">SQRT(L_Rp0^2+L_Rp1^2*C372)</f>
        <v>235673732.475603</v>
      </c>
      <c r="E372" s="5" t="str">
        <f aca="false">COMPLEX(D372,C372*L_Mp)</f>
        <v>235673732.475603+3968901364.14993i</v>
      </c>
      <c r="F372" s="5" t="str">
        <f aca="false">IMDIV(1,E372)</f>
        <v>1.49087743388052e-11-2.51073610069009e-10i</v>
      </c>
      <c r="G372" s="5" t="str">
        <f aca="false">COMPLEX(0,C372*L_Cf)</f>
        <v>2.84090345523261e-10i</v>
      </c>
      <c r="H372" s="5" t="str">
        <f aca="false">COMPLEX(0,C372*L_Cbv)</f>
        <v>2.84090345523261e-09i</v>
      </c>
      <c r="I372" s="5" t="str">
        <f aca="false">COMPLEX(L_Rsq+L_Rh,C372*(L_Md+L_Mh)-1/(C372*L_Cd))</f>
        <v>552400610.124532-3275474773.71849i</v>
      </c>
      <c r="J372" s="5" t="str">
        <f aca="false">IMDIV(1,I372)</f>
        <v>5.00640335644875e-11+2.96856078732619e-10i</v>
      </c>
      <c r="K372" s="5" t="str">
        <f aca="false">IMSUM(F372,G372,H372)</f>
        <v>1.49087743388052e-11+2.87392019068686e-09i</v>
      </c>
      <c r="L372" s="5" t="str">
        <f aca="false">IMSUM(IMPRODUCT(IMSUM(F372,G372),H372),IMPRODUCT(IMSUM(J372,L_Yv),K372))</f>
        <v>-9.46161825302706e-19+1.96408026090901e-19i</v>
      </c>
      <c r="M372" s="37" t="n">
        <f aca="false">IMABS(IMDIV(IMPRODUCT(J372,F372,H372),L372))^2</f>
        <v>4.95521284623542E-020</v>
      </c>
      <c r="N372" s="5" t="str">
        <f aca="false">IMDIV(IMPRODUCT(L_Yv,K372,E372),H372)</f>
        <v>0.000518482211446325+0.00802758160456136i</v>
      </c>
      <c r="O372" s="37" t="n">
        <f aca="false">IMABS(IMSUM(1,IMPRODUCT(E372,G372),N372))^2</f>
        <v>0.0217530842410177</v>
      </c>
      <c r="P372" s="37" t="n">
        <f aca="false">IMABS(N372)^2</f>
        <v>6.47108902214782E-005</v>
      </c>
      <c r="Q372" s="37" t="n">
        <f aca="false">p_Rb^2/(1+(C372*p_Rb*L_Ctot)^2)</f>
        <v>2283772014511.51</v>
      </c>
      <c r="R372" s="37" t="n">
        <f aca="false">M372*L_Kt^2*Q372</f>
        <v>2.27118486682674E-005</v>
      </c>
      <c r="S372" s="37" t="n">
        <f aca="false">L_kT4*D372</f>
        <v>3.88051411679742E-012</v>
      </c>
      <c r="T372" s="37" t="n">
        <f aca="false">L_kT4*L_Rsq*O372</f>
        <v>1.12365369215056E-013</v>
      </c>
      <c r="U372" s="37" t="n">
        <f aca="false">L_kT4*L_Rh*O372</f>
        <v>8.5492386668493E-014</v>
      </c>
      <c r="V372" s="37" t="n">
        <f aca="false">L_kT4*p_Rv*P372</f>
        <v>5.32752463283046E-013</v>
      </c>
      <c r="W372" s="37" t="n">
        <f aca="false">L_kT4/p_Rb*Q372/R372</f>
        <v>1.65568741882039E-015</v>
      </c>
      <c r="X372" s="37" t="n">
        <f aca="false">p_en^2*(1+p_fc/B372)/R372</f>
        <v>2.82450258374788E-012</v>
      </c>
      <c r="Y372" s="37" t="n">
        <f aca="false">p_in^2*Q372/R372</f>
        <v>2.51385526544825E-016</v>
      </c>
      <c r="Z372" s="37" t="n">
        <f aca="false">p_eo^2/L_G^2/R372</f>
        <v>2.7913063627894E-012</v>
      </c>
      <c r="AA372" s="37" t="n">
        <f aca="false">SUM(S372:Z372)</f>
        <v>1.02288403554467E-011</v>
      </c>
      <c r="AB372" s="47" t="n">
        <f aca="false">10*LOG10(AA372/L_PREF^2)</f>
        <v>-15.9223359082964</v>
      </c>
      <c r="AC372" s="47" t="n">
        <f aca="false">10*LOG10(S372/L_PREF^2)</f>
        <v>-20.1317072364695</v>
      </c>
      <c r="AD372" s="47" t="n">
        <f aca="false">10*LOG10(T372/L_PREF^2)</f>
        <v>-35.5142750817508</v>
      </c>
      <c r="AE372" s="47" t="n">
        <f aca="false">10*LOG10(U372/L_PREF^2)</f>
        <v>-36.7013254999255</v>
      </c>
      <c r="AF372" s="47" t="n">
        <f aca="false">10*LOG10(V372/L_PREF^2)</f>
        <v>-28.7553452489337</v>
      </c>
      <c r="AG372" s="47" t="n">
        <f aca="false">10*LOG10(W372/L_PREF^2)</f>
        <v>-53.8308164263221</v>
      </c>
      <c r="AH372" s="47" t="n">
        <f aca="false">10*LOG10(X372/L_PREF^2)</f>
        <v>-21.5111801497931</v>
      </c>
      <c r="AI372" s="47" t="n">
        <f aca="false">10*LOG10(Y372/L_PREF^2)</f>
        <v>-62.0171972164812</v>
      </c>
      <c r="AJ372" s="47" t="n">
        <f aca="false">10*LOG10(Z372/L_PREF^2)</f>
        <v>-21.5625248577197</v>
      </c>
      <c r="AK372" s="47" t="n">
        <f aca="false">10*LOG10(R372/$R$6)</f>
        <v>0.274815811293663</v>
      </c>
      <c r="AL372" s="37" t="n">
        <f aca="false">(12194^2*B372^4/((B372^2+20.6^2)*SQRT((B372^2+107.7^2)*(B372^2+737.9^2))*(B372^2+12194^2))*1.2589254)^2</f>
        <v>0.00896228518772679</v>
      </c>
      <c r="AM372" s="37" t="n">
        <v>0</v>
      </c>
      <c r="AN372" s="37" t="n">
        <v>0</v>
      </c>
      <c r="AO372" s="37" t="n">
        <v>0</v>
      </c>
      <c r="AP372" s="37" t="n">
        <v>0</v>
      </c>
      <c r="AQ372" s="37" t="n">
        <v>0</v>
      </c>
      <c r="AR372" s="37" t="n">
        <v>0</v>
      </c>
      <c r="AS372" s="37" t="n">
        <v>0</v>
      </c>
      <c r="AT372" s="37" t="n">
        <v>0</v>
      </c>
      <c r="AU372" s="37" t="n">
        <v>0</v>
      </c>
      <c r="AV372" s="37" t="n">
        <v>0</v>
      </c>
      <c r="AW372" s="37" t="n">
        <v>0</v>
      </c>
      <c r="AX372" s="37" t="n">
        <v>0</v>
      </c>
      <c r="AY372" s="37" t="n">
        <v>0</v>
      </c>
      <c r="AZ372" s="37" t="n">
        <v>0</v>
      </c>
      <c r="BA372" s="37" t="n">
        <v>0</v>
      </c>
      <c r="BB372" s="37" t="n">
        <v>0</v>
      </c>
      <c r="BC372" s="37" t="n">
        <v>0</v>
      </c>
      <c r="BD372" s="37" t="n">
        <v>0</v>
      </c>
      <c r="BE372" s="37" t="n">
        <f aca="false">IF(B372&gt;2000,AK372,-999)</f>
        <v>0.274815811293663</v>
      </c>
      <c r="BF372" s="37" t="n">
        <f aca="false">IF(AND(B372&lt;1000,AK372&gt;=-3),B372,1000000000)</f>
        <v>1000000000</v>
      </c>
    </row>
    <row r="373" customFormat="false" ht="15" hidden="false" customHeight="false" outlineLevel="0" collapsed="false">
      <c r="A373" s="5" t="n">
        <v>334</v>
      </c>
      <c r="B373" s="47" t="n">
        <f aca="false">20*10^(A373/100)</f>
        <v>43755.232478991</v>
      </c>
      <c r="C373" s="37" t="n">
        <f aca="false">2*PI()*B373</f>
        <v>274922.233824224</v>
      </c>
      <c r="D373" s="37" t="n">
        <f aca="false">SQRT(L_Rp0^2+L_Rp1^2*C373)</f>
        <v>238115525.273749</v>
      </c>
      <c r="E373" s="5" t="str">
        <f aca="false">COMPLEX(D373,C373*L_Mp)</f>
        <v>238115525.273749+4061348952.98815i</v>
      </c>
      <c r="F373" s="5" t="str">
        <f aca="false">IMDIV(1,E373)</f>
        <v>1.43865546774367e-11-2.45380130964336e-10i</v>
      </c>
      <c r="G373" s="5" t="str">
        <f aca="false">COMPLEX(0,C373*L_Cf)</f>
        <v>2.90707659748571e-10i</v>
      </c>
      <c r="H373" s="5" t="str">
        <f aca="false">COMPLEX(0,C373*L_Cbv)</f>
        <v>2.90707659748571e-09i</v>
      </c>
      <c r="I373" s="5" t="str">
        <f aca="false">COMPLEX(L_Rsq+L_Rh,C373*(L_Md+L_Mh)-1/(C373*L_Cd))</f>
        <v>552400610.124532-3154292487.74158i</v>
      </c>
      <c r="J373" s="5" t="str">
        <f aca="false">IMDIV(1,I373)</f>
        <v>5.38680024159824e-11+3.0759458305463e-10i</v>
      </c>
      <c r="K373" s="5" t="str">
        <f aca="false">IMSUM(F373,G373,H373)</f>
        <v>1.43865546774367e-11+2.95240412626995e-09i</v>
      </c>
      <c r="L373" s="5" t="str">
        <f aca="false">IMSUM(IMPRODUCT(IMSUM(F373,G373),H373),IMPRODUCT(IMSUM(J373,L_Yv),K373))</f>
        <v>-1.03911036630781e-18+2.1119296356823e-19i</v>
      </c>
      <c r="M373" s="37" t="n">
        <f aca="false">IMABS(IMDIV(IMPRODUCT(J373,F373,H373),L373))^2</f>
        <v>4.42849486457618E-020</v>
      </c>
      <c r="N373" s="5" t="str">
        <f aca="false">IMDIV(IMPRODUCT(L_Yv,K373,E373),H373)</f>
        <v>0.00052385415560225+0.00824699132824234i</v>
      </c>
      <c r="O373" s="37" t="n">
        <f aca="false">IMABS(IMSUM(1,IMPRODUCT(E373,G373),N373))^2</f>
        <v>0.0384523680508215</v>
      </c>
      <c r="P373" s="37" t="n">
        <f aca="false">IMABS(N373)^2</f>
        <v>6.82872891444461E-005</v>
      </c>
      <c r="Q373" s="37" t="n">
        <f aca="false">p_Rb^2/(1+(C373*p_Rb*L_Ctot)^2)</f>
        <v>2180985342021.95</v>
      </c>
      <c r="R373" s="37" t="n">
        <f aca="false">M373*L_Kt^2*Q373</f>
        <v>1.93841301567829E-005</v>
      </c>
      <c r="S373" s="37" t="n">
        <f aca="false">L_kT4*D373</f>
        <v>3.92071974906694E-012</v>
      </c>
      <c r="T373" s="37" t="n">
        <f aca="false">L_kT4*L_Rsq*O373</f>
        <v>1.98625375847928E-013</v>
      </c>
      <c r="U373" s="37" t="n">
        <f aca="false">L_kT4*L_Rh*O373</f>
        <v>1.51122695122071E-013</v>
      </c>
      <c r="V373" s="37" t="n">
        <f aca="false">L_kT4*p_Rv*P373</f>
        <v>5.62196276053553E-013</v>
      </c>
      <c r="W373" s="37" t="n">
        <f aca="false">L_kT4/p_Rb*Q373/R373</f>
        <v>1.85261218946323E-015</v>
      </c>
      <c r="X373" s="37" t="n">
        <f aca="false">p_en^2*(1+p_fc/B373)/R373</f>
        <v>3.30921571934609E-012</v>
      </c>
      <c r="Y373" s="37" t="n">
        <f aca="false">p_in^2*Q373/R373</f>
        <v>2.81284912500804E-016</v>
      </c>
      <c r="Z373" s="37" t="n">
        <f aca="false">p_eo^2/L_G^2/R373</f>
        <v>3.27049638986565E-012</v>
      </c>
      <c r="AA373" s="37" t="n">
        <f aca="false">SUM(S373:Z373)</f>
        <v>1.14145101024042E-011</v>
      </c>
      <c r="AB373" s="47" t="n">
        <f aca="false">10*LOG10(AA373/L_PREF^2)</f>
        <v>-15.4460271451951</v>
      </c>
      <c r="AC373" s="47" t="n">
        <f aca="false">10*LOG10(S373/L_PREF^2)</f>
        <v>-20.0869419105367</v>
      </c>
      <c r="AD373" s="47" t="n">
        <f aca="false">10*LOG10(T373/L_PREF^2)</f>
        <v>-33.0402525932007</v>
      </c>
      <c r="AE373" s="47" t="n">
        <f aca="false">10*LOG10(U373/L_PREF^2)</f>
        <v>-34.2273030113754</v>
      </c>
      <c r="AF373" s="47" t="n">
        <f aca="false">10*LOG10(V373/L_PREF^2)</f>
        <v>-28.5217202678146</v>
      </c>
      <c r="AG373" s="47" t="n">
        <f aca="false">10*LOG10(W373/L_PREF^2)</f>
        <v>-53.3427547411546</v>
      </c>
      <c r="AH373" s="47" t="n">
        <f aca="false">10*LOG10(X373/L_PREF^2)</f>
        <v>-20.8233491269394</v>
      </c>
      <c r="AI373" s="47" t="n">
        <f aca="false">10*LOG10(Y373/L_PREF^2)</f>
        <v>-61.5291355313138</v>
      </c>
      <c r="AJ373" s="47" t="n">
        <f aca="false">10*LOG10(Z373/L_PREF^2)</f>
        <v>-20.8744631725527</v>
      </c>
      <c r="AK373" s="47" t="n">
        <f aca="false">10*LOG10(R373/$R$6)</f>
        <v>-0.413245873873335</v>
      </c>
      <c r="AL373" s="37" t="n">
        <f aca="false">(12194^2*B373^4/((B373^2+20.6^2)*SQRT((B373^2+107.7^2)*(B373^2+737.9^2))*(B373^2+12194^2))*1.2589254)^2</f>
        <v>0.00822943234485303</v>
      </c>
      <c r="AM373" s="37" t="n">
        <v>0</v>
      </c>
      <c r="AN373" s="37" t="n">
        <v>0</v>
      </c>
      <c r="AO373" s="37" t="n">
        <v>0</v>
      </c>
      <c r="AP373" s="37" t="n">
        <v>0</v>
      </c>
      <c r="AQ373" s="37" t="n">
        <v>0</v>
      </c>
      <c r="AR373" s="37" t="n">
        <v>0</v>
      </c>
      <c r="AS373" s="37" t="n">
        <v>0</v>
      </c>
      <c r="AT373" s="37" t="n">
        <v>0</v>
      </c>
      <c r="AU373" s="37" t="n">
        <v>0</v>
      </c>
      <c r="AV373" s="37" t="n">
        <v>0</v>
      </c>
      <c r="AW373" s="37" t="n">
        <v>0</v>
      </c>
      <c r="AX373" s="37" t="n">
        <v>0</v>
      </c>
      <c r="AY373" s="37" t="n">
        <v>0</v>
      </c>
      <c r="AZ373" s="37" t="n">
        <v>0</v>
      </c>
      <c r="BA373" s="37" t="n">
        <v>0</v>
      </c>
      <c r="BB373" s="37" t="n">
        <v>0</v>
      </c>
      <c r="BC373" s="37" t="n">
        <v>0</v>
      </c>
      <c r="BD373" s="37" t="n">
        <v>0</v>
      </c>
      <c r="BE373" s="37" t="n">
        <f aca="false">IF(B373&gt;2000,AK373,-999)</f>
        <v>-0.413245873873335</v>
      </c>
      <c r="BF373" s="37" t="n">
        <f aca="false">IF(AND(B373&lt;1000,AK373&gt;=-3),B373,1000000000)</f>
        <v>1000000000</v>
      </c>
    </row>
    <row r="374" customFormat="false" ht="15" hidden="false" customHeight="false" outlineLevel="0" collapsed="false">
      <c r="A374" s="5" t="n">
        <v>335</v>
      </c>
      <c r="B374" s="47" t="n">
        <f aca="false">20*10^(A374/100)</f>
        <v>44774.4227713668</v>
      </c>
      <c r="C374" s="37" t="n">
        <f aca="false">2*PI()*B374</f>
        <v>281325.995294499</v>
      </c>
      <c r="D374" s="37" t="n">
        <f aca="false">SQRT(L_Rp0^2+L_Rp1^2*C374)</f>
        <v>240588541.13342</v>
      </c>
      <c r="E374" s="5" t="str">
        <f aca="false">COMPLEX(D374,C374*L_Mp)</f>
        <v>240588541.13342+4155949922.79955i</v>
      </c>
      <c r="F374" s="5" t="str">
        <f aca="false">IMDIV(1,E374)</f>
        <v>1.38829360374273e-11-2.39815191035972e-10i</v>
      </c>
      <c r="G374" s="5" t="str">
        <f aca="false">COMPLEX(0,C374*L_Cf)</f>
        <v>2.97479111023051e-10i</v>
      </c>
      <c r="H374" s="5" t="str">
        <f aca="false">COMPLEX(0,C374*L_Cbv)</f>
        <v>2.97479111023051e-09i</v>
      </c>
      <c r="I374" s="5" t="str">
        <f aca="false">COMPLEX(L_Rsq+L_Rh,C374*(L_Md+L_Mh)-1/(C374*L_Cd))</f>
        <v>552400610.124532-3034782649.39365i</v>
      </c>
      <c r="J374" s="5" t="str">
        <f aca="false">IMDIV(1,I374)</f>
        <v>5.80554473747635e-11+3.18945455827791e-10i</v>
      </c>
      <c r="K374" s="5" t="str">
        <f aca="false">IMSUM(F374,G374,H374)</f>
        <v>1.38829360374273e-11+3.03245503021759e-09i</v>
      </c>
      <c r="L374" s="5" t="str">
        <f aca="false">IMSUM(IMPRODUCT(IMSUM(F374,G374),H374),IMPRODUCT(IMSUM(J374,L_Yv),K374))</f>
        <v>-1.13789212251403e-18+2.27842177554292e-19i</v>
      </c>
      <c r="M374" s="37" t="n">
        <f aca="false">IMABS(IMDIV(IMPRODUCT(J374,F374,H374),L374))^2</f>
        <v>3.98505116026165E-020</v>
      </c>
      <c r="N374" s="5" t="str">
        <f aca="false">IMDIV(IMPRODUCT(L_Yv,K374,E374),H374)</f>
        <v>0.000529294790493525+0.00847077371588736i</v>
      </c>
      <c r="O374" s="37" t="n">
        <f aca="false">IMABS(IMSUM(1,IMPRODUCT(E374,G374),N374))^2</f>
        <v>0.0619982697868592</v>
      </c>
      <c r="P374" s="37" t="n">
        <f aca="false">IMABS(N374)^2</f>
        <v>7.20341603210118E-005</v>
      </c>
      <c r="Q374" s="37" t="n">
        <f aca="false">p_Rb^2/(1+(C374*p_Rb*L_Ctot)^2)</f>
        <v>2082824831852.59</v>
      </c>
      <c r="R374" s="37" t="n">
        <f aca="false">M374*L_Kt^2*Q374</f>
        <v>1.66580466174999E-005</v>
      </c>
      <c r="S374" s="37" t="n">
        <f aca="false">L_kT4*D374</f>
        <v>3.96143948840197E-012</v>
      </c>
      <c r="T374" s="37" t="n">
        <f aca="false">L_kT4*L_Rsq*O374</f>
        <v>3.20251528385988E-013</v>
      </c>
      <c r="U374" s="37" t="n">
        <f aca="false">L_kT4*L_Rh*O374</f>
        <v>2.43661082477734E-013</v>
      </c>
      <c r="V374" s="37" t="n">
        <f aca="false">L_kT4*p_Rv*P374</f>
        <v>5.93043554495985E-013</v>
      </c>
      <c r="W374" s="37" t="n">
        <f aca="false">L_kT4/p_Rb*Q374/R374</f>
        <v>2.05876492851612E-015</v>
      </c>
      <c r="X374" s="37" t="n">
        <f aca="false">p_en^2*(1+p_fc/B374)/R374</f>
        <v>3.85056785002054E-012</v>
      </c>
      <c r="Y374" s="37" t="n">
        <f aca="false">p_in^2*Q374/R374</f>
        <v>3.12585394866244E-016</v>
      </c>
      <c r="Z374" s="37" t="n">
        <f aca="false">p_eo^2/L_G^2/R374</f>
        <v>3.80571198737343E-012</v>
      </c>
      <c r="AA374" s="37" t="n">
        <f aca="false">SUM(S374:Z374)</f>
        <v>1.2777046841479E-011</v>
      </c>
      <c r="AB374" s="47" t="n">
        <f aca="false">10*LOG10(AA374/L_PREF^2)</f>
        <v>-14.9562950438001</v>
      </c>
      <c r="AC374" s="47" t="n">
        <f aca="false">10*LOG10(S374/L_PREF^2)</f>
        <v>-20.0420696492976</v>
      </c>
      <c r="AD374" s="47" t="n">
        <f aca="false">10*LOG10(T374/L_PREF^2)</f>
        <v>-30.9656878025545</v>
      </c>
      <c r="AE374" s="47" t="n">
        <f aca="false">10*LOG10(U374/L_PREF^2)</f>
        <v>-32.1527382207292</v>
      </c>
      <c r="AF374" s="47" t="n">
        <f aca="false">10*LOG10(V374/L_PREF^2)</f>
        <v>-28.28973401197</v>
      </c>
      <c r="AG374" s="47" t="n">
        <f aca="false">10*LOG10(W374/L_PREF^2)</f>
        <v>-52.8845322998262</v>
      </c>
      <c r="AH374" s="47" t="n">
        <f aca="false">10*LOG10(X374/L_PREF^2)</f>
        <v>-20.1653521092459</v>
      </c>
      <c r="AI374" s="47" t="n">
        <f aca="false">10*LOG10(Y374/L_PREF^2)</f>
        <v>-61.0709130899853</v>
      </c>
      <c r="AJ374" s="47" t="n">
        <f aca="false">10*LOG10(Z374/L_PREF^2)</f>
        <v>-20.2162407312246</v>
      </c>
      <c r="AK374" s="47" t="n">
        <f aca="false">10*LOG10(R374/$R$6)</f>
        <v>-1.07146831520139</v>
      </c>
      <c r="AL374" s="37" t="n">
        <f aca="false">(12194^2*B374^4/((B374^2+20.6^2)*SQRT((B374^2+107.7^2)*(B374^2+737.9^2))*(B374^2+12194^2))*1.2589254)^2</f>
        <v>0.00755435743742206</v>
      </c>
      <c r="AM374" s="37" t="n">
        <v>0</v>
      </c>
      <c r="AN374" s="37" t="n">
        <v>0</v>
      </c>
      <c r="AO374" s="37" t="n">
        <v>0</v>
      </c>
      <c r="AP374" s="37" t="n">
        <v>0</v>
      </c>
      <c r="AQ374" s="37" t="n">
        <v>0</v>
      </c>
      <c r="AR374" s="37" t="n">
        <v>0</v>
      </c>
      <c r="AS374" s="37" t="n">
        <v>0</v>
      </c>
      <c r="AT374" s="37" t="n">
        <v>0</v>
      </c>
      <c r="AU374" s="37" t="n">
        <v>0</v>
      </c>
      <c r="AV374" s="37" t="n">
        <v>0</v>
      </c>
      <c r="AW374" s="37" t="n">
        <v>0</v>
      </c>
      <c r="AX374" s="37" t="n">
        <v>0</v>
      </c>
      <c r="AY374" s="37" t="n">
        <v>0</v>
      </c>
      <c r="AZ374" s="37" t="n">
        <v>0</v>
      </c>
      <c r="BA374" s="37" t="n">
        <v>0</v>
      </c>
      <c r="BB374" s="37" t="n">
        <v>0</v>
      </c>
      <c r="BC374" s="37" t="n">
        <v>0</v>
      </c>
      <c r="BD374" s="37" t="n">
        <v>0</v>
      </c>
      <c r="BE374" s="37" t="n">
        <f aca="false">IF(B374&gt;2000,AK374,-999)</f>
        <v>-1.07146831520139</v>
      </c>
      <c r="BF374" s="37" t="n">
        <f aca="false">IF(AND(B374&lt;1000,AK374&gt;=-3),B374,1000000000)</f>
        <v>1000000000</v>
      </c>
    </row>
    <row r="375" customFormat="false" ht="15" hidden="false" customHeight="false" outlineLevel="0" collapsed="false">
      <c r="A375" s="5" t="n">
        <v>336</v>
      </c>
      <c r="B375" s="47" t="n">
        <f aca="false">20*10^(A375/100)</f>
        <v>45817.3530553555</v>
      </c>
      <c r="C375" s="37" t="n">
        <f aca="false">2*PI()*B375</f>
        <v>287878.919531269</v>
      </c>
      <c r="D375" s="37" t="n">
        <f aca="false">SQRT(L_Rp0^2+L_Rp1^2*C375)</f>
        <v>243093118.193461</v>
      </c>
      <c r="E375" s="5" t="str">
        <f aca="false">COMPLEX(D375,C375*L_Mp)</f>
        <v>243093118.193461+4252754432.27052i</v>
      </c>
      <c r="F375" s="5" t="str">
        <f aca="false">IMDIV(1,E375)</f>
        <v>1.33972402091154e-11-2.34375917767305e-10i</v>
      </c>
      <c r="G375" s="5" t="str">
        <f aca="false">COMPLEX(0,C375*L_Cf)</f>
        <v>3.04408289659796e-10i</v>
      </c>
      <c r="H375" s="5" t="str">
        <f aca="false">COMPLEX(0,C375*L_Cbv)</f>
        <v>3.04408289659796e-09i</v>
      </c>
      <c r="I375" s="5" t="str">
        <f aca="false">COMPLEX(L_Rsq+L_Rh,C375*(L_Md+L_Mh)-1/(C375*L_Cd))</f>
        <v>552400610.124532-2916881892.97654i</v>
      </c>
      <c r="J375" s="5" t="str">
        <f aca="false">IMDIV(1,I375)</f>
        <v>6.26777371867445e-11+3.30961902180995e-10i</v>
      </c>
      <c r="K375" s="5" t="str">
        <f aca="false">IMSUM(F375,G375,H375)</f>
        <v>1.33972402091154e-11+3.11411526849045e-09i</v>
      </c>
      <c r="L375" s="5" t="str">
        <f aca="false">IMSUM(IMPRODUCT(IMSUM(F375,G375),H375),IMPRODUCT(IMSUM(J375,L_Yv),K375))</f>
        <v>-1.24297135517533e-18+2.46630214790421e-19i</v>
      </c>
      <c r="M375" s="37" t="n">
        <f aca="false">IMABS(IMDIV(IMPRODUCT(J375,F375,H375),L375))^2</f>
        <v>3.60846240976354E-020</v>
      </c>
      <c r="N375" s="5" t="str">
        <f aca="false">IMDIV(IMPRODUCT(L_Yv,K375,E375),H375)</f>
        <v>0.000534804860025615+0.00869904741988052i</v>
      </c>
      <c r="O375" s="37" t="n">
        <f aca="false">IMABS(IMSUM(1,IMPRODUCT(E375,G375),N375))^2</f>
        <v>0.0932979333858647</v>
      </c>
      <c r="P375" s="37" t="n">
        <f aca="false">IMABS(N375)^2</f>
        <v>7.5959442251637E-005</v>
      </c>
      <c r="Q375" s="37" t="n">
        <f aca="false">p_Rb^2/(1+(C375*p_Rb*L_Ctot)^2)</f>
        <v>1989082272400.76</v>
      </c>
      <c r="R375" s="37" t="n">
        <f aca="false">M375*L_Kt^2*Q375</f>
        <v>1.44049699740952E-005</v>
      </c>
      <c r="S375" s="37" t="n">
        <f aca="false">L_kT4*D375</f>
        <v>4.00267890246819E-012</v>
      </c>
      <c r="T375" s="37" t="n">
        <f aca="false">L_kT4*L_Rsq*O375</f>
        <v>4.81929671018178E-013</v>
      </c>
      <c r="U375" s="37" t="n">
        <f aca="false">L_kT4*L_Rh*O375</f>
        <v>3.66672739737549E-013</v>
      </c>
      <c r="V375" s="37" t="n">
        <f aca="false">L_kT4*p_Rv*P375</f>
        <v>6.25359654776227E-013</v>
      </c>
      <c r="W375" s="37" t="n">
        <f aca="false">L_kT4/p_Rb*Q375/R375</f>
        <v>2.27362312127474E-015</v>
      </c>
      <c r="X375" s="37" t="n">
        <f aca="false">p_en^2*(1+p_fc/B375)/R375</f>
        <v>4.45260803609177E-012</v>
      </c>
      <c r="Y375" s="37" t="n">
        <f aca="false">p_in^2*Q375/R375</f>
        <v>3.45207639442806E-016</v>
      </c>
      <c r="Z375" s="37" t="n">
        <f aca="false">p_eo^2/L_G^2/R375</f>
        <v>4.40096215489867E-012</v>
      </c>
      <c r="AA375" s="37" t="n">
        <f aca="false">SUM(S375:Z375)</f>
        <v>1.43328299897513E-011</v>
      </c>
      <c r="AB375" s="47" t="n">
        <f aca="false">10*LOG10(AA375/L_PREF^2)</f>
        <v>-14.4572804185259</v>
      </c>
      <c r="AC375" s="47" t="n">
        <f aca="false">10*LOG10(S375/L_PREF^2)</f>
        <v>-19.9970923921424</v>
      </c>
      <c r="AD375" s="47" t="n">
        <f aca="false">10*LOG10(T375/L_PREF^2)</f>
        <v>-29.1907632594648</v>
      </c>
      <c r="AE375" s="47" t="n">
        <f aca="false">10*LOG10(U375/L_PREF^2)</f>
        <v>-30.3778136776395</v>
      </c>
      <c r="AF375" s="47" t="n">
        <f aca="false">10*LOG10(V375/L_PREF^2)</f>
        <v>-28.0593013212692</v>
      </c>
      <c r="AG375" s="47" t="n">
        <f aca="false">10*LOG10(W375/L_PREF^2)</f>
        <v>-52.4534151422848</v>
      </c>
      <c r="AH375" s="47" t="n">
        <f aca="false">10*LOG10(X375/L_PREF^2)</f>
        <v>-19.5344552553759</v>
      </c>
      <c r="AI375" s="47" t="n">
        <f aca="false">10*LOG10(Y375/L_PREF^2)</f>
        <v>-60.639795932444</v>
      </c>
      <c r="AJ375" s="47" t="n">
        <f aca="false">10*LOG10(Z375/L_PREF^2)</f>
        <v>-19.5851235736837</v>
      </c>
      <c r="AK375" s="47" t="n">
        <f aca="false">10*LOG10(R375/$R$6)</f>
        <v>-1.70258547274233</v>
      </c>
      <c r="AL375" s="37" t="n">
        <f aca="false">(12194^2*B375^4/((B375^2+20.6^2)*SQRT((B375^2+107.7^2)*(B375^2+737.9^2))*(B375^2+12194^2))*1.2589254)^2</f>
        <v>0.00693276534715132</v>
      </c>
      <c r="AM375" s="37" t="n">
        <v>0</v>
      </c>
      <c r="AN375" s="37" t="n">
        <v>0</v>
      </c>
      <c r="AO375" s="37" t="n">
        <v>0</v>
      </c>
      <c r="AP375" s="37" t="n">
        <v>0</v>
      </c>
      <c r="AQ375" s="37" t="n">
        <v>0</v>
      </c>
      <c r="AR375" s="37" t="n">
        <v>0</v>
      </c>
      <c r="AS375" s="37" t="n">
        <v>0</v>
      </c>
      <c r="AT375" s="37" t="n">
        <v>0</v>
      </c>
      <c r="AU375" s="37" t="n">
        <v>0</v>
      </c>
      <c r="AV375" s="37" t="n">
        <v>0</v>
      </c>
      <c r="AW375" s="37" t="n">
        <v>0</v>
      </c>
      <c r="AX375" s="37" t="n">
        <v>0</v>
      </c>
      <c r="AY375" s="37" t="n">
        <v>0</v>
      </c>
      <c r="AZ375" s="37" t="n">
        <v>0</v>
      </c>
      <c r="BA375" s="37" t="n">
        <v>0</v>
      </c>
      <c r="BB375" s="37" t="n">
        <v>0</v>
      </c>
      <c r="BC375" s="37" t="n">
        <v>0</v>
      </c>
      <c r="BD375" s="37" t="n">
        <v>0</v>
      </c>
      <c r="BE375" s="37" t="n">
        <f aca="false">IF(B375&gt;2000,AK375,-999)</f>
        <v>-1.70258547274233</v>
      </c>
      <c r="BF375" s="37" t="n">
        <f aca="false">IF(AND(B375&lt;1000,AK375&gt;=-3),B375,1000000000)</f>
        <v>1000000000</v>
      </c>
    </row>
    <row r="376" customFormat="false" ht="15" hidden="false" customHeight="false" outlineLevel="0" collapsed="false">
      <c r="A376" s="5" t="n">
        <v>337</v>
      </c>
      <c r="B376" s="47" t="n">
        <f aca="false">20*10^(A376/100)</f>
        <v>46884.5763063985</v>
      </c>
      <c r="C376" s="37" t="n">
        <f aca="false">2*PI()*B376</f>
        <v>294584.480981703</v>
      </c>
      <c r="D376" s="37" t="n">
        <f aca="false">SQRT(L_Rp0^2+L_Rp1^2*C376)</f>
        <v>245629598.483535</v>
      </c>
      <c r="E376" s="5" t="str">
        <f aca="false">COMPLEX(D376,C376*L_Mp)</f>
        <v>245629598.483535+4351813808.43334i</v>
      </c>
      <c r="F376" s="5" t="str">
        <f aca="false">IMDIV(1,E376)</f>
        <v>1.292881446626e-11-2.29059501250271e-10i</v>
      </c>
      <c r="G376" s="5" t="str">
        <f aca="false">COMPLEX(0,C376*L_Cf)</f>
        <v>3.11498869601039e-10i</v>
      </c>
      <c r="H376" s="5" t="str">
        <f aca="false">COMPLEX(0,C376*L_Cbv)</f>
        <v>3.11498869601039e-09i</v>
      </c>
      <c r="I376" s="5" t="str">
        <f aca="false">COMPLEX(L_Rsq+L_Rh,C376*(L_Md+L_Mh)-1/(C376*L_Cd))</f>
        <v>552400610.124532-2800527705.94858i</v>
      </c>
      <c r="J376" s="5" t="str">
        <f aca="false">IMDIV(1,I376)</f>
        <v>6.77950054158779e-11+3.4370307981611e-10i</v>
      </c>
      <c r="K376" s="5" t="str">
        <f aca="false">IMSUM(F376,G376,H376)</f>
        <v>1.292881446626e-11+3.19742806436116e-09i</v>
      </c>
      <c r="L376" s="5" t="str">
        <f aca="false">IMSUM(IMPRODUCT(IMSUM(F376,G376),H376),IMPRODUCT(IMSUM(J376,L_Yv),K376))</f>
        <v>-1.35486120705458e-18+2.67881293334607e-19i</v>
      </c>
      <c r="M376" s="37" t="n">
        <f aca="false">IMABS(IMDIV(IMPRODUCT(J376,F376,H376),L376))^2</f>
        <v>3.28617444713654E-020</v>
      </c>
      <c r="N376" s="5" t="str">
        <f aca="false">IMDIV(IMPRODUCT(L_Yv,K376,E376),H376)</f>
        <v>0.000540385116663777+0.00893193347396118i</v>
      </c>
      <c r="O376" s="37" t="n">
        <f aca="false">IMABS(IMSUM(1,IMPRODUCT(E376,G376),N376))^2</f>
        <v>0.133357631960872</v>
      </c>
      <c r="P376" s="37" t="n">
        <f aca="false">IMABS(N376)^2</f>
        <v>8.007145165758E-005</v>
      </c>
      <c r="Q376" s="37" t="n">
        <f aca="false">p_Rb^2/(1+(C376*p_Rb*L_Ctot)^2)</f>
        <v>1899558823129.56</v>
      </c>
      <c r="R376" s="37" t="n">
        <f aca="false">M376*L_Kt^2*Q376</f>
        <v>1.25279723491602E-005</v>
      </c>
      <c r="S376" s="37" t="n">
        <f aca="false">L_kT4*D376</f>
        <v>4.0444436229961E-012</v>
      </c>
      <c r="T376" s="37" t="n">
        <f aca="false">L_kT4*L_Rsq*O376</f>
        <v>6.88857698839484E-013</v>
      </c>
      <c r="U376" s="37" t="n">
        <f aca="false">L_kT4*L_Rh*O376</f>
        <v>5.24112448169329E-013</v>
      </c>
      <c r="V376" s="37" t="n">
        <f aca="false">L_kT4*p_Rv*P376</f>
        <v>6.59213046880112E-013</v>
      </c>
      <c r="W376" s="37" t="n">
        <f aca="false">L_kT4/p_Rb*Q376/R376</f>
        <v>2.49660622071908E-015</v>
      </c>
      <c r="X376" s="37" t="n">
        <f aca="false">p_en^2*(1+p_fc/B376)/R376</f>
        <v>5.11946416056032E-012</v>
      </c>
      <c r="Y376" s="37" t="n">
        <f aca="false">p_in^2*Q376/R376</f>
        <v>3.79063500897831E-016</v>
      </c>
      <c r="Z376" s="37" t="n">
        <f aca="false">p_eo^2/L_G^2/R376</f>
        <v>5.06033426093042E-012</v>
      </c>
      <c r="AA376" s="37" t="n">
        <f aca="false">SUM(S376:Z376)</f>
        <v>1.60993009080974E-011</v>
      </c>
      <c r="AB376" s="47" t="n">
        <f aca="false">10*LOG10(AA376/L_PREF^2)</f>
        <v>-13.9525297357857</v>
      </c>
      <c r="AC376" s="47" t="n">
        <f aca="false">10*LOG10(S376/L_PREF^2)</f>
        <v>-19.9520120532578</v>
      </c>
      <c r="AD376" s="47" t="n">
        <f aca="false">10*LOG10(T376/L_PREF^2)</f>
        <v>-27.6393047477823</v>
      </c>
      <c r="AE376" s="47" t="n">
        <f aca="false">10*LOG10(U376/L_PREF^2)</f>
        <v>-28.826355165957</v>
      </c>
      <c r="AF376" s="47" t="n">
        <f aca="false">10*LOG10(V376/L_PREF^2)</f>
        <v>-27.8303419717172</v>
      </c>
      <c r="AG376" s="47" t="n">
        <f aca="false">10*LOG10(W376/L_PREF^2)</f>
        <v>-52.0470994303145</v>
      </c>
      <c r="AH376" s="47" t="n">
        <f aca="false">10*LOG10(X376/L_PREF^2)</f>
        <v>-18.9283548431504</v>
      </c>
      <c r="AI376" s="47" t="n">
        <f aca="false">10*LOG10(Y376/L_PREF^2)</f>
        <v>-60.2334802204736</v>
      </c>
      <c r="AJ376" s="47" t="n">
        <f aca="false">10*LOG10(Z376/L_PREF^2)</f>
        <v>-18.9788078617137</v>
      </c>
      <c r="AK376" s="47" t="n">
        <f aca="false">10*LOG10(R376/$R$6)</f>
        <v>-2.30890118471227</v>
      </c>
      <c r="AL376" s="37" t="n">
        <f aca="false">(12194^2*B376^4/((B376^2+20.6^2)*SQRT((B376^2+107.7^2)*(B376^2+737.9^2))*(B376^2+12194^2))*1.2589254)^2</f>
        <v>0.00636064895508786</v>
      </c>
      <c r="AM376" s="37" t="n">
        <v>0</v>
      </c>
      <c r="AN376" s="37" t="n">
        <v>0</v>
      </c>
      <c r="AO376" s="37" t="n">
        <v>0</v>
      </c>
      <c r="AP376" s="37" t="n">
        <v>0</v>
      </c>
      <c r="AQ376" s="37" t="n">
        <v>0</v>
      </c>
      <c r="AR376" s="37" t="n">
        <v>0</v>
      </c>
      <c r="AS376" s="37" t="n">
        <v>0</v>
      </c>
      <c r="AT376" s="37" t="n">
        <v>0</v>
      </c>
      <c r="AU376" s="37" t="n">
        <v>0</v>
      </c>
      <c r="AV376" s="37" t="n">
        <v>0</v>
      </c>
      <c r="AW376" s="37" t="n">
        <v>0</v>
      </c>
      <c r="AX376" s="37" t="n">
        <v>0</v>
      </c>
      <c r="AY376" s="37" t="n">
        <v>0</v>
      </c>
      <c r="AZ376" s="37" t="n">
        <v>0</v>
      </c>
      <c r="BA376" s="37" t="n">
        <v>0</v>
      </c>
      <c r="BB376" s="37" t="n">
        <v>0</v>
      </c>
      <c r="BC376" s="37" t="n">
        <v>0</v>
      </c>
      <c r="BD376" s="37" t="n">
        <v>0</v>
      </c>
      <c r="BE376" s="37" t="n">
        <f aca="false">IF(B376&gt;2000,AK376,-999)</f>
        <v>-2.30890118471227</v>
      </c>
      <c r="BF376" s="37" t="n">
        <f aca="false">IF(AND(B376&lt;1000,AK376&gt;=-3),B376,1000000000)</f>
        <v>1000000000</v>
      </c>
    </row>
    <row r="377" customFormat="false" ht="15" hidden="false" customHeight="false" outlineLevel="0" collapsed="false">
      <c r="A377" s="5" t="n">
        <v>338</v>
      </c>
      <c r="B377" s="47" t="n">
        <f aca="false">20*10^(A377/100)</f>
        <v>47976.6583803898</v>
      </c>
      <c r="C377" s="37" t="n">
        <f aca="false">2*PI()*B377</f>
        <v>301446.23502324</v>
      </c>
      <c r="D377" s="37" t="n">
        <f aca="false">SQRT(L_Rp0^2+L_Rp1^2*C377)</f>
        <v>248198327.976574</v>
      </c>
      <c r="E377" s="5" t="str">
        <f aca="false">COMPLEX(D377,C377*L_Mp)</f>
        <v>248198327.976574+4453180573.88046i</v>
      </c>
      <c r="F377" s="5" t="str">
        <f aca="false">IMDIV(1,E377)</f>
        <v>1.24770305748722e-11-2.23863192909896e-10i</v>
      </c>
      <c r="G377" s="5" t="str">
        <f aca="false">COMPLEX(0,C377*L_Cf)</f>
        <v>3.1875461036612e-10i</v>
      </c>
      <c r="H377" s="5" t="str">
        <f aca="false">COMPLEX(0,C377*L_Cbv)</f>
        <v>3.1875461036612e-09i</v>
      </c>
      <c r="I377" s="5" t="str">
        <f aca="false">COMPLEX(L_Rsq+L_Rh,C377*(L_Md+L_Mh)-1/(C377*L_Cd))</f>
        <v>552400610.124532-2685658395.77968i</v>
      </c>
      <c r="J377" s="5" t="str">
        <f aca="false">IMDIV(1,I377)</f>
        <v>7.34779742350166e-11+3.57234830650654e-10i</v>
      </c>
      <c r="K377" s="5" t="str">
        <f aca="false">IMSUM(F377,G377,H377)</f>
        <v>1.24770305748722e-11+3.28243752111742e-09i</v>
      </c>
      <c r="L377" s="5" t="str">
        <f aca="false">IMSUM(IMPRODUCT(IMSUM(F377,G377),H377),IMPRODUCT(IMSUM(J377,L_Yv),K377))</f>
        <v>-1.47413003896895e-18+2.91980074745585e-19i</v>
      </c>
      <c r="M377" s="37" t="n">
        <f aca="false">IMABS(IMDIV(IMPRODUCT(J377,F377,H377),L377))^2</f>
        <v>3.00846159087563E-020</v>
      </c>
      <c r="N377" s="5" t="str">
        <f aca="false">IMDIV(IMPRODUCT(L_Yv,K377,E377),H377)</f>
        <v>0.000546036321548464+0.00916955535739788i</v>
      </c>
      <c r="O377" s="37" t="n">
        <f aca="false">IMABS(IMSUM(1,IMPRODUCT(E377,G377),N377))^2</f>
        <v>0.183292877858135</v>
      </c>
      <c r="P377" s="37" t="n">
        <f aca="false">IMABS(N377)^2</f>
        <v>8.43789011168344E-005</v>
      </c>
      <c r="Q377" s="37" t="n">
        <f aca="false">p_Rb^2/(1+(C377*p_Rb*L_Ctot)^2)</f>
        <v>1814064592800.49</v>
      </c>
      <c r="R377" s="37" t="n">
        <f aca="false">M377*L_Kt^2*Q377</f>
        <v>1.09530392277261E-005</v>
      </c>
      <c r="S377" s="37" t="n">
        <f aca="false">L_kT4*D377</f>
        <v>4.08673934664448E-012</v>
      </c>
      <c r="T377" s="37" t="n">
        <f aca="false">L_kT4*L_Rsq*O377</f>
        <v>9.46797781262852E-013</v>
      </c>
      <c r="U377" s="37" t="n">
        <f aca="false">L_kT4*L_Rh*O377</f>
        <v>7.20364313115694E-013</v>
      </c>
      <c r="V377" s="37" t="n">
        <f aca="false">L_kT4*p_Rv*P377</f>
        <v>6.94675459806759E-013</v>
      </c>
      <c r="W377" s="37" t="n">
        <f aca="false">L_kT4/p_Rb*Q377/R377</f>
        <v>2.72706940715878E-015</v>
      </c>
      <c r="X377" s="37" t="n">
        <f aca="false">p_en^2*(1+p_fc/B377)/R377</f>
        <v>5.85530617295385E-012</v>
      </c>
      <c r="Y377" s="37" t="n">
        <f aca="false">p_in^2*Q377/R377</f>
        <v>4.14055075281853E-016</v>
      </c>
      <c r="Z377" s="37" t="n">
        <f aca="false">p_eo^2/L_G^2/R377</f>
        <v>5.7879576965238E-012</v>
      </c>
      <c r="AA377" s="37" t="n">
        <f aca="false">SUM(S377:Z377)</f>
        <v>1.80949818947899E-011</v>
      </c>
      <c r="AB377" s="47" t="n">
        <f aca="false">10*LOG10(AA377/L_PREF^2)</f>
        <v>-13.445018384235</v>
      </c>
      <c r="AC377" s="47" t="n">
        <f aca="false">10*LOG10(S377/L_PREF^2)</f>
        <v>-19.9068305215414</v>
      </c>
      <c r="AD377" s="47" t="n">
        <f aca="false">10*LOG10(T377/L_PREF^2)</f>
        <v>-26.2580275980056</v>
      </c>
      <c r="AE377" s="47" t="n">
        <f aca="false">10*LOG10(U377/L_PREF^2)</f>
        <v>-27.4450780161804</v>
      </c>
      <c r="AF377" s="47" t="n">
        <f aca="false">10*LOG10(V377/L_PREF^2)</f>
        <v>-27.6027803412448</v>
      </c>
      <c r="AG377" s="47" t="n">
        <f aca="false">10*LOG10(W377/L_PREF^2)</f>
        <v>-51.6636379993475</v>
      </c>
      <c r="AH377" s="47" t="n">
        <f aca="false">10*LOG10(X377/L_PREF^2)</f>
        <v>-18.3451038214198</v>
      </c>
      <c r="AI377" s="47" t="n">
        <f aca="false">10*LOG10(Y377/L_PREF^2)</f>
        <v>-59.8500187895067</v>
      </c>
      <c r="AJ377" s="47" t="n">
        <f aca="false">10*LOG10(Z377/L_PREF^2)</f>
        <v>-18.3953464307471</v>
      </c>
      <c r="AK377" s="47" t="n">
        <f aca="false">10*LOG10(R377/$R$6)</f>
        <v>-2.89236261567889</v>
      </c>
      <c r="AL377" s="37" t="n">
        <f aca="false">(12194^2*B377^4/((B377^2+20.6^2)*SQRT((B377^2+107.7^2)*(B377^2+737.9^2))*(B377^2+12194^2))*1.2589254)^2</f>
        <v>0.0058342736057609</v>
      </c>
      <c r="AM377" s="37" t="n">
        <v>0</v>
      </c>
      <c r="AN377" s="37" t="n">
        <v>0</v>
      </c>
      <c r="AO377" s="37" t="n">
        <v>0</v>
      </c>
      <c r="AP377" s="37" t="n">
        <v>0</v>
      </c>
      <c r="AQ377" s="37" t="n">
        <v>0</v>
      </c>
      <c r="AR377" s="37" t="n">
        <v>0</v>
      </c>
      <c r="AS377" s="37" t="n">
        <v>0</v>
      </c>
      <c r="AT377" s="37" t="n">
        <v>0</v>
      </c>
      <c r="AU377" s="37" t="n">
        <v>0</v>
      </c>
      <c r="AV377" s="37" t="n">
        <v>0</v>
      </c>
      <c r="AW377" s="37" t="n">
        <v>0</v>
      </c>
      <c r="AX377" s="37" t="n">
        <v>0</v>
      </c>
      <c r="AY377" s="37" t="n">
        <v>0</v>
      </c>
      <c r="AZ377" s="37" t="n">
        <v>0</v>
      </c>
      <c r="BA377" s="37" t="n">
        <v>0</v>
      </c>
      <c r="BB377" s="37" t="n">
        <v>0</v>
      </c>
      <c r="BC377" s="37" t="n">
        <v>0</v>
      </c>
      <c r="BD377" s="37" t="n">
        <v>0</v>
      </c>
      <c r="BE377" s="37" t="n">
        <f aca="false">IF(B377&gt;2000,AK377,-999)</f>
        <v>-2.89236261567889</v>
      </c>
      <c r="BF377" s="37" t="n">
        <f aca="false">IF(AND(B377&lt;1000,AK377&gt;=-3),B377,1000000000)</f>
        <v>1000000000</v>
      </c>
    </row>
    <row r="378" customFormat="false" ht="15" hidden="false" customHeight="false" outlineLevel="0" collapsed="false">
      <c r="A378" s="5" t="n">
        <v>339</v>
      </c>
      <c r="B378" s="47" t="n">
        <f aca="false">20*10^(A378/100)</f>
        <v>49094.1783137006</v>
      </c>
      <c r="C378" s="37" t="n">
        <f aca="false">2*PI()*B378</f>
        <v>308467.819848698</v>
      </c>
      <c r="D378" s="37" t="n">
        <f aca="false">SQRT(L_Rp0^2+L_Rp1^2*C378)</f>
        <v>250799656.641623</v>
      </c>
      <c r="E378" s="5" t="str">
        <f aca="false">COMPLEX(D378,C378*L_Mp)</f>
        <v>250799656.641623+4556908474.61266i</v>
      </c>
      <c r="F378" s="5" t="str">
        <f aca="false">IMDIV(1,E378)</f>
        <v>1.20412838418975e-11-2.18784304249532e-10i</v>
      </c>
      <c r="G378" s="5" t="str">
        <f aca="false">COMPLEX(0,C378*L_Cf)</f>
        <v>3.26179359044833e-10i</v>
      </c>
      <c r="H378" s="5" t="str">
        <f aca="false">COMPLEX(0,C378*L_Cbv)</f>
        <v>3.26179359044833e-09i</v>
      </c>
      <c r="I378" s="5" t="str">
        <f aca="false">COMPLEX(L_Rsq+L_Rh,C378*(L_Md+L_Mh)-1/(C378*L_Cd))</f>
        <v>552400610.124532-2572213057.24111i</v>
      </c>
      <c r="J378" s="5" t="str">
        <f aca="false">IMDIV(1,I378)</f>
        <v>7.98102261783258e-11+3.7163048359229e-10i</v>
      </c>
      <c r="K378" s="5" t="str">
        <f aca="false">IMSUM(F378,G378,H378)</f>
        <v>1.20412838418975e-11+3.36918864524363e-09i</v>
      </c>
      <c r="L378" s="5" t="str">
        <f aca="false">IMSUM(IMPRODUCT(IMSUM(F378,G378),H378),IMPRODUCT(IMSUM(J378,L_Yv),K378))</f>
        <v>-1.60140860676812e-18+3.19385175698335e-19i</v>
      </c>
      <c r="M378" s="37" t="n">
        <f aca="false">IMABS(IMDIV(IMPRODUCT(J378,F378,H378),L378))^2</f>
        <v>2.76769950782942E-020</v>
      </c>
      <c r="N378" s="5" t="str">
        <f aca="false">IMDIV(IMPRODUCT(L_Yv,K378,E378),H378)</f>
        <v>0.00055175924461157+0.00941203906045848i</v>
      </c>
      <c r="O378" s="37" t="n">
        <f aca="false">IMABS(IMSUM(1,IMPRODUCT(E378,G378),N378))^2</f>
        <v>0.244339533794444</v>
      </c>
      <c r="P378" s="37" t="n">
        <f aca="false">IMABS(N378)^2</f>
        <v>8.88909175396105E-005</v>
      </c>
      <c r="Q378" s="37" t="n">
        <f aca="false">p_Rb^2/(1+(C378*p_Rb*L_Ctot)^2)</f>
        <v>1732418236688.61</v>
      </c>
      <c r="R378" s="37" t="n">
        <f aca="false">M378*L_Kt^2*Q378</f>
        <v>9.62296947959531E-006</v>
      </c>
      <c r="S378" s="37" t="n">
        <f aca="false">L_kT4*D378</f>
        <v>4.12957183587064E-012</v>
      </c>
      <c r="T378" s="37" t="n">
        <f aca="false">L_kT4*L_Rsq*O378</f>
        <v>1.26213375650325E-012</v>
      </c>
      <c r="U378" s="37" t="n">
        <f aca="false">L_kT4*L_Rh*O378</f>
        <v>9.60285432176338E-013</v>
      </c>
      <c r="V378" s="37" t="n">
        <f aca="false">L_kT4*p_Rv*P378</f>
        <v>7.31822033673699E-013</v>
      </c>
      <c r="W378" s="37" t="n">
        <f aca="false">L_kT4/p_Rb*Q378/R378</f>
        <v>2.96429707917367E-015</v>
      </c>
      <c r="X378" s="37" t="n">
        <f aca="false">p_en^2*(1+p_fc/B378)/R378</f>
        <v>6.66430064284006E-012</v>
      </c>
      <c r="Y378" s="37" t="n">
        <f aca="false">p_in^2*Q378/R378</f>
        <v>4.50073711748243E-016</v>
      </c>
      <c r="Z378" s="37" t="n">
        <f aca="false">p_eo^2/L_G^2/R378</f>
        <v>6.58795892815308E-012</v>
      </c>
      <c r="AA378" s="37" t="n">
        <f aca="false">SUM(S378:Z378)</f>
        <v>2.0339487000008E-011</v>
      </c>
      <c r="AB378" s="47" t="n">
        <f aca="false">10*LOG10(AA378/L_PREF^2)</f>
        <v>-12.937199963241</v>
      </c>
      <c r="AC378" s="47" t="n">
        <f aca="false">10*LOG10(S378/L_PREF^2)</f>
        <v>-19.861549660537</v>
      </c>
      <c r="AD378" s="47" t="n">
        <f aca="false">10*LOG10(T378/L_PREF^2)</f>
        <v>-25.0095460897682</v>
      </c>
      <c r="AE378" s="47" t="n">
        <f aca="false">10*LOG10(U378/L_PREF^2)</f>
        <v>-26.1965965079429</v>
      </c>
      <c r="AF378" s="47" t="n">
        <f aca="false">10*LOG10(V378/L_PREF^2)</f>
        <v>-27.3765451025656</v>
      </c>
      <c r="AG378" s="47" t="n">
        <f aca="false">10*LOG10(W378/L_PREF^2)</f>
        <v>-51.3013826523914</v>
      </c>
      <c r="AH378" s="47" t="n">
        <f aca="false">10*LOG10(X378/L_PREF^2)</f>
        <v>-17.7830541040503</v>
      </c>
      <c r="AI378" s="47" t="n">
        <f aca="false">10*LOG10(Y378/L_PREF^2)</f>
        <v>-59.4877634425505</v>
      </c>
      <c r="AJ378" s="47" t="n">
        <f aca="false">10*LOG10(Z378/L_PREF^2)</f>
        <v>-17.8330910837914</v>
      </c>
      <c r="AK378" s="47" t="n">
        <f aca="false">10*LOG10(R378/$R$6)</f>
        <v>-3.45461796263466</v>
      </c>
      <c r="AL378" s="37" t="n">
        <f aca="false">(12194^2*B378^4/((B378^2+20.6^2)*SQRT((B378^2+107.7^2)*(B378^2+737.9^2))*(B378^2+12194^2))*1.2589254)^2</f>
        <v>0.0053501619391013</v>
      </c>
      <c r="AM378" s="37" t="n">
        <v>0</v>
      </c>
      <c r="AN378" s="37" t="n">
        <v>0</v>
      </c>
      <c r="AO378" s="37" t="n">
        <v>0</v>
      </c>
      <c r="AP378" s="37" t="n">
        <v>0</v>
      </c>
      <c r="AQ378" s="37" t="n">
        <v>0</v>
      </c>
      <c r="AR378" s="37" t="n">
        <v>0</v>
      </c>
      <c r="AS378" s="37" t="n">
        <v>0</v>
      </c>
      <c r="AT378" s="37" t="n">
        <v>0</v>
      </c>
      <c r="AU378" s="37" t="n">
        <v>0</v>
      </c>
      <c r="AV378" s="37" t="n">
        <v>0</v>
      </c>
      <c r="AW378" s="37" t="n">
        <v>0</v>
      </c>
      <c r="AX378" s="37" t="n">
        <v>0</v>
      </c>
      <c r="AY378" s="37" t="n">
        <v>0</v>
      </c>
      <c r="AZ378" s="37" t="n">
        <v>0</v>
      </c>
      <c r="BA378" s="37" t="n">
        <v>0</v>
      </c>
      <c r="BB378" s="37" t="n">
        <v>0</v>
      </c>
      <c r="BC378" s="37" t="n">
        <v>0</v>
      </c>
      <c r="BD378" s="37" t="n">
        <v>0</v>
      </c>
      <c r="BE378" s="37" t="n">
        <f aca="false">IF(B378&gt;2000,AK378,-999)</f>
        <v>-3.45461796263466</v>
      </c>
      <c r="BF378" s="37" t="n">
        <f aca="false">IF(AND(B378&lt;1000,AK378&gt;=-3),B378,1000000000)</f>
        <v>1000000000</v>
      </c>
    </row>
    <row r="379" customFormat="false" ht="15" hidden="false" customHeight="false" outlineLevel="0" collapsed="false">
      <c r="A379" s="5" t="n">
        <v>340</v>
      </c>
      <c r="B379" s="47" t="n">
        <f aca="false">20*10^(A379/100)</f>
        <v>50237.7286301916</v>
      </c>
      <c r="C379" s="37" t="n">
        <f aca="false">2*PI()*B379</f>
        <v>315652.958395295</v>
      </c>
      <c r="D379" s="37" t="n">
        <f aca="false">SQRT(L_Rp0^2+L_Rp1^2*C379)</f>
        <v>253433938.497108</v>
      </c>
      <c r="E379" s="5" t="str">
        <f aca="false">COMPLEX(D379,C379*L_Mp)</f>
        <v>253433938.497108+4663052508.53592i</v>
      </c>
      <c r="F379" s="5" t="str">
        <f aca="false">IMDIV(1,E379)</f>
        <v>1.16209922021091e-11-2.13820205616776e-10i</v>
      </c>
      <c r="G379" s="5" t="str">
        <f aca="false">COMPLEX(0,C379*L_Cf)</f>
        <v>3.33777052337205e-10i</v>
      </c>
      <c r="H379" s="5" t="str">
        <f aca="false">COMPLEX(0,C379*L_Cbv)</f>
        <v>3.33777052337205e-09i</v>
      </c>
      <c r="I379" s="5" t="str">
        <f aca="false">COMPLEX(L_Rsq+L_Rh,C379*(L_Md+L_Mh)-1/(C379*L_Cd))</f>
        <v>552400610.124532-2460131540.11276i</v>
      </c>
      <c r="J379" s="5" t="str">
        <f aca="false">IMDIV(1,I379)</f>
        <v>8.68910503871766e-11+3.86971718881393e-10i</v>
      </c>
      <c r="K379" s="5" t="str">
        <f aca="false">IMSUM(F379,G379,H379)</f>
        <v>1.16209922021091e-11+3.45772737009248e-09i</v>
      </c>
      <c r="L379" s="5" t="str">
        <f aca="false">IMSUM(IMPRODUCT(IMSUM(F379,G379),H379),IMPRODUCT(IMSUM(J379,L_Yv),K379))</f>
        <v>-1.73739812868465e-18+3.50646218432104e-19i</v>
      </c>
      <c r="M379" s="37" t="n">
        <f aca="false">IMABS(IMDIV(IMPRODUCT(J379,F379,H379),L379))^2</f>
        <v>2.5578467777174E-020</v>
      </c>
      <c r="N379" s="5" t="str">
        <f aca="false">IMDIV(IMPRODUCT(L_Yv,K379,E379),H379)</f>
        <v>0.000557554664693637+0.009659513151212i</v>
      </c>
      <c r="O379" s="37" t="n">
        <f aca="false">IMABS(IMSUM(1,IMPRODUCT(E379,G379),N379))^2</f>
        <v>0.317866022862941</v>
      </c>
      <c r="P379" s="37" t="n">
        <f aca="false">IMABS(N379)^2</f>
        <v>9.36170615225593E-005</v>
      </c>
      <c r="Q379" s="37" t="n">
        <f aca="false">p_Rb^2/(1+(C379*p_Rb*L_Ctot)^2)</f>
        <v>1654446571926.08</v>
      </c>
      <c r="R379" s="37" t="n">
        <f aca="false">M379*L_Kt^2*Q379</f>
        <v>8.49306987781507E-006</v>
      </c>
      <c r="S379" s="37" t="n">
        <f aca="false">L_kT4*D379</f>
        <v>4.17294691980747E-012</v>
      </c>
      <c r="T379" s="37" t="n">
        <f aca="false">L_kT4*L_Rsq*O379</f>
        <v>1.64193420225751E-012</v>
      </c>
      <c r="U379" s="37" t="n">
        <f aca="false">L_kT4*L_Rh*O379</f>
        <v>1.24925388208322E-012</v>
      </c>
      <c r="V379" s="37" t="n">
        <f aca="false">L_kT4*p_Rv*P379</f>
        <v>7.7073147905652E-013</v>
      </c>
      <c r="W379" s="37" t="n">
        <f aca="false">L_kT4/p_Rb*Q379/R379</f>
        <v>3.2074961012366E-015</v>
      </c>
      <c r="X379" s="37" t="n">
        <f aca="false">p_en^2*(1+p_fc/B379)/R379</f>
        <v>7.55055536068126E-012</v>
      </c>
      <c r="Y379" s="37" t="n">
        <f aca="false">p_in^2*Q379/R379</f>
        <v>4.86998987329568E-016</v>
      </c>
      <c r="Z379" s="37" t="n">
        <f aca="false">p_eo^2/L_G^2/R379</f>
        <v>7.46440669987208E-012</v>
      </c>
      <c r="AA379" s="37" t="n">
        <f aca="false">SUM(S379:Z379)</f>
        <v>2.28535230388466E-011</v>
      </c>
      <c r="AB379" s="47" t="n">
        <f aca="false">10*LOG10(AA379/L_PREF^2)</f>
        <v>-12.4310683206908</v>
      </c>
      <c r="AC379" s="47" t="n">
        <f aca="false">10*LOG10(S379/L_PREF^2)</f>
        <v>-19.8161713083895</v>
      </c>
      <c r="AD379" s="47" t="n">
        <f aca="false">10*LOG10(T379/L_PREF^2)</f>
        <v>-23.8670424181436</v>
      </c>
      <c r="AE379" s="47" t="n">
        <f aca="false">10*LOG10(U379/L_PREF^2)</f>
        <v>-25.0540928363183</v>
      </c>
      <c r="AF379" s="47" t="n">
        <f aca="false">10*LOG10(V379/L_PREF^2)</f>
        <v>-27.1515689405033</v>
      </c>
      <c r="AG379" s="47" t="n">
        <f aca="false">10*LOG10(W379/L_PREF^2)</f>
        <v>-50.9589385417264</v>
      </c>
      <c r="AH379" s="47" t="n">
        <f aca="false">10*LOG10(X379/L_PREF^2)</f>
        <v>-17.2408109516777</v>
      </c>
      <c r="AI379" s="47" t="n">
        <f aca="false">10*LOG10(Y379/L_PREF^2)</f>
        <v>-59.1453193318856</v>
      </c>
      <c r="AJ379" s="47" t="n">
        <f aca="false">10*LOG10(Z379/L_PREF^2)</f>
        <v>-17.2906469731268</v>
      </c>
      <c r="AK379" s="47" t="n">
        <f aca="false">10*LOG10(R379/$R$6)</f>
        <v>-3.99706207329924</v>
      </c>
      <c r="AL379" s="37" t="n">
        <f aca="false">(12194^2*B379^4/((B379^2+20.6^2)*SQRT((B379^2+107.7^2)*(B379^2+737.9^2))*(B379^2+12194^2))*1.2589254)^2</f>
        <v>0.0049050791487184</v>
      </c>
      <c r="AM379" s="37" t="n">
        <v>0</v>
      </c>
      <c r="AN379" s="37" t="n">
        <v>0</v>
      </c>
      <c r="AO379" s="37" t="n">
        <v>0</v>
      </c>
      <c r="AP379" s="37" t="n">
        <v>0</v>
      </c>
      <c r="AQ379" s="37" t="n">
        <v>0</v>
      </c>
      <c r="AR379" s="37" t="n">
        <v>0</v>
      </c>
      <c r="AS379" s="37" t="n">
        <v>0</v>
      </c>
      <c r="AT379" s="37" t="n">
        <v>0</v>
      </c>
      <c r="AU379" s="37" t="n">
        <v>0</v>
      </c>
      <c r="AV379" s="37" t="n">
        <v>0</v>
      </c>
      <c r="AW379" s="37" t="n">
        <v>0</v>
      </c>
      <c r="AX379" s="37" t="n">
        <v>0</v>
      </c>
      <c r="AY379" s="37" t="n">
        <v>0</v>
      </c>
      <c r="AZ379" s="37" t="n">
        <v>0</v>
      </c>
      <c r="BA379" s="37" t="n">
        <v>0</v>
      </c>
      <c r="BB379" s="37" t="n">
        <v>0</v>
      </c>
      <c r="BC379" s="37" t="n">
        <v>0</v>
      </c>
      <c r="BD379" s="37" t="n">
        <v>0</v>
      </c>
      <c r="BE379" s="37" t="n">
        <f aca="false">IF(B379&gt;2000,AK379,-999)</f>
        <v>-3.99706207329924</v>
      </c>
      <c r="BF379" s="37" t="n">
        <f aca="false">IF(AND(B379&lt;1000,AK379&gt;=-3),B379,1000000000)</f>
        <v>1000000000</v>
      </c>
    </row>
    <row r="380" customFormat="false" ht="15" hidden="false" customHeight="false" outlineLevel="0" collapsed="false">
      <c r="A380" s="5" t="n">
        <v>341</v>
      </c>
      <c r="B380" s="47" t="n">
        <f aca="false">20*10^(A380/100)</f>
        <v>51407.9156553773</v>
      </c>
      <c r="C380" s="37" t="n">
        <f aca="false">2*PI()*B380</f>
        <v>323005.460318594</v>
      </c>
      <c r="D380" s="37" t="n">
        <f aca="false">SQRT(L_Rp0^2+L_Rp1^2*C380)</f>
        <v>256101531.664525</v>
      </c>
      <c r="E380" s="5" t="str">
        <f aca="false">COMPLEX(D380,C380*L_Mp)</f>
        <v>256101531.664525+4771668954.622i</v>
      </c>
      <c r="F380" s="5" t="str">
        <f aca="false">IMDIV(1,E380)</f>
        <v>1.12155953416443e-11-2.0896832499007e-10i</v>
      </c>
      <c r="G380" s="5" t="str">
        <f aca="false">COMPLEX(0,C380*L_Cf)</f>
        <v>3.41551718640789e-10i</v>
      </c>
      <c r="H380" s="5" t="str">
        <f aca="false">COMPLEX(0,C380*L_Cbv)</f>
        <v>3.41551718640789e-09i</v>
      </c>
      <c r="I380" s="5" t="str">
        <f aca="false">COMPLEX(L_Rsq+L_Rh,C380*(L_Md+L_Mh)-1/(C380*L_Cd))</f>
        <v>552400610.124532-2349354417.29067i</v>
      </c>
      <c r="J380" s="5" t="str">
        <f aca="false">IMDIV(1,I380)</f>
        <v>9.48390299770517e-11+4.03349471243196e-10i</v>
      </c>
      <c r="K380" s="5" t="str">
        <f aca="false">IMSUM(F380,G380,H380)</f>
        <v>1.12155953416443e-11+3.54810058005861e-09i</v>
      </c>
      <c r="L380" s="5" t="str">
        <f aca="false">IMSUM(IMPRODUCT(IMSUM(F380,G380),H380),IMPRODUCT(IMSUM(J380,L_Yv),K380))</f>
        <v>-1.88287924515713e-18+3.86425481529802e-19i</v>
      </c>
      <c r="M380" s="37" t="n">
        <f aca="false">IMABS(IMDIV(IMPRODUCT(J380,F380,H380),L380))^2</f>
        <v>2.37406969481458E-020</v>
      </c>
      <c r="N380" s="5" t="str">
        <f aca="false">IMDIV(IMPRODUCT(L_Yv,K380,E380),H380)</f>
        <v>0.000563423369661954+0.00991210884369704i</v>
      </c>
      <c r="O380" s="37" t="n">
        <f aca="false">IMABS(IMSUM(1,IMPRODUCT(E380,G380),N380))^2</f>
        <v>0.405386744686593</v>
      </c>
      <c r="P380" s="37" t="n">
        <f aca="false">IMABS(N380)^2</f>
        <v>9.85673476227783E-005</v>
      </c>
      <c r="Q380" s="37" t="n">
        <f aca="false">p_Rb^2/(1+(C380*p_Rb*L_Ctot)^2)</f>
        <v>1579984210158.1</v>
      </c>
      <c r="R380" s="37" t="n">
        <f aca="false">M380*L_Kt^2*Q380</f>
        <v>7.52806978117083E-006</v>
      </c>
      <c r="S380" s="37" t="n">
        <f aca="false">L_kT4*D380</f>
        <v>4.2168704951474E-012</v>
      </c>
      <c r="T380" s="37" t="n">
        <f aca="false">L_kT4*L_Rsq*O380</f>
        <v>2.09402173672948E-012</v>
      </c>
      <c r="U380" s="37" t="n">
        <f aca="false">L_kT4*L_Rh*O380</f>
        <v>1.59322144588939E-012</v>
      </c>
      <c r="V380" s="37" t="n">
        <f aca="false">L_kT4*p_Rv*P380</f>
        <v>8.1148624390091E-013</v>
      </c>
      <c r="W380" s="37" t="n">
        <f aca="false">L_kT4/p_Rb*Q380/R380</f>
        <v>3.45578884436665E-015</v>
      </c>
      <c r="X380" s="37" t="n">
        <f aca="false">p_en^2*(1+p_fc/B380)/R380</f>
        <v>8.51805260981853E-012</v>
      </c>
      <c r="Y380" s="37" t="n">
        <f aca="false">p_in^2*Q380/R380</f>
        <v>5.24697650289438E-016</v>
      </c>
      <c r="Z380" s="37" t="n">
        <f aca="false">p_eo^2/L_G^2/R380</f>
        <v>8.42124602205596E-012</v>
      </c>
      <c r="AA380" s="37" t="n">
        <f aca="false">SUM(S380:Z380)</f>
        <v>2.56588790400363E-011</v>
      </c>
      <c r="AB380" s="47" t="n">
        <f aca="false">10*LOG10(AA380/L_PREF^2)</f>
        <v>-11.9282231190638</v>
      </c>
      <c r="AC380" s="47" t="n">
        <f aca="false">10*LOG10(S380/L_PREF^2)</f>
        <v>-19.7706972778203</v>
      </c>
      <c r="AD380" s="47" t="n">
        <f aca="false">10*LOG10(T380/L_PREF^2)</f>
        <v>-22.8107880582245</v>
      </c>
      <c r="AE380" s="47" t="n">
        <f aca="false">10*LOG10(U380/L_PREF^2)</f>
        <v>-23.9978384763992</v>
      </c>
      <c r="AF380" s="47" t="n">
        <f aca="false">10*LOG10(V380/L_PREF^2)</f>
        <v>-26.9277882914792</v>
      </c>
      <c r="AG380" s="47" t="n">
        <f aca="false">10*LOG10(W380/L_PREF^2)</f>
        <v>-50.635127929748</v>
      </c>
      <c r="AH380" s="47" t="n">
        <f aca="false">10*LOG10(X380/L_PREF^2)</f>
        <v>-16.7171967326066</v>
      </c>
      <c r="AI380" s="47" t="n">
        <f aca="false">10*LOG10(Y380/L_PREF^2)</f>
        <v>-58.8215087199072</v>
      </c>
      <c r="AJ380" s="47" t="n">
        <f aca="false">10*LOG10(Z380/L_PREF^2)</f>
        <v>-16.7668363611487</v>
      </c>
      <c r="AK380" s="47" t="n">
        <f aca="false">10*LOG10(R380/$R$6)</f>
        <v>-4.52087268527734</v>
      </c>
      <c r="AL380" s="37" t="n">
        <f aca="false">(12194^2*B380^4/((B380^2+20.6^2)*SQRT((B380^2+107.7^2)*(B380^2+737.9^2))*(B380^2+12194^2))*1.2589254)^2</f>
        <v>0.00449601871340069</v>
      </c>
      <c r="AM380" s="37" t="n">
        <v>0</v>
      </c>
      <c r="AN380" s="37" t="n">
        <v>0</v>
      </c>
      <c r="AO380" s="37" t="n">
        <v>0</v>
      </c>
      <c r="AP380" s="37" t="n">
        <v>0</v>
      </c>
      <c r="AQ380" s="37" t="n">
        <v>0</v>
      </c>
      <c r="AR380" s="37" t="n">
        <v>0</v>
      </c>
      <c r="AS380" s="37" t="n">
        <v>0</v>
      </c>
      <c r="AT380" s="37" t="n">
        <v>0</v>
      </c>
      <c r="AU380" s="37" t="n">
        <v>0</v>
      </c>
      <c r="AV380" s="37" t="n">
        <v>0</v>
      </c>
      <c r="AW380" s="37" t="n">
        <v>0</v>
      </c>
      <c r="AX380" s="37" t="n">
        <v>0</v>
      </c>
      <c r="AY380" s="37" t="n">
        <v>0</v>
      </c>
      <c r="AZ380" s="37" t="n">
        <v>0</v>
      </c>
      <c r="BA380" s="37" t="n">
        <v>0</v>
      </c>
      <c r="BB380" s="37" t="n">
        <v>0</v>
      </c>
      <c r="BC380" s="37" t="n">
        <v>0</v>
      </c>
      <c r="BD380" s="37" t="n">
        <v>0</v>
      </c>
      <c r="BE380" s="37" t="n">
        <f aca="false">IF(B380&gt;2000,AK380,-999)</f>
        <v>-4.52087268527734</v>
      </c>
      <c r="BF380" s="37" t="n">
        <f aca="false">IF(AND(B380&lt;1000,AK380&gt;=-3),B380,1000000000)</f>
        <v>1000000000</v>
      </c>
    </row>
    <row r="381" customFormat="false" ht="15" hidden="false" customHeight="false" outlineLevel="0" collapsed="false">
      <c r="A381" s="5" t="n">
        <v>342</v>
      </c>
      <c r="B381" s="47" t="n">
        <f aca="false">20*10^(A381/100)</f>
        <v>52605.3598379076</v>
      </c>
      <c r="C381" s="37" t="n">
        <f aca="false">2*PI()*B381</f>
        <v>330529.224012436</v>
      </c>
      <c r="D381" s="37" t="n">
        <f aca="false">SQRT(L_Rp0^2+L_Rp1^2*C381)</f>
        <v>258802798.42255</v>
      </c>
      <c r="E381" s="5" t="str">
        <f aca="false">COMPLEX(D381,C381*L_Mp)</f>
        <v>258802798.42255+4882815402.74832i</v>
      </c>
      <c r="F381" s="5" t="str">
        <f aca="false">IMDIV(1,E381)</f>
        <v>1.08245538566747e-11-2.04226146785917e-10i</v>
      </c>
      <c r="G381" s="5" t="str">
        <f aca="false">COMPLEX(0,C381*L_Cf)</f>
        <v>3.49507480186567e-10i</v>
      </c>
      <c r="H381" s="5" t="str">
        <f aca="false">COMPLEX(0,C381*L_Cbv)</f>
        <v>3.49507480186567e-09i</v>
      </c>
      <c r="I381" s="5" t="str">
        <f aca="false">COMPLEX(L_Rsq+L_Rh,C381*(L_Md+L_Mh)-1/(C381*L_Cd))</f>
        <v>552400610.124532-2239822953.278i</v>
      </c>
      <c r="J381" s="5" t="str">
        <f aca="false">IMDIV(1,I381)</f>
        <v>1.03796591099297e-10+4.20864827002646e-10i</v>
      </c>
      <c r="K381" s="5" t="str">
        <f aca="false">IMSUM(F381,G381,H381)</f>
        <v>1.08245538566747e-11+3.64035613526632e-09i</v>
      </c>
      <c r="L381" s="5" t="str">
        <f aca="false">IMSUM(IMPRODUCT(IMSUM(F381,G381),H381),IMPRODUCT(IMSUM(J381,L_Yv),K381))</f>
        <v>-2.03872178174873e-18+4.2752556891076e-19i</v>
      </c>
      <c r="M381" s="37" t="n">
        <f aca="false">IMABS(IMDIV(IMPRODUCT(J381,F381,H381),L381))^2</f>
        <v>2.2124670024893E-020</v>
      </c>
      <c r="N381" s="5" t="str">
        <f aca="false">IMDIV(IMPRODUCT(L_Yv,K381,E381),H381)</f>
        <v>0.000569366156529611+0.0101699600674933i</v>
      </c>
      <c r="O381" s="37" t="n">
        <f aca="false">IMABS(IMSUM(1,IMPRODUCT(E381,G381),N381))^2</f>
        <v>0.508576815407407</v>
      </c>
      <c r="P381" s="37" t="n">
        <f aca="false">IMABS(N381)^2</f>
        <v>0.00010375226559461</v>
      </c>
      <c r="Q381" s="37" t="n">
        <f aca="false">p_Rb^2/(1+(C381*p_Rb*L_Ctot)^2)</f>
        <v>1508873206732.03</v>
      </c>
      <c r="R381" s="37" t="n">
        <f aca="false">M381*L_Kt^2*Q381</f>
        <v>6.69987922615201E-006</v>
      </c>
      <c r="S381" s="37" t="n">
        <f aca="false">L_kT4*D381</f>
        <v>4.26134852703343E-012</v>
      </c>
      <c r="T381" s="37" t="n">
        <f aca="false">L_kT4*L_Rsq*O381</f>
        <v>2.62704915791735E-012</v>
      </c>
      <c r="U381" s="37" t="n">
        <f aca="false">L_kT4*L_Rh*O381</f>
        <v>1.9987715430006E-012</v>
      </c>
      <c r="V381" s="37" t="n">
        <f aca="false">L_kT4*p_Rv*P381</f>
        <v>8.54172688361178E-013</v>
      </c>
      <c r="W381" s="37" t="n">
        <f aca="false">L_kT4/p_Rb*Q381/R381</f>
        <v>3.70820606945022E-015</v>
      </c>
      <c r="X381" s="37" t="n">
        <f aca="false">p_en^2*(1+p_fc/B381)/R381</f>
        <v>9.57056962408112E-012</v>
      </c>
      <c r="Y381" s="37" t="n">
        <f aca="false">p_in^2*Q381/R381</f>
        <v>5.63022539586371E-016</v>
      </c>
      <c r="Z381" s="37" t="n">
        <f aca="false">p_eo^2/L_G^2/R381</f>
        <v>9.46221947568673E-012</v>
      </c>
      <c r="AA381" s="37" t="n">
        <f aca="false">SUM(S381:Z381)</f>
        <v>2.87784022446894E-011</v>
      </c>
      <c r="AB381" s="47" t="n">
        <f aca="false">10*LOG10(AA381/L_PREF^2)</f>
        <v>-11.4299331276201</v>
      </c>
      <c r="AC381" s="47" t="n">
        <f aca="false">10*LOG10(S381/L_PREF^2)</f>
        <v>-19.7251293561204</v>
      </c>
      <c r="AD381" s="47" t="n">
        <f aca="false">10*LOG10(T381/L_PREF^2)</f>
        <v>-21.825917918527</v>
      </c>
      <c r="AE381" s="47" t="n">
        <f aca="false">10*LOG10(U381/L_PREF^2)</f>
        <v>-23.0129683367018</v>
      </c>
      <c r="AF381" s="47" t="n">
        <f aca="false">10*LOG10(V381/L_PREF^2)</f>
        <v>-26.7051431031028</v>
      </c>
      <c r="AG381" s="47" t="n">
        <f aca="false">10*LOG10(W381/L_PREF^2)</f>
        <v>-50.3289613092066</v>
      </c>
      <c r="AH381" s="47" t="n">
        <f aca="false">10*LOG10(X381/L_PREF^2)</f>
        <v>-16.2112220431046</v>
      </c>
      <c r="AI381" s="47" t="n">
        <f aca="false">10*LOG10(Y381/L_PREF^2)</f>
        <v>-58.5153420993657</v>
      </c>
      <c r="AJ381" s="47" t="n">
        <f aca="false">10*LOG10(Z381/L_PREF^2)</f>
        <v>-16.2606697406075</v>
      </c>
      <c r="AK381" s="47" t="n">
        <f aca="false">10*LOG10(R381/$R$6)</f>
        <v>-5.02703930581847</v>
      </c>
      <c r="AL381" s="37" t="n">
        <f aca="false">(12194^2*B381^4/((B381^2+20.6^2)*SQRT((B381^2+107.7^2)*(B381^2+737.9^2))*(B381^2+12194^2))*1.2589254)^2</f>
        <v>0.00412018863821055</v>
      </c>
      <c r="AM381" s="37" t="n">
        <v>0</v>
      </c>
      <c r="AN381" s="37" t="n">
        <v>0</v>
      </c>
      <c r="AO381" s="37" t="n">
        <v>0</v>
      </c>
      <c r="AP381" s="37" t="n">
        <v>0</v>
      </c>
      <c r="AQ381" s="37" t="n">
        <v>0</v>
      </c>
      <c r="AR381" s="37" t="n">
        <v>0</v>
      </c>
      <c r="AS381" s="37" t="n">
        <v>0</v>
      </c>
      <c r="AT381" s="37" t="n">
        <v>0</v>
      </c>
      <c r="AU381" s="37" t="n">
        <v>0</v>
      </c>
      <c r="AV381" s="37" t="n">
        <v>0</v>
      </c>
      <c r="AW381" s="37" t="n">
        <v>0</v>
      </c>
      <c r="AX381" s="37" t="n">
        <v>0</v>
      </c>
      <c r="AY381" s="37" t="n">
        <v>0</v>
      </c>
      <c r="AZ381" s="37" t="n">
        <v>0</v>
      </c>
      <c r="BA381" s="37" t="n">
        <v>0</v>
      </c>
      <c r="BB381" s="37" t="n">
        <v>0</v>
      </c>
      <c r="BC381" s="37" t="n">
        <v>0</v>
      </c>
      <c r="BD381" s="37" t="n">
        <v>0</v>
      </c>
      <c r="BE381" s="37" t="n">
        <f aca="false">IF(B381&gt;2000,AK381,-999)</f>
        <v>-5.02703930581847</v>
      </c>
      <c r="BF381" s="37" t="n">
        <f aca="false">IF(AND(B381&lt;1000,AK381&gt;=-3),B381,1000000000)</f>
        <v>1000000000</v>
      </c>
    </row>
    <row r="382" customFormat="false" ht="15" hidden="false" customHeight="false" outlineLevel="0" collapsed="false">
      <c r="A382" s="5" t="n">
        <v>343</v>
      </c>
      <c r="B382" s="47" t="n">
        <f aca="false">20*10^(A382/100)</f>
        <v>53830.6960785383</v>
      </c>
      <c r="C382" s="37" t="n">
        <f aca="false">2*PI()*B382</f>
        <v>338228.238675922</v>
      </c>
      <c r="D382" s="37" t="n">
        <f aca="false">SQRT(L_Rp0^2+L_Rp1^2*C382)</f>
        <v>261538105.261587</v>
      </c>
      <c r="E382" s="5" t="str">
        <f aca="false">COMPLEX(D382,C382*L_Mp)</f>
        <v>261538105.261587+4996550784.23289i</v>
      </c>
      <c r="F382" s="5" t="str">
        <f aca="false">IMDIV(1,E382)</f>
        <v>1.04473484457684e-11-1.99591210686673e-10i</v>
      </c>
      <c r="G382" s="5" t="str">
        <f aca="false">COMPLEX(0,C382*L_Cf)</f>
        <v>3.57648555224619e-10i</v>
      </c>
      <c r="H382" s="5" t="str">
        <f aca="false">COMPLEX(0,C382*L_Cbv)</f>
        <v>3.57648555224619e-09i</v>
      </c>
      <c r="I382" s="5" t="str">
        <f aca="false">COMPLEX(L_Rsq+L_Rh,C382*(L_Md+L_Mh)-1/(C382*L_Cd))</f>
        <v>552400610.124532-2131479073.04273i</v>
      </c>
      <c r="J382" s="5" t="str">
        <f aca="false">IMDIV(1,I382)</f>
        <v>1.1393580706463e-10+4.39629833815254e-10i</v>
      </c>
      <c r="K382" s="5" t="str">
        <f aca="false">IMSUM(F382,G382,H382)</f>
        <v>1.04473484457684e-11+3.73454289678414e-09i</v>
      </c>
      <c r="L382" s="5" t="str">
        <f aca="false">IMSUM(IMPRODUCT(IMSUM(F382,G382),H382),IMPRODUCT(IMSUM(J382,L_Yv),K382))</f>
        <v>-2.20589506048176e-18+4.74925001592746e-19i</v>
      </c>
      <c r="M382" s="37" t="n">
        <f aca="false">IMABS(IMDIV(IMPRODUCT(J382,F382,H382),L382))^2</f>
        <v>2.06986541520738E-020</v>
      </c>
      <c r="N382" s="5" t="str">
        <f aca="false">IMDIV(IMPRODUCT(L_Yv,K382,E382),H382)</f>
        <v>0.000575383831575491+0.0104332035387327i</v>
      </c>
      <c r="O382" s="37" t="n">
        <f aca="false">IMABS(IMSUM(1,IMPRODUCT(E382,G382),N382))^2</f>
        <v>0.629288260616192</v>
      </c>
      <c r="P382" s="37" t="n">
        <f aca="false">IMABS(N382)^2</f>
        <v>0.000109182802634263</v>
      </c>
      <c r="Q382" s="37" t="n">
        <f aca="false">p_Rb^2/(1+(C382*p_Rb*L_Ctot)^2)</f>
        <v>1440962725675.57</v>
      </c>
      <c r="R382" s="37" t="n">
        <f aca="false">M382*L_Kt^2*Q382</f>
        <v>5.98593890535588E-006</v>
      </c>
      <c r="S382" s="37" t="n">
        <f aca="false">L_kT4*D382</f>
        <v>4.3063870499573E-012</v>
      </c>
      <c r="T382" s="37" t="n">
        <f aca="false">L_kT4*L_Rsq*O382</f>
        <v>3.25058308805274E-012</v>
      </c>
      <c r="U382" s="37" t="n">
        <f aca="false">L_kT4*L_Rh*O382</f>
        <v>2.47318286944794E-012</v>
      </c>
      <c r="V382" s="37" t="n">
        <f aca="false">L_kT4*p_Rv*P382</f>
        <v>8.98881267936011E-013</v>
      </c>
      <c r="W382" s="37" t="n">
        <f aca="false">L_kT4/p_Rb*Q382/R382</f>
        <v>3.96367971888992E-015</v>
      </c>
      <c r="X382" s="37" t="n">
        <f aca="false">p_en^2*(1+p_fc/B382)/R382</f>
        <v>1.07115846464689E-011</v>
      </c>
      <c r="Y382" s="37" t="n">
        <f aca="false">p_in^2*Q382/R382</f>
        <v>6.01811490418939E-016</v>
      </c>
      <c r="Z382" s="37" t="n">
        <f aca="false">p_eo^2/L_G^2/R382</f>
        <v>1.05907742629517E-011</v>
      </c>
      <c r="AA382" s="37" t="n">
        <f aca="false">SUM(S382:Z382)</f>
        <v>3.2235958676024E-011</v>
      </c>
      <c r="AB382" s="47" t="n">
        <f aca="false">10*LOG10(AA382/L_PREF^2)</f>
        <v>-10.9371940095903</v>
      </c>
      <c r="AC382" s="47" t="n">
        <f aca="false">10*LOG10(S382/L_PREF^2)</f>
        <v>-19.6794693051618</v>
      </c>
      <c r="AD382" s="47" t="n">
        <f aca="false">10*LOG10(T382/L_PREF^2)</f>
        <v>-20.900987198229</v>
      </c>
      <c r="AE382" s="47" t="n">
        <f aca="false">10*LOG10(U382/L_PREF^2)</f>
        <v>-22.0880376164038</v>
      </c>
      <c r="AF382" s="47" t="n">
        <f aca="false">10*LOG10(V382/L_PREF^2)</f>
        <v>-26.4835766120277</v>
      </c>
      <c r="AG382" s="47" t="n">
        <f aca="false">10*LOG10(W382/L_PREF^2)</f>
        <v>-50.0396143682108</v>
      </c>
      <c r="AH382" s="47" t="n">
        <f aca="false">10*LOG10(X382/L_PREF^2)</f>
        <v>-15.7220626724595</v>
      </c>
      <c r="AI382" s="47" t="n">
        <f aca="false">10*LOG10(Y382/L_PREF^2)</f>
        <v>-58.2259951583699</v>
      </c>
      <c r="AJ382" s="47" t="n">
        <f aca="false">10*LOG10(Z382/L_PREF^2)</f>
        <v>-15.771322799612</v>
      </c>
      <c r="AK382" s="47" t="n">
        <f aca="false">10*LOG10(R382/$R$6)</f>
        <v>-5.51638624681398</v>
      </c>
      <c r="AL382" s="37" t="n">
        <f aca="false">(12194^2*B382^4/((B382^2+20.6^2)*SQRT((B382^2+107.7^2)*(B382^2+737.9^2))*(B382^2+12194^2))*1.2589254)^2</f>
        <v>0.00377499823220866</v>
      </c>
      <c r="AM382" s="37" t="n">
        <v>0</v>
      </c>
      <c r="AN382" s="37" t="n">
        <v>0</v>
      </c>
      <c r="AO382" s="37" t="n">
        <v>0</v>
      </c>
      <c r="AP382" s="37" t="n">
        <v>0</v>
      </c>
      <c r="AQ382" s="37" t="n">
        <v>0</v>
      </c>
      <c r="AR382" s="37" t="n">
        <v>0</v>
      </c>
      <c r="AS382" s="37" t="n">
        <v>0</v>
      </c>
      <c r="AT382" s="37" t="n">
        <v>0</v>
      </c>
      <c r="AU382" s="37" t="n">
        <v>0</v>
      </c>
      <c r="AV382" s="37" t="n">
        <v>0</v>
      </c>
      <c r="AW382" s="37" t="n">
        <v>0</v>
      </c>
      <c r="AX382" s="37" t="n">
        <v>0</v>
      </c>
      <c r="AY382" s="37" t="n">
        <v>0</v>
      </c>
      <c r="AZ382" s="37" t="n">
        <v>0</v>
      </c>
      <c r="BA382" s="37" t="n">
        <v>0</v>
      </c>
      <c r="BB382" s="37" t="n">
        <v>0</v>
      </c>
      <c r="BC382" s="37" t="n">
        <v>0</v>
      </c>
      <c r="BD382" s="37" t="n">
        <v>0</v>
      </c>
      <c r="BE382" s="37" t="n">
        <f aca="false">IF(B382&gt;2000,AK382,-999)</f>
        <v>-5.51638624681398</v>
      </c>
      <c r="BF382" s="37" t="n">
        <f aca="false">IF(AND(B382&lt;1000,AK382&gt;=-3),B382,1000000000)</f>
        <v>1000000000</v>
      </c>
    </row>
    <row r="383" customFormat="false" ht="15" hidden="false" customHeight="false" outlineLevel="0" collapsed="false">
      <c r="A383" s="5" t="n">
        <v>344</v>
      </c>
      <c r="B383" s="47" t="n">
        <f aca="false">20*10^(A383/100)</f>
        <v>55084.5740667633</v>
      </c>
      <c r="C383" s="37" t="n">
        <f aca="false">2*PI()*B383</f>
        <v>346106.586428533</v>
      </c>
      <c r="D383" s="37" t="n">
        <f aca="false">SQRT(L_Rp0^2+L_Rp1^2*C383)</f>
        <v>264307822.938756</v>
      </c>
      <c r="E383" s="5" t="str">
        <f aca="false">COMPLEX(D383,C383*L_Mp)</f>
        <v>264307822.938756+5112935403.08042i</v>
      </c>
      <c r="F383" s="5" t="str">
        <f aca="false">IMDIV(1,E383)</f>
        <v>1.00834791345586e-11-1.95061110488786e-10i</v>
      </c>
      <c r="G383" s="5" t="str">
        <f aca="false">COMPLEX(0,C383*L_Cf)</f>
        <v>3.65979260260688e-10i</v>
      </c>
      <c r="H383" s="5" t="str">
        <f aca="false">COMPLEX(0,C383*L_Cbv)</f>
        <v>3.65979260260688e-09i</v>
      </c>
      <c r="I383" s="5" t="str">
        <f aca="false">COMPLEX(L_Rsq+L_Rh,C383*(L_Md+L_Mh)-1/(C383*L_Cd))</f>
        <v>552400610.124532-2024265331.22544i</v>
      </c>
      <c r="J383" s="5" t="str">
        <f aca="false">IMDIV(1,I383)</f>
        <v>1.25465849247343e-10+4.59768081767501e-10i</v>
      </c>
      <c r="K383" s="5" t="str">
        <f aca="false">IMSUM(F383,G383,H383)</f>
        <v>1.00834791345586e-11+3.83071075237878e-09i</v>
      </c>
      <c r="L383" s="5" t="str">
        <f aca="false">IMSUM(IMPRODUCT(IMSUM(F383,G383),H383),IMPRODUCT(IMSUM(J383,L_Yv),K383))</f>
        <v>-2.38547821538254e-18+5.29824303477326e-19i</v>
      </c>
      <c r="M383" s="37" t="n">
        <f aca="false">IMABS(IMDIV(IMPRODUCT(J383,F383,H383),L383))^2</f>
        <v>1.94366599746833E-020</v>
      </c>
      <c r="N383" s="5" t="str">
        <f aca="false">IMDIV(IMPRODUCT(L_Yv,K383,E383),H383)</f>
        <v>0.000581477210465265+0.0107019788325881i</v>
      </c>
      <c r="O383" s="37" t="n">
        <f aca="false">IMABS(IMSUM(1,IMPRODUCT(E383,G383),N383))^2</f>
        <v>0.769567802847645</v>
      </c>
      <c r="P383" s="37" t="n">
        <f aca="false">IMABS(N383)^2</f>
        <v>0.000114870466679454</v>
      </c>
      <c r="Q383" s="37" t="n">
        <f aca="false">p_Rb^2/(1+(C383*p_Rb*L_Ctot)^2)</f>
        <v>1376108719753.51</v>
      </c>
      <c r="R383" s="37" t="n">
        <f aca="false">M383*L_Kt^2*Q383</f>
        <v>5.36799137101868E-006</v>
      </c>
      <c r="S383" s="37" t="n">
        <f aca="false">L_kT4*D383</f>
        <v>4.35199216866483E-012</v>
      </c>
      <c r="T383" s="37" t="n">
        <f aca="false">L_kT4*L_Rsq*O383</f>
        <v>3.97519585475339E-012</v>
      </c>
      <c r="U383" s="37" t="n">
        <f aca="false">L_kT4*L_Rh*O383</f>
        <v>3.02449930500501E-012</v>
      </c>
      <c r="V383" s="37" t="n">
        <f aca="false">L_kT4*p_Rv*P383</f>
        <v>9.45706725289962E-013</v>
      </c>
      <c r="W383" s="37" t="n">
        <f aca="false">L_kT4/p_Rb*Q383/R383</f>
        <v>4.22103570149163E-015</v>
      </c>
      <c r="X383" s="37" t="n">
        <f aca="false">p_en^2*(1+p_fc/B383)/R383</f>
        <v>1.19441669231594E-011</v>
      </c>
      <c r="Y383" s="37" t="n">
        <f aca="false">p_in^2*Q383/R383</f>
        <v>6.40886238744252E-016</v>
      </c>
      <c r="Z383" s="37" t="n">
        <f aca="false">p_eo^2/L_G^2/R383</f>
        <v>1.18099533543799E-011</v>
      </c>
      <c r="AA383" s="37" t="n">
        <f aca="false">SUM(S383:Z383)</f>
        <v>3.60563762531928E-011</v>
      </c>
      <c r="AB383" s="47" t="n">
        <f aca="false">10*LOG10(AA383/L_PREF^2)</f>
        <v>-10.4507791431938</v>
      </c>
      <c r="AC383" s="47" t="n">
        <f aca="false">10*LOG10(S383/L_PREF^2)</f>
        <v>-19.633718861426</v>
      </c>
      <c r="AD383" s="47" t="n">
        <f aca="false">10*LOG10(T383/L_PREF^2)</f>
        <v>-20.0270146046296</v>
      </c>
      <c r="AE383" s="47" t="n">
        <f aca="false">10*LOG10(U383/L_PREF^2)</f>
        <v>-21.2140650228043</v>
      </c>
      <c r="AF383" s="47" t="n">
        <f aca="false">10*LOG10(V383/L_PREF^2)</f>
        <v>-26.2630351384298</v>
      </c>
      <c r="AG383" s="47" t="n">
        <f aca="false">10*LOG10(W383/L_PREF^2)</f>
        <v>-49.7664096589821</v>
      </c>
      <c r="AH383" s="47" t="n">
        <f aca="false">10*LOG10(X383/L_PREF^2)</f>
        <v>-15.249041271786</v>
      </c>
      <c r="AI383" s="47" t="n">
        <f aca="false">10*LOG10(Y383/L_PREF^2)</f>
        <v>-57.9527904491412</v>
      </c>
      <c r="AJ383" s="47" t="n">
        <f aca="false">10*LOG10(Z383/L_PREF^2)</f>
        <v>-15.2981180903836</v>
      </c>
      <c r="AK383" s="47" t="n">
        <f aca="false">10*LOG10(R383/$R$6)</f>
        <v>-5.9895909560424</v>
      </c>
      <c r="AL383" s="37" t="n">
        <f aca="false">(12194^2*B383^4/((B383^2+20.6^2)*SQRT((B383^2+107.7^2)*(B383^2+737.9^2))*(B383^2+12194^2))*1.2589254)^2</f>
        <v>0.00345804544161089</v>
      </c>
      <c r="AM383" s="37" t="n">
        <v>0</v>
      </c>
      <c r="AN383" s="37" t="n">
        <v>0</v>
      </c>
      <c r="AO383" s="37" t="n">
        <v>0</v>
      </c>
      <c r="AP383" s="37" t="n">
        <v>0</v>
      </c>
      <c r="AQ383" s="37" t="n">
        <v>0</v>
      </c>
      <c r="AR383" s="37" t="n">
        <v>0</v>
      </c>
      <c r="AS383" s="37" t="n">
        <v>0</v>
      </c>
      <c r="AT383" s="37" t="n">
        <v>0</v>
      </c>
      <c r="AU383" s="37" t="n">
        <v>0</v>
      </c>
      <c r="AV383" s="37" t="n">
        <v>0</v>
      </c>
      <c r="AW383" s="37" t="n">
        <v>0</v>
      </c>
      <c r="AX383" s="37" t="n">
        <v>0</v>
      </c>
      <c r="AY383" s="37" t="n">
        <v>0</v>
      </c>
      <c r="AZ383" s="37" t="n">
        <v>0</v>
      </c>
      <c r="BA383" s="37" t="n">
        <v>0</v>
      </c>
      <c r="BB383" s="37" t="n">
        <v>0</v>
      </c>
      <c r="BC383" s="37" t="n">
        <v>0</v>
      </c>
      <c r="BD383" s="37" t="n">
        <v>0</v>
      </c>
      <c r="BE383" s="37" t="n">
        <f aca="false">IF(B383&gt;2000,AK383,-999)</f>
        <v>-5.9895909560424</v>
      </c>
      <c r="BF383" s="37" t="n">
        <f aca="false">IF(AND(B383&lt;1000,AK383&gt;=-3),B383,1000000000)</f>
        <v>1000000000</v>
      </c>
    </row>
    <row r="384" customFormat="false" ht="15" hidden="false" customHeight="false" outlineLevel="0" collapsed="false">
      <c r="A384" s="5" t="n">
        <v>345</v>
      </c>
      <c r="B384" s="47" t="n">
        <f aca="false">20*10^(A384/100)</f>
        <v>56367.6586252891</v>
      </c>
      <c r="C384" s="37" t="n">
        <f aca="false">2*PI()*B384</f>
        <v>354168.444474531</v>
      </c>
      <c r="D384" s="37" t="n">
        <f aca="false">SQRT(L_Rp0^2+L_Rp1^2*C384)</f>
        <v>267112326.533325</v>
      </c>
      <c r="E384" s="5" t="str">
        <f aca="false">COMPLEX(D384,C384*L_Mp)</f>
        <v>267112326.533325+5232030967.95637i</v>
      </c>
      <c r="F384" s="5" t="str">
        <f aca="false">IMDIV(1,E384)</f>
        <v>9.73246453138971e-12-1.90633492971411e-10i</v>
      </c>
      <c r="G384" s="5" t="str">
        <f aca="false">COMPLEX(0,C384*L_Cf)</f>
        <v>3.74504012344857e-10i</v>
      </c>
      <c r="H384" s="5" t="str">
        <f aca="false">COMPLEX(0,C384*L_Cbv)</f>
        <v>3.74504012344857e-09i</v>
      </c>
      <c r="I384" s="5" t="str">
        <f aca="false">COMPLEX(L_Rsq+L_Rh,C384*(L_Md+L_Mh)-1/(C384*L_Cd))</f>
        <v>552400610.124532-1918124881.68109i</v>
      </c>
      <c r="J384" s="5" t="str">
        <f aca="false">IMDIV(1,I384)</f>
        <v>1.38642609215936e-10+4.81414816573652e-10i</v>
      </c>
      <c r="K384" s="5" t="str">
        <f aca="false">IMSUM(F384,G384,H384)</f>
        <v>9.73246453138971e-12+3.92891064282202e-09i</v>
      </c>
      <c r="L384" s="5" t="str">
        <f aca="false">IMSUM(IMPRODUCT(IMSUM(F384,G384),H384),IMPRODUCT(IMSUM(J384,L_Yv),K384))</f>
        <v>-2.57866946981552e-18+5.93706066980032e-19i</v>
      </c>
      <c r="M384" s="37" t="n">
        <f aca="false">IMABS(IMDIV(IMPRODUCT(J384,F384,H384),L384))^2</f>
        <v>1.83172756982146E-020</v>
      </c>
      <c r="N384" s="5" t="str">
        <f aca="false">IMDIV(IMPRODUCT(L_Yv,K384,E384),H384)</f>
        <v>0.000587647118373316+0.0109764284572779i</v>
      </c>
      <c r="O384" s="37" t="n">
        <f aca="false">IMABS(IMSUM(1,IMPRODUCT(E384,G384),N384))^2</f>
        <v>0.931676398997863</v>
      </c>
      <c r="P384" s="37" t="n">
        <f aca="false">IMABS(N384)^2</f>
        <v>0.000120827310813473</v>
      </c>
      <c r="Q384" s="37" t="n">
        <f aca="false">p_Rb^2/(1+(C384*p_Rb*L_Ctot)^2)</f>
        <v>1314173624924.13</v>
      </c>
      <c r="R384" s="37" t="n">
        <f aca="false">M384*L_Kt^2*Q384</f>
        <v>4.83115591937134E-006</v>
      </c>
      <c r="S384" s="37" t="n">
        <f aca="false">L_kT4*D384</f>
        <v>4.39817005906873E-012</v>
      </c>
      <c r="T384" s="37" t="n">
        <f aca="false">L_kT4*L_Rsq*O384</f>
        <v>4.81256641138493E-012</v>
      </c>
      <c r="U384" s="37" t="n">
        <f aca="false">L_kT4*L_Rh*O384</f>
        <v>3.66160669772261E-012</v>
      </c>
      <c r="V384" s="37" t="n">
        <f aca="false">L_kT4*p_Rv*P384</f>
        <v>9.9474829116751E-013</v>
      </c>
      <c r="W384" s="37" t="n">
        <f aca="false">L_kT4/p_Rb*Q384/R384</f>
        <v>4.47898677852451E-015</v>
      </c>
      <c r="X384" s="37" t="n">
        <f aca="false">p_en^2*(1+p_fc/B384)/R384</f>
        <v>1.32708489137104E-011</v>
      </c>
      <c r="Y384" s="37" t="n">
        <f aca="false">p_in^2*Q384/R384</f>
        <v>6.80051341157674E-016</v>
      </c>
      <c r="Z384" s="37" t="n">
        <f aca="false">p_eo^2/L_G^2/R384</f>
        <v>1.31222690297054E-011</v>
      </c>
      <c r="AA384" s="37" t="n">
        <f aca="false">SUM(S384:Z384)</f>
        <v>4.02653684408793E-011</v>
      </c>
      <c r="AB384" s="47" t="n">
        <f aca="false">10*LOG10(AA384/L_PREF^2)</f>
        <v>-9.9712831394922</v>
      </c>
      <c r="AC384" s="47" t="n">
        <f aca="false">10*LOG10(S384/L_PREF^2)</f>
        <v>-19.5878797360486</v>
      </c>
      <c r="AD384" s="47" t="n">
        <f aca="false">10*LOG10(T384/L_PREF^2)</f>
        <v>-19.1968325568953</v>
      </c>
      <c r="AE384" s="47" t="n">
        <f aca="false">10*LOG10(U384/L_PREF^2)</f>
        <v>-20.3838829750701</v>
      </c>
      <c r="AF384" s="47" t="n">
        <f aca="false">10*LOG10(V384/L_PREF^2)</f>
        <v>-26.0434678956348</v>
      </c>
      <c r="AG384" s="47" t="n">
        <f aca="false">10*LOG10(W384/L_PREF^2)</f>
        <v>-49.5088021087084</v>
      </c>
      <c r="AH384" s="47" t="n">
        <f aca="false">10*LOG10(X384/L_PREF^2)</f>
        <v>-14.7916128649307</v>
      </c>
      <c r="AI384" s="47" t="n">
        <f aca="false">10*LOG10(Y384/L_PREF^2)</f>
        <v>-57.6951828988676</v>
      </c>
      <c r="AJ384" s="47" t="n">
        <f aca="false">10*LOG10(Z384/L_PREF^2)</f>
        <v>-14.8405105401102</v>
      </c>
      <c r="AK384" s="47" t="n">
        <f aca="false">10*LOG10(R384/$R$6)</f>
        <v>-6.44719850631577</v>
      </c>
      <c r="AL384" s="37" t="n">
        <f aca="false">(12194^2*B384^4/((B384^2+20.6^2)*SQRT((B384^2+107.7^2)*(B384^2+737.9^2))*(B384^2+12194^2))*1.2589254)^2</f>
        <v>0.0031671047499722</v>
      </c>
      <c r="AM384" s="37" t="n">
        <v>0</v>
      </c>
      <c r="AN384" s="37" t="n">
        <v>0</v>
      </c>
      <c r="AO384" s="37" t="n">
        <v>0</v>
      </c>
      <c r="AP384" s="37" t="n">
        <v>0</v>
      </c>
      <c r="AQ384" s="37" t="n">
        <v>0</v>
      </c>
      <c r="AR384" s="37" t="n">
        <v>0</v>
      </c>
      <c r="AS384" s="37" t="n">
        <v>0</v>
      </c>
      <c r="AT384" s="37" t="n">
        <v>0</v>
      </c>
      <c r="AU384" s="37" t="n">
        <v>0</v>
      </c>
      <c r="AV384" s="37" t="n">
        <v>0</v>
      </c>
      <c r="AW384" s="37" t="n">
        <v>0</v>
      </c>
      <c r="AX384" s="37" t="n">
        <v>0</v>
      </c>
      <c r="AY384" s="37" t="n">
        <v>0</v>
      </c>
      <c r="AZ384" s="37" t="n">
        <v>0</v>
      </c>
      <c r="BA384" s="37" t="n">
        <v>0</v>
      </c>
      <c r="BB384" s="37" t="n">
        <v>0</v>
      </c>
      <c r="BC384" s="37" t="n">
        <v>0</v>
      </c>
      <c r="BD384" s="37" t="n">
        <v>0</v>
      </c>
      <c r="BE384" s="37" t="n">
        <f aca="false">IF(B384&gt;2000,AK384,-999)</f>
        <v>-6.44719850631577</v>
      </c>
      <c r="BF384" s="37" t="n">
        <f aca="false">IF(AND(B384&lt;1000,AK384&gt;=-3),B384,1000000000)</f>
        <v>1000000000</v>
      </c>
    </row>
    <row r="385" customFormat="false" ht="15" hidden="false" customHeight="false" outlineLevel="0" collapsed="false">
      <c r="A385" s="5" t="n">
        <v>346</v>
      </c>
      <c r="B385" s="47" t="n">
        <f aca="false">20*10^(A385/100)</f>
        <v>57680.6300625321</v>
      </c>
      <c r="C385" s="37" t="n">
        <f aca="false">2*PI()*B385</f>
        <v>362418.087317763</v>
      </c>
      <c r="D385" s="37" t="n">
        <f aca="false">SQRT(L_Rp0^2+L_Rp1^2*C385)</f>
        <v>269951995.502602</v>
      </c>
      <c r="E385" s="5" t="str">
        <f aca="false">COMPLEX(D385,C385*L_Mp)</f>
        <v>269951995.502602+5353900624.90564i</v>
      </c>
      <c r="F385" s="5" t="str">
        <f aca="false">IMDIV(1,E385)</f>
        <v>9.39384111267155e-12-1.8630605678524e-10i</v>
      </c>
      <c r="G385" s="5" t="str">
        <f aca="false">COMPLEX(0,C385*L_Cf)</f>
        <v>3.83227331413517e-10i</v>
      </c>
      <c r="H385" s="5" t="str">
        <f aca="false">COMPLEX(0,C385*L_Cbv)</f>
        <v>3.83227331413517e-09i</v>
      </c>
      <c r="I385" s="5" t="str">
        <f aca="false">COMPLEX(L_Rsq+L_Rh,C385*(L_Md+L_Mh)-1/(C385*L_Cd))</f>
        <v>552400610.124532-1813001447.33839i</v>
      </c>
      <c r="J385" s="5" t="str">
        <f aca="false">IMDIV(1,I385)</f>
        <v>1.53781194733961e-10+5.0471618516722e-10i</v>
      </c>
      <c r="K385" s="5" t="str">
        <f aca="false">IMSUM(F385,G385,H385)</f>
        <v>9.39384111267155e-12+4.02919458876345e-09i</v>
      </c>
      <c r="L385" s="5" t="str">
        <f aca="false">IMSUM(IMPRODUCT(IMSUM(F385,G385),H385),IMPRODUCT(IMSUM(J385,L_Yv),K385))</f>
        <v>-2.78679248408885e-18+6.68413737116953e-19i</v>
      </c>
      <c r="M385" s="37" t="n">
        <f aca="false">IMABS(IMDIV(IMPRODUCT(J385,F385,H385),L385))^2</f>
        <v>1.73227741627062E-020</v>
      </c>
      <c r="N385" s="5" t="str">
        <f aca="false">IMDIV(IMPRODUCT(L_Yv,K385,E385),H385)</f>
        <v>0.000593894390105724+0.011256697929626i</v>
      </c>
      <c r="O385" s="37" t="n">
        <f aca="false">IMABS(IMSUM(1,IMPRODUCT(E385,G385),N385))^2</f>
        <v>1.11811069807974</v>
      </c>
      <c r="P385" s="37" t="n">
        <f aca="false">IMABS(N385)^2</f>
        <v>0.000127065958825445</v>
      </c>
      <c r="Q385" s="37" t="n">
        <f aca="false">p_Rb^2/(1+(C385*p_Rb*L_Ctot)^2)</f>
        <v>1255026068547.53</v>
      </c>
      <c r="R385" s="37" t="n">
        <f aca="false">M385*L_Kt^2*Q385</f>
        <v>4.36322506425668E-006</v>
      </c>
      <c r="S385" s="37" t="n">
        <f aca="false">L_kT4*D385</f>
        <v>4.4449269691688E-012</v>
      </c>
      <c r="T385" s="37" t="n">
        <f aca="false">L_kT4*L_Rsq*O385</f>
        <v>5.77559117691147E-012</v>
      </c>
      <c r="U385" s="37" t="n">
        <f aca="false">L_kT4*L_Rh*O385</f>
        <v>4.39431719563551E-012</v>
      </c>
      <c r="V385" s="37" t="n">
        <f aca="false">L_kT4*p_Rv*P385</f>
        <v>1.04610989482586E-012</v>
      </c>
      <c r="W385" s="37" t="n">
        <f aca="false">L_kT4/p_Rb*Q385/R385</f>
        <v>4.73612568635338E-015</v>
      </c>
      <c r="X385" s="37" t="n">
        <f aca="false">p_en^2*(1+p_fc/B385)/R385</f>
        <v>1.46934789858397E-011</v>
      </c>
      <c r="Y385" s="37" t="n">
        <f aca="false">p_in^2*Q385/R385</f>
        <v>7.190931306917E-016</v>
      </c>
      <c r="Z385" s="37" t="n">
        <f aca="false">p_eo^2/L_G^2/R385</f>
        <v>1.45295570970609E-011</v>
      </c>
      <c r="AA385" s="37" t="n">
        <f aca="false">SUM(S385:Z385)</f>
        <v>4.48894365382593E-011</v>
      </c>
      <c r="AB385" s="47" t="n">
        <f aca="false">10*LOG10(AA385/L_PREF^2)</f>
        <v>-9.49915837248665</v>
      </c>
      <c r="AC385" s="47" t="n">
        <f aca="false">10*LOG10(S385/L_PREF^2)</f>
        <v>-19.54195361488</v>
      </c>
      <c r="AD385" s="47" t="n">
        <f aca="false">10*LOG10(T385/L_PREF^2)</f>
        <v>-18.4046354705294</v>
      </c>
      <c r="AE385" s="47" t="n">
        <f aca="false">10*LOG10(U385/L_PREF^2)</f>
        <v>-19.5916858887041</v>
      </c>
      <c r="AF385" s="47" t="n">
        <f aca="false">10*LOG10(V385/L_PREF^2)</f>
        <v>-25.8248268135741</v>
      </c>
      <c r="AG385" s="47" t="n">
        <f aca="false">10*LOG10(W385/L_PREF^2)</f>
        <v>-49.2663677224033</v>
      </c>
      <c r="AH385" s="47" t="n">
        <f aca="false">10*LOG10(X385/L_PREF^2)</f>
        <v>-14.3493535513813</v>
      </c>
      <c r="AI385" s="47" t="n">
        <f aca="false">10*LOG10(Y385/L_PREF^2)</f>
        <v>-57.4527485125625</v>
      </c>
      <c r="AJ385" s="47" t="n">
        <f aca="false">10*LOG10(Z385/L_PREF^2)</f>
        <v>-14.3980761538054</v>
      </c>
      <c r="AK385" s="47" t="n">
        <f aca="false">10*LOG10(R385/$R$6)</f>
        <v>-6.88963289262064</v>
      </c>
      <c r="AL385" s="37" t="n">
        <f aca="false">(12194^2*B385^4/((B385^2+20.6^2)*SQRT((B385^2+107.7^2)*(B385^2+737.9^2))*(B385^2+12194^2))*1.2589254)^2</f>
        <v>0.00290011565073825</v>
      </c>
      <c r="AM385" s="37" t="n">
        <v>0</v>
      </c>
      <c r="AN385" s="37" t="n">
        <v>0</v>
      </c>
      <c r="AO385" s="37" t="n">
        <v>0</v>
      </c>
      <c r="AP385" s="37" t="n">
        <v>0</v>
      </c>
      <c r="AQ385" s="37" t="n">
        <v>0</v>
      </c>
      <c r="AR385" s="37" t="n">
        <v>0</v>
      </c>
      <c r="AS385" s="37" t="n">
        <v>0</v>
      </c>
      <c r="AT385" s="37" t="n">
        <v>0</v>
      </c>
      <c r="AU385" s="37" t="n">
        <v>0</v>
      </c>
      <c r="AV385" s="37" t="n">
        <v>0</v>
      </c>
      <c r="AW385" s="37" t="n">
        <v>0</v>
      </c>
      <c r="AX385" s="37" t="n">
        <v>0</v>
      </c>
      <c r="AY385" s="37" t="n">
        <v>0</v>
      </c>
      <c r="AZ385" s="37" t="n">
        <v>0</v>
      </c>
      <c r="BA385" s="37" t="n">
        <v>0</v>
      </c>
      <c r="BB385" s="37" t="n">
        <v>0</v>
      </c>
      <c r="BC385" s="37" t="n">
        <v>0</v>
      </c>
      <c r="BD385" s="37" t="n">
        <v>0</v>
      </c>
      <c r="BE385" s="37" t="n">
        <f aca="false">IF(B385&gt;2000,AK385,-999)</f>
        <v>-6.88963289262064</v>
      </c>
      <c r="BF385" s="37" t="n">
        <f aca="false">IF(AND(B385&lt;1000,AK385&gt;=-3),B385,1000000000)</f>
        <v>1000000000</v>
      </c>
    </row>
    <row r="386" customFormat="false" ht="15" hidden="false" customHeight="false" outlineLevel="0" collapsed="false">
      <c r="A386" s="5" t="n">
        <v>347</v>
      </c>
      <c r="B386" s="47" t="n">
        <f aca="false">20*10^(A386/100)</f>
        <v>59024.1845333277</v>
      </c>
      <c r="C386" s="37" t="n">
        <f aca="false">2*PI()*B386</f>
        <v>370859.889028062</v>
      </c>
      <c r="D386" s="37" t="n">
        <f aca="false">SQRT(L_Rp0^2+L_Rp1^2*C386)</f>
        <v>272827213.73828</v>
      </c>
      <c r="E386" s="5" t="str">
        <f aca="false">COMPLEX(D386,C386*L_Mp)</f>
        <v>272827213.73828+5478608990.83349i</v>
      </c>
      <c r="F386" s="5" t="str">
        <f aca="false">IMDIV(1,E386)</f>
        <v>9.06716253671753e-12-1.82076551361413e-10i</v>
      </c>
      <c r="G386" s="5" t="str">
        <f aca="false">COMPLEX(0,C386*L_Cf)</f>
        <v>3.92153842685906e-10i</v>
      </c>
      <c r="H386" s="5" t="str">
        <f aca="false">COMPLEX(0,C386*L_Cbv)</f>
        <v>3.92153842685906e-09i</v>
      </c>
      <c r="I386" s="5" t="str">
        <f aca="false">COMPLEX(L_Rsq+L_Rh,C386*(L_Md+L_Mh)-1/(C386*L_Cd))</f>
        <v>552400610.124532-1708839290.36098i</v>
      </c>
      <c r="J386" s="5" t="str">
        <f aca="false">IMDIV(1,I386)</f>
        <v>1.71272238761779e-10+5.29826950912009e-10i</v>
      </c>
      <c r="K386" s="5" t="str">
        <f aca="false">IMSUM(F386,G386,H386)</f>
        <v>9.06716253671753e-12+4.13161571818355e-09i</v>
      </c>
      <c r="L386" s="5" t="str">
        <f aca="false">IMSUM(IMPRODUCT(IMSUM(F386,G386),H386),IMPRODUCT(IMSUM(J386,L_Yv),K386))</f>
        <v>-3.01129644129284e-18+7.56255558583587e-19i</v>
      </c>
      <c r="M386" s="37" t="n">
        <f aca="false">IMABS(IMDIV(IMPRODUCT(J386,F386,H386),L386))^2</f>
        <v>1.64384237049814E-020</v>
      </c>
      <c r="N386" s="5" t="str">
        <f aca="false">IMDIV(IMPRODUCT(L_Yv,K386,E386),H386)</f>
        <v>0.000600219870224216+0.0115429358522164i</v>
      </c>
      <c r="O386" s="37" t="n">
        <f aca="false">IMABS(IMSUM(1,IMPRODUCT(E386,G386),N386))^2</f>
        <v>1.3316266062491</v>
      </c>
      <c r="P386" s="37" t="n">
        <f aca="false">IMABS(N386)^2</f>
        <v>0.000133599631980995</v>
      </c>
      <c r="Q386" s="37" t="n">
        <f aca="false">p_Rb^2/(1+(C386*p_Rb*L_Ctot)^2)</f>
        <v>1198540590726.59</v>
      </c>
      <c r="R386" s="37" t="n">
        <f aca="false">M386*L_Kt^2*Q386</f>
        <v>3.95412452498541E-006</v>
      </c>
      <c r="S386" s="37" t="n">
        <f aca="false">L_kT4*D386</f>
        <v>4.49226921997979E-012</v>
      </c>
      <c r="T386" s="37" t="n">
        <f aca="false">L_kT4*L_Rsq*O386</f>
        <v>6.8785057608351E-012</v>
      </c>
      <c r="U386" s="37" t="n">
        <f aca="false">L_kT4*L_Rh*O386</f>
        <v>5.23346186031111E-012</v>
      </c>
      <c r="V386" s="37" t="n">
        <f aca="false">L_kT4*p_Rv*P386</f>
        <v>1.09990038443266E-012</v>
      </c>
      <c r="W386" s="37" t="n">
        <f aca="false">L_kT4/p_Rb*Q386/R386</f>
        <v>4.99091866369341E-015</v>
      </c>
      <c r="X386" s="37" t="n">
        <f aca="false">p_en^2*(1+p_fc/B386)/R386</f>
        <v>1.62130529083935E-011</v>
      </c>
      <c r="Y386" s="37" t="n">
        <f aca="false">p_in^2*Q386/R386</f>
        <v>7.57778734049235E-016</v>
      </c>
      <c r="Z386" s="37" t="n">
        <f aca="false">p_eo^2/L_G^2/R386</f>
        <v>1.60328101196253E-011</v>
      </c>
      <c r="AA386" s="37" t="n">
        <f aca="false">SUM(S386:Z386)</f>
        <v>4.99557489509752E-011</v>
      </c>
      <c r="AB386" s="47" t="n">
        <f aca="false">10*LOG10(AA386/L_PREF^2)</f>
        <v>-9.03474516903772</v>
      </c>
      <c r="AC386" s="47" t="n">
        <f aca="false">10*LOG10(S386/L_PREF^2)</f>
        <v>-19.4959421585607</v>
      </c>
      <c r="AD386" s="47" t="n">
        <f aca="false">10*LOG10(T386/L_PREF^2)</f>
        <v>-17.6456588598554</v>
      </c>
      <c r="AE386" s="47" t="n">
        <f aca="false">10*LOG10(U386/L_PREF^2)</f>
        <v>-18.8327092780301</v>
      </c>
      <c r="AF386" s="47" t="n">
        <f aca="false">10*LOG10(V386/L_PREF^2)</f>
        <v>-25.6070663748814</v>
      </c>
      <c r="AG386" s="47" t="n">
        <f aca="false">10*LOG10(W386/L_PREF^2)</f>
        <v>-49.0387949904088</v>
      </c>
      <c r="AH386" s="47" t="n">
        <f aca="false">10*LOG10(X386/L_PREF^2)</f>
        <v>-13.9219519138187</v>
      </c>
      <c r="AI386" s="47" t="n">
        <f aca="false">10*LOG10(Y386/L_PREF^2)</f>
        <v>-57.2251757805679</v>
      </c>
      <c r="AJ386" s="47" t="n">
        <f aca="false">10*LOG10(Z386/L_PREF^2)</f>
        <v>-13.9705034218111</v>
      </c>
      <c r="AK386" s="47" t="n">
        <f aca="false">10*LOG10(R386/$R$6)</f>
        <v>-7.31720562461495</v>
      </c>
      <c r="AL386" s="37" t="n">
        <f aca="false">(12194^2*B386^4/((B386^2+20.6^2)*SQRT((B386^2+107.7^2)*(B386^2+737.9^2))*(B386^2+12194^2))*1.2589254)^2</f>
        <v>0.00265517169212761</v>
      </c>
      <c r="AM386" s="37" t="n">
        <v>0</v>
      </c>
      <c r="AN386" s="37" t="n">
        <v>0</v>
      </c>
      <c r="AO386" s="37" t="n">
        <v>0</v>
      </c>
      <c r="AP386" s="37" t="n">
        <v>0</v>
      </c>
      <c r="AQ386" s="37" t="n">
        <v>0</v>
      </c>
      <c r="AR386" s="37" t="n">
        <v>0</v>
      </c>
      <c r="AS386" s="37" t="n">
        <v>0</v>
      </c>
      <c r="AT386" s="37" t="n">
        <v>0</v>
      </c>
      <c r="AU386" s="37" t="n">
        <v>0</v>
      </c>
      <c r="AV386" s="37" t="n">
        <v>0</v>
      </c>
      <c r="AW386" s="37" t="n">
        <v>0</v>
      </c>
      <c r="AX386" s="37" t="n">
        <v>0</v>
      </c>
      <c r="AY386" s="37" t="n">
        <v>0</v>
      </c>
      <c r="AZ386" s="37" t="n">
        <v>0</v>
      </c>
      <c r="BA386" s="37" t="n">
        <v>0</v>
      </c>
      <c r="BB386" s="37" t="n">
        <v>0</v>
      </c>
      <c r="BC386" s="37" t="n">
        <v>0</v>
      </c>
      <c r="BD386" s="37" t="n">
        <v>0</v>
      </c>
      <c r="BE386" s="37" t="n">
        <f aca="false">IF(B386&gt;2000,AK386,-999)</f>
        <v>-7.31720562461495</v>
      </c>
      <c r="BF386" s="37" t="n">
        <f aca="false">IF(AND(B386&lt;1000,AK386&gt;=-3),B386,1000000000)</f>
        <v>1000000000</v>
      </c>
    </row>
    <row r="387" customFormat="false" ht="15" hidden="false" customHeight="false" outlineLevel="0" collapsed="false">
      <c r="A387" s="5" t="n">
        <v>348</v>
      </c>
      <c r="B387" s="47" t="n">
        <f aca="false">20*10^(A387/100)</f>
        <v>60399.0344080403</v>
      </c>
      <c r="C387" s="37" t="n">
        <f aca="false">2*PI()*B387</f>
        <v>379498.325560433</v>
      </c>
      <c r="D387" s="37" t="n">
        <f aca="false">SQRT(L_Rp0^2+L_Rp1^2*C387)</f>
        <v>275738369.623261</v>
      </c>
      <c r="E387" s="5" t="str">
        <f aca="false">COMPLEX(D387,C387*L_Mp)</f>
        <v>275738369.623261+5606222187.76624i</v>
      </c>
      <c r="F387" s="5" t="str">
        <f aca="false">IMDIV(1,E387)</f>
        <v>8.75199898490092e-12-1.77942775840363e-10i</v>
      </c>
      <c r="G387" s="5" t="str">
        <f aca="false">COMPLEX(0,C387*L_Cf)</f>
        <v>4.01288279116457e-10i</v>
      </c>
      <c r="H387" s="5" t="str">
        <f aca="false">COMPLEX(0,C387*L_Cbv)</f>
        <v>4.01288279116457e-09i</v>
      </c>
      <c r="I387" s="5" t="str">
        <f aca="false">COMPLEX(L_Rsq+L_Rh,C387*(L_Md+L_Mh)-1/(C387*L_Cd))</f>
        <v>552400610.124532-1605583182.59448i</v>
      </c>
      <c r="J387" s="5" t="str">
        <f aca="false">IMDIV(1,I387)</f>
        <v>1.91603267346759e-10+5.56905582911572e-10i</v>
      </c>
      <c r="K387" s="5" t="str">
        <f aca="false">IMSUM(F387,G387,H387)</f>
        <v>8.75199898490092e-12+4.23622829444066e-09i</v>
      </c>
      <c r="L387" s="5" t="str">
        <f aca="false">IMSUM(IMPRODUCT(IMSUM(F387,G387),H387),IMPRODUCT(IMSUM(J387,L_Yv),K387))</f>
        <v>-3.25374409864331e-18+8.60142422241627e-19i</v>
      </c>
      <c r="M387" s="37" t="n">
        <f aca="false">IMABS(IMDIV(IMPRODUCT(J387,F387,H387),L387))^2</f>
        <v>1.56519530084007E-020</v>
      </c>
      <c r="N387" s="5" t="str">
        <f aca="false">IMDIV(IMPRODUCT(L_Yv,K387,E387),H387)</f>
        <v>0.000606624413171174+0.0118352939921845i</v>
      </c>
      <c r="O387" s="37" t="n">
        <f aca="false">IMABS(IMSUM(1,IMPRODUCT(E387,G387),N387))^2</f>
        <v>1.57526516414485</v>
      </c>
      <c r="P387" s="37" t="n">
        <f aca="false">IMABS(N387)^2</f>
        <v>0.000140442177060094</v>
      </c>
      <c r="Q387" s="37" t="n">
        <f aca="false">p_Rb^2/(1+(C387*p_Rb*L_Ctot)^2)</f>
        <v>1144597378189.71</v>
      </c>
      <c r="R387" s="37" t="n">
        <f aca="false">M387*L_Kt^2*Q387</f>
        <v>3.59549514961353E-006</v>
      </c>
      <c r="S387" s="37" t="n">
        <f aca="false">L_kT4*D387</f>
        <v>4.54020320646697E-012</v>
      </c>
      <c r="T387" s="37" t="n">
        <f aca="false">L_kT4*L_Rsq*O387</f>
        <v>8.13701863237354E-012</v>
      </c>
      <c r="U387" s="37" t="n">
        <f aca="false">L_kT4*L_Rh*O387</f>
        <v>6.19099236808631E-012</v>
      </c>
      <c r="V387" s="37" t="n">
        <f aca="false">L_kT4*p_Rv*P387</f>
        <v>1.15623375789636E-012</v>
      </c>
      <c r="W387" s="37" t="n">
        <f aca="false">L_kT4/p_Rb*Q387/R387</f>
        <v>5.24169959025929E-015</v>
      </c>
      <c r="X387" s="37" t="n">
        <f aca="false">p_en^2*(1+p_fc/B387)/R387</f>
        <v>1.78295225807119E-011</v>
      </c>
      <c r="Y387" s="37" t="n">
        <f aca="false">p_in^2*Q387/R387</f>
        <v>7.95855181665826E-016</v>
      </c>
      <c r="Z387" s="37" t="n">
        <f aca="false">p_eo^2/L_G^2/R387</f>
        <v>1.76319881019055E-011</v>
      </c>
      <c r="AA387" s="37" t="n">
        <f aca="false">SUM(S387:Z387)</f>
        <v>5.54919962022125E-011</v>
      </c>
      <c r="AB387" s="47" t="n">
        <f aca="false">10*LOG10(AA387/L_PREF^2)</f>
        <v>-8.57829643446355</v>
      </c>
      <c r="AC387" s="47" t="n">
        <f aca="false">10*LOG10(S387/L_PREF^2)</f>
        <v>-19.449847002611</v>
      </c>
      <c r="AD387" s="47" t="n">
        <f aca="false">10*LOG10(T387/L_PREF^2)</f>
        <v>-16.9159468087152</v>
      </c>
      <c r="AE387" s="47" t="n">
        <f aca="false">10*LOG10(U387/L_PREF^2)</f>
        <v>-18.1029972268899</v>
      </c>
      <c r="AF387" s="47" t="n">
        <f aca="false">10*LOG10(V387/L_PREF^2)</f>
        <v>-25.3901434625592</v>
      </c>
      <c r="AG387" s="47" t="n">
        <f aca="false">10*LOG10(W387/L_PREF^2)</f>
        <v>-48.8258786407855</v>
      </c>
      <c r="AH387" s="47" t="n">
        <f aca="false">10*LOG10(X387/L_PREF^2)</f>
        <v>-13.5092027705549</v>
      </c>
      <c r="AI387" s="47" t="n">
        <f aca="false">10*LOG10(Y387/L_PREF^2)</f>
        <v>-57.0122594309446</v>
      </c>
      <c r="AJ387" s="47" t="n">
        <f aca="false">10*LOG10(Z387/L_PREF^2)</f>
        <v>-13.557587072188</v>
      </c>
      <c r="AK387" s="47" t="n">
        <f aca="false">10*LOG10(R387/$R$6)</f>
        <v>-7.73012197423798</v>
      </c>
      <c r="AL387" s="37" t="n">
        <f aca="false">(12194^2*B387^4/((B387^2+20.6^2)*SQRT((B387^2+107.7^2)*(B387^2+737.9^2))*(B387^2+12194^2))*1.2589254)^2</f>
        <v>0.00243051008973129</v>
      </c>
      <c r="AM387" s="37" t="n">
        <v>0</v>
      </c>
      <c r="AN387" s="37" t="n">
        <v>0</v>
      </c>
      <c r="AO387" s="37" t="n">
        <v>0</v>
      </c>
      <c r="AP387" s="37" t="n">
        <v>0</v>
      </c>
      <c r="AQ387" s="37" t="n">
        <v>0</v>
      </c>
      <c r="AR387" s="37" t="n">
        <v>0</v>
      </c>
      <c r="AS387" s="37" t="n">
        <v>0</v>
      </c>
      <c r="AT387" s="37" t="n">
        <v>0</v>
      </c>
      <c r="AU387" s="37" t="n">
        <v>0</v>
      </c>
      <c r="AV387" s="37" t="n">
        <v>0</v>
      </c>
      <c r="AW387" s="37" t="n">
        <v>0</v>
      </c>
      <c r="AX387" s="37" t="n">
        <v>0</v>
      </c>
      <c r="AY387" s="37" t="n">
        <v>0</v>
      </c>
      <c r="AZ387" s="37" t="n">
        <v>0</v>
      </c>
      <c r="BA387" s="37" t="n">
        <v>0</v>
      </c>
      <c r="BB387" s="37" t="n">
        <v>0</v>
      </c>
      <c r="BC387" s="37" t="n">
        <v>0</v>
      </c>
      <c r="BD387" s="37" t="n">
        <v>0</v>
      </c>
      <c r="BE387" s="37" t="n">
        <f aca="false">IF(B387&gt;2000,AK387,-999)</f>
        <v>-7.73012197423798</v>
      </c>
      <c r="BF387" s="37" t="n">
        <f aca="false">IF(AND(B387&lt;1000,AK387&gt;=-3),B387,1000000000)</f>
        <v>1000000000</v>
      </c>
    </row>
    <row r="388" customFormat="false" ht="15" hidden="false" customHeight="false" outlineLevel="0" collapsed="false">
      <c r="A388" s="5" t="n">
        <v>349</v>
      </c>
      <c r="B388" s="47" t="n">
        <f aca="false">20*10^(A388/100)</f>
        <v>61805.9086502718</v>
      </c>
      <c r="C388" s="37" t="n">
        <f aca="false">2*PI()*B388</f>
        <v>388337.977128272</v>
      </c>
      <c r="D388" s="37" t="n">
        <f aca="false">SQRT(L_Rp0^2+L_Rp1^2*C388)</f>
        <v>278685856.088951</v>
      </c>
      <c r="E388" s="5" t="str">
        <f aca="false">COMPLEX(D388,C388*L_Mp)</f>
        <v>278685856.088951+5736807877.91008i</v>
      </c>
      <c r="F388" s="5" t="str">
        <f aca="false">IMDIV(1,E388)</f>
        <v>8.44793652900621e-12-1.73902578020387e-10i</v>
      </c>
      <c r="G388" s="5" t="str">
        <f aca="false">COMPLEX(0,C388*L_Cf)</f>
        <v>4.10635483904274e-10i</v>
      </c>
      <c r="H388" s="5" t="str">
        <f aca="false">COMPLEX(0,C388*L_Cbv)</f>
        <v>4.10635483904274e-09i</v>
      </c>
      <c r="I388" s="5" t="str">
        <f aca="false">COMPLEX(L_Rsq+L_Rh,C388*(L_Md+L_Mh)-1/(C388*L_Cd))</f>
        <v>552400610.124532-1503178376.2838i</v>
      </c>
      <c r="J388" s="5" t="str">
        <f aca="false">IMDIV(1,I388)</f>
        <v>2.15386752982646e-10+5.8610490953025e-10i</v>
      </c>
      <c r="K388" s="5" t="str">
        <f aca="false">IMSUM(F388,G388,H388)</f>
        <v>8.44793652900621e-12+4.34308774492663e-09i</v>
      </c>
      <c r="L388" s="5" t="str">
        <f aca="false">IMSUM(IMPRODUCT(IMSUM(F388,G388),H388),IMPRODUCT(IMSUM(J388,L_Yv),K388))</f>
        <v>-3.51577789396767e-18+9.83771344909184e-19i</v>
      </c>
      <c r="M388" s="37" t="n">
        <f aca="false">IMABS(IMDIV(IMPRODUCT(J388,F388,H388),L388))^2</f>
        <v>1.49531337942881E-020</v>
      </c>
      <c r="N388" s="5" t="str">
        <f aca="false">IMDIV(IMPRODUCT(L_Yv,K388,E388),H388)</f>
        <v>0.000613108883395694+0.0121339273616859i</v>
      </c>
      <c r="O388" s="37" t="n">
        <f aca="false">IMABS(IMSUM(1,IMPRODUCT(E388,G388),N388))^2</f>
        <v>1.85238096145279</v>
      </c>
      <c r="P388" s="37" t="n">
        <f aca="false">IMABS(N388)^2</f>
        <v>0.000147608095721568</v>
      </c>
      <c r="Q388" s="37" t="n">
        <f aca="false">p_Rb^2/(1+(C388*p_Rb*L_Ctot)^2)</f>
        <v>1093082010150.8</v>
      </c>
      <c r="R388" s="37" t="n">
        <f aca="false">M388*L_Kt^2*Q388</f>
        <v>3.28036667344195E-006</v>
      </c>
      <c r="S388" s="37" t="n">
        <f aca="false">L_kT4*D388</f>
        <v>4.58873539848952E-012</v>
      </c>
      <c r="T388" s="37" t="n">
        <f aca="false">L_kT4*L_Rsq*O388</f>
        <v>9.56845789564438E-012</v>
      </c>
      <c r="U388" s="37" t="n">
        <f aca="false">L_kT4*L_Rh*O388</f>
        <v>7.28009268291548E-012</v>
      </c>
      <c r="V388" s="37" t="n">
        <f aca="false">L_kT4*p_Rv*P388</f>
        <v>1.21522940461858E-012</v>
      </c>
      <c r="W388" s="37" t="n">
        <f aca="false">L_kT4/p_Rb*Q388/R388</f>
        <v>5.48666498939713E-015</v>
      </c>
      <c r="X388" s="37" t="n">
        <f aca="false">p_en^2*(1+p_fc/B388)/R388</f>
        <v>1.95415806681624E-011</v>
      </c>
      <c r="Y388" s="37" t="n">
        <f aca="false">p_in^2*Q388/R388</f>
        <v>8.330486489517E-016</v>
      </c>
      <c r="Z388" s="37" t="n">
        <f aca="false">p_eo^2/L_G^2/R388</f>
        <v>1.93258053167349E-011</v>
      </c>
      <c r="AA388" s="37" t="n">
        <f aca="false">SUM(S388:Z388)</f>
        <v>6.15262210802037E-011</v>
      </c>
      <c r="AB388" s="47" t="n">
        <f aca="false">10*LOG10(AA388/L_PREF^2)</f>
        <v>-8.12999749641753</v>
      </c>
      <c r="AC388" s="47" t="n">
        <f aca="false">10*LOG10(S388/L_PREF^2)</f>
        <v>-19.4036697575338</v>
      </c>
      <c r="AD388" s="47" t="n">
        <f aca="false">10*LOG10(T388/L_PREF^2)</f>
        <v>-16.212180411559</v>
      </c>
      <c r="AE388" s="47" t="n">
        <f aca="false">10*LOG10(U388/L_PREF^2)</f>
        <v>-17.3992308297337</v>
      </c>
      <c r="AF388" s="47" t="n">
        <f aca="false">10*LOG10(V388/L_PREF^2)</f>
        <v>-25.174017218252</v>
      </c>
      <c r="AG388" s="47" t="n">
        <f aca="false">10*LOG10(W388/L_PREF^2)</f>
        <v>-48.6275154793486</v>
      </c>
      <c r="AH388" s="47" t="n">
        <f aca="false">10*LOG10(X388/L_PREF^2)</f>
        <v>-13.1110030156157</v>
      </c>
      <c r="AI388" s="47" t="n">
        <f aca="false">10*LOG10(Y388/L_PREF^2)</f>
        <v>-56.8138962695078</v>
      </c>
      <c r="AJ388" s="47" t="n">
        <f aca="false">10*LOG10(Z388/L_PREF^2)</f>
        <v>-13.1592239107514</v>
      </c>
      <c r="AK388" s="47" t="n">
        <f aca="false">10*LOG10(R388/$R$6)</f>
        <v>-8.12848513567461</v>
      </c>
      <c r="AL388" s="37" t="n">
        <f aca="false">(12194^2*B388^4/((B388^2+20.6^2)*SQRT((B388^2+107.7^2)*(B388^2+737.9^2))*(B388^2+12194^2))*1.2589254)^2</f>
        <v>0.00222450189836804</v>
      </c>
      <c r="AM388" s="37" t="n">
        <v>0</v>
      </c>
      <c r="AN388" s="37" t="n">
        <v>0</v>
      </c>
      <c r="AO388" s="37" t="n">
        <v>0</v>
      </c>
      <c r="AP388" s="37" t="n">
        <v>0</v>
      </c>
      <c r="AQ388" s="37" t="n">
        <v>0</v>
      </c>
      <c r="AR388" s="37" t="n">
        <v>0</v>
      </c>
      <c r="AS388" s="37" t="n">
        <v>0</v>
      </c>
      <c r="AT388" s="37" t="n">
        <v>0</v>
      </c>
      <c r="AU388" s="37" t="n">
        <v>0</v>
      </c>
      <c r="AV388" s="37" t="n">
        <v>0</v>
      </c>
      <c r="AW388" s="37" t="n">
        <v>0</v>
      </c>
      <c r="AX388" s="37" t="n">
        <v>0</v>
      </c>
      <c r="AY388" s="37" t="n">
        <v>0</v>
      </c>
      <c r="AZ388" s="37" t="n">
        <v>0</v>
      </c>
      <c r="BA388" s="37" t="n">
        <v>0</v>
      </c>
      <c r="BB388" s="37" t="n">
        <v>0</v>
      </c>
      <c r="BC388" s="37" t="n">
        <v>0</v>
      </c>
      <c r="BD388" s="37" t="n">
        <v>0</v>
      </c>
      <c r="BE388" s="37" t="n">
        <f aca="false">IF(B388&gt;2000,AK388,-999)</f>
        <v>-8.12848513567461</v>
      </c>
      <c r="BF388" s="37" t="n">
        <f aca="false">IF(AND(B388&lt;1000,AK388&gt;=-3),B388,1000000000)</f>
        <v>1000000000</v>
      </c>
    </row>
    <row r="389" customFormat="false" ht="15" hidden="false" customHeight="false" outlineLevel="0" collapsed="false">
      <c r="A389" s="5" t="n">
        <v>350</v>
      </c>
      <c r="B389" s="47" t="n">
        <f aca="false">20*10^(A389/100)</f>
        <v>63245.5532033676</v>
      </c>
      <c r="C389" s="37" t="n">
        <f aca="false">2*PI()*B389</f>
        <v>397383.530631844</v>
      </c>
      <c r="D389" s="37" t="n">
        <f aca="false">SQRT(L_Rp0^2+L_Rp1^2*C389)</f>
        <v>281670070.673039</v>
      </c>
      <c r="E389" s="5" t="str">
        <f aca="false">COMPLEX(D389,C389*L_Mp)</f>
        <v>281670070.673039+5870435299.52641i</v>
      </c>
      <c r="F389" s="5" t="str">
        <f aca="false">IMDIV(1,E389)</f>
        <v>8.15457652370224e-12-1.69953853325791e-10i</v>
      </c>
      <c r="G389" s="5" t="str">
        <f aca="false">COMPLEX(0,C389*L_Cf)</f>
        <v>4.2020041306106e-10i</v>
      </c>
      <c r="H389" s="5" t="str">
        <f aca="false">COMPLEX(0,C389*L_Cbv)</f>
        <v>4.2020041306106e-09i</v>
      </c>
      <c r="I389" s="5" t="str">
        <f aca="false">COMPLEX(L_Rsq+L_Rh,C389*(L_Md+L_Mh)-1/(C389*L_Cd))</f>
        <v>552400610.124532-1401570575.04514i</v>
      </c>
      <c r="J389" s="5" t="str">
        <f aca="false">IMDIV(1,I389)</f>
        <v>2.43396911000464e-10+6.17555343463914e-10i</v>
      </c>
      <c r="K389" s="5" t="str">
        <f aca="false">IMSUM(F389,G389,H389)</f>
        <v>8.15457652370224e-12+4.45225069034587e-09i</v>
      </c>
      <c r="L389" s="5" t="str">
        <f aca="false">IMSUM(IMPRODUCT(IMSUM(F389,G389),H389),IMPRODUCT(IMSUM(J389,L_Yv),K389))</f>
        <v>-3.79904717405325e-18+1.13187003295244e-18i</v>
      </c>
      <c r="M389" s="37" t="n">
        <f aca="false">IMABS(IMDIV(IMPRODUCT(J389,F389,H389),L389))^2</f>
        <v>1.43334549499809E-020</v>
      </c>
      <c r="N389" s="5" t="str">
        <f aca="false">IMDIV(IMPRODUCT(L_Yv,K389,E389),H389)</f>
        <v>0.000619674155480687+0.012438994300086i</v>
      </c>
      <c r="O389" s="37" t="n">
        <f aca="false">IMABS(IMSUM(1,IMPRODUCT(E389,G389),N389))^2</f>
        <v>2.16667333538362</v>
      </c>
      <c r="P389" s="37" t="n">
        <f aca="false">IMABS(N389)^2</f>
        <v>0.000155112575256543</v>
      </c>
      <c r="Q389" s="37" t="n">
        <f aca="false">p_Rb^2/(1+(C389*p_Rb*L_Ctot)^2)</f>
        <v>1043885215607.47</v>
      </c>
      <c r="R389" s="37" t="n">
        <f aca="false">M389*L_Kt^2*Q389</f>
        <v>3.00290129789321E-006</v>
      </c>
      <c r="S389" s="37" t="n">
        <f aca="false">L_kT4*D389</f>
        <v>4.63787234175198E-012</v>
      </c>
      <c r="T389" s="37" t="n">
        <f aca="false">L_kT4*L_Rsq*O389</f>
        <v>1.11919324451348E-011</v>
      </c>
      <c r="U389" s="37" t="n">
        <f aca="false">L_kT4*L_Rh*O389</f>
        <v>8.51530167035588E-012</v>
      </c>
      <c r="V389" s="37" t="n">
        <f aca="false">L_kT4*p_Rv*P389</f>
        <v>1.27701235868135E-012</v>
      </c>
      <c r="W389" s="37" t="n">
        <f aca="false">L_kT4/p_Rb*Q389/R389</f>
        <v>5.72387020137116E-015</v>
      </c>
      <c r="X389" s="37" t="n">
        <f aca="false">p_en^2*(1+p_fc/B389)/R389</f>
        <v>2.13464201870697E-011</v>
      </c>
      <c r="Y389" s="37" t="n">
        <f aca="false">p_in^2*Q389/R389</f>
        <v>8.69063875276095E-016</v>
      </c>
      <c r="Z389" s="37" t="n">
        <f aca="false">p_eo^2/L_G^2/R389</f>
        <v>2.11114923234147E-011</v>
      </c>
      <c r="AA389" s="37" t="n">
        <f aca="false">SUM(S389:Z389)</f>
        <v>6.80866242604851E-011</v>
      </c>
      <c r="AB389" s="47" t="n">
        <f aca="false">10*LOG10(AA389/L_PREF^2)</f>
        <v>-7.6899818896614</v>
      </c>
      <c r="AC389" s="47" t="n">
        <f aca="false">10*LOG10(S389/L_PREF^2)</f>
        <v>-19.3574120089311</v>
      </c>
      <c r="AD389" s="47" t="n">
        <f aca="false">10*LOG10(T389/L_PREF^2)</f>
        <v>-15.5315491125178</v>
      </c>
      <c r="AE389" s="47" t="n">
        <f aca="false">10*LOG10(U389/L_PREF^2)</f>
        <v>-16.7185995306925</v>
      </c>
      <c r="AF389" s="47" t="n">
        <f aca="false">10*LOG10(V389/L_PREF^2)</f>
        <v>-24.9586489102528</v>
      </c>
      <c r="AG389" s="47" t="n">
        <f aca="false">10*LOG10(W389/L_PREF^2)</f>
        <v>-48.4437021450497</v>
      </c>
      <c r="AH389" s="47" t="n">
        <f aca="false">10*LOG10(X389/L_PREF^2)</f>
        <v>-12.7273493741686</v>
      </c>
      <c r="AI389" s="47" t="n">
        <f aca="false">10*LOG10(Y389/L_PREF^2)</f>
        <v>-56.6300829352089</v>
      </c>
      <c r="AJ389" s="47" t="n">
        <f aca="false">10*LOG10(Z389/L_PREF^2)</f>
        <v>-12.7754105764527</v>
      </c>
      <c r="AK389" s="47" t="n">
        <f aca="false">10*LOG10(R389/$R$6)</f>
        <v>-8.51229846997332</v>
      </c>
      <c r="AL389" s="37" t="n">
        <f aca="false">(12194^2*B389^4/((B389^2+20.6^2)*SQRT((B389^2+107.7^2)*(B389^2+737.9^2))*(B389^2+12194^2))*1.2589254)^2</f>
        <v>0.00203564273154221</v>
      </c>
      <c r="AM389" s="37" t="n">
        <v>0</v>
      </c>
      <c r="AN389" s="37" t="n">
        <v>0</v>
      </c>
      <c r="AO389" s="37" t="n">
        <v>0</v>
      </c>
      <c r="AP389" s="37" t="n">
        <v>0</v>
      </c>
      <c r="AQ389" s="37" t="n">
        <v>0</v>
      </c>
      <c r="AR389" s="37" t="n">
        <v>0</v>
      </c>
      <c r="AS389" s="37" t="n">
        <v>0</v>
      </c>
      <c r="AT389" s="37" t="n">
        <v>0</v>
      </c>
      <c r="AU389" s="37" t="n">
        <v>0</v>
      </c>
      <c r="AV389" s="37" t="n">
        <v>0</v>
      </c>
      <c r="AW389" s="37" t="n">
        <v>0</v>
      </c>
      <c r="AX389" s="37" t="n">
        <v>0</v>
      </c>
      <c r="AY389" s="37" t="n">
        <v>0</v>
      </c>
      <c r="AZ389" s="37" t="n">
        <v>0</v>
      </c>
      <c r="BA389" s="37" t="n">
        <v>0</v>
      </c>
      <c r="BB389" s="37" t="n">
        <v>0</v>
      </c>
      <c r="BC389" s="37" t="n">
        <v>0</v>
      </c>
      <c r="BD389" s="37" t="n">
        <v>0</v>
      </c>
      <c r="BE389" s="37" t="n">
        <f aca="false">IF(B389&gt;2000,AK389,-999)</f>
        <v>-8.51229846997332</v>
      </c>
      <c r="BF389" s="37" t="n">
        <f aca="false">IF(AND(B389&lt;1000,AK389&gt;=-3),B389,1000000000)</f>
        <v>1000000000</v>
      </c>
    </row>
    <row r="390" customFormat="false" ht="15" hidden="false" customHeight="false" outlineLevel="0" collapsed="false">
      <c r="A390" s="5" t="n">
        <v>351</v>
      </c>
      <c r="B390" s="47" t="n">
        <f aca="false">20*10^(A390/100)</f>
        <v>64718.7313859256</v>
      </c>
      <c r="C390" s="37" t="n">
        <f aca="false">2*PI()*B390</f>
        <v>406639.78214335</v>
      </c>
      <c r="D390" s="37" t="n">
        <f aca="false">SQRT(L_Rp0^2+L_Rp1^2*C390)</f>
        <v>284691415.577775</v>
      </c>
      <c r="E390" s="5" t="str">
        <f aca="false">COMPLEX(D390,C390*L_Mp)</f>
        <v>284691415.577775+6007175303.64294i</v>
      </c>
      <c r="F390" s="5" t="str">
        <f aca="false">IMDIV(1,E390)</f>
        <v>7.87153502310715e-12-1.6609454379439e-10i</v>
      </c>
      <c r="G390" s="5" t="str">
        <f aca="false">COMPLEX(0,C390*L_Cf)</f>
        <v>4.2998813803886e-10i</v>
      </c>
      <c r="H390" s="5" t="str">
        <f aca="false">COMPLEX(0,C390*L_Cbv)</f>
        <v>4.2998813803886e-09i</v>
      </c>
      <c r="I390" s="5" t="str">
        <f aca="false">COMPLEX(L_Rsq+L_Rh,C390*(L_Md+L_Mh)-1/(C390*L_Cd))</f>
        <v>552400610.124532-1300705905.07735i</v>
      </c>
      <c r="J390" s="5" t="str">
        <f aca="false">IMDIV(1,I390)</f>
        <v>2.76617681647148e-10+6.51335725147262e-10i</v>
      </c>
      <c r="K390" s="5" t="str">
        <f aca="false">IMSUM(F390,G390,H390)</f>
        <v>7.87153502310715e-12+4.56377497463307e-09i</v>
      </c>
      <c r="L390" s="5" t="str">
        <f aca="false">IMSUM(IMPRODUCT(IMSUM(F390,G390),H390),IMPRODUCT(IMSUM(J390,L_Yv),K390))</f>
        <v>-4.10506768596804e-18+1.31052208184478e-18i</v>
      </c>
      <c r="M390" s="37" t="n">
        <f aca="false">IMABS(IMDIV(IMPRODUCT(J390,F390,H390),L390))^2</f>
        <v>1.3785868750065E-020</v>
      </c>
      <c r="N390" s="5" t="str">
        <f aca="false">IMDIV(IMPRODUCT(L_Yv,K390,E390),H390)</f>
        <v>0.000626321114271106+0.0127506565579135i</v>
      </c>
      <c r="O390" s="37" t="n">
        <f aca="false">IMABS(IMSUM(1,IMPRODUCT(E390,G390),N390))^2</f>
        <v>2.52222062364813</v>
      </c>
      <c r="P390" s="37" t="n">
        <f aca="false">IMABS(N390)^2</f>
        <v>0.000162971520796044</v>
      </c>
      <c r="Q390" s="37" t="n">
        <f aca="false">p_Rb^2/(1+(C390*p_Rb*L_Ctot)^2)</f>
        <v>996902641562.574</v>
      </c>
      <c r="R390" s="37" t="n">
        <f aca="false">M390*L_Kt^2*Q390</f>
        <v>2.75819083653454E-006</v>
      </c>
      <c r="S390" s="37" t="n">
        <f aca="false">L_kT4*D390</f>
        <v>4.68762065876375E-012</v>
      </c>
      <c r="T390" s="37" t="n">
        <f aca="false">L_kT4*L_Rsq*O390</f>
        <v>1.30285088991496E-011</v>
      </c>
      <c r="U390" s="37" t="n">
        <f aca="false">L_kT4*L_Rh*O390</f>
        <v>9.91264771611464E-012</v>
      </c>
      <c r="V390" s="37" t="n">
        <f aca="false">L_kT4*p_Rv*P390</f>
        <v>1.34171356400625E-012</v>
      </c>
      <c r="W390" s="37" t="n">
        <f aca="false">L_kT4/p_Rb*Q390/R390</f>
        <v>5.95122709771228E-015</v>
      </c>
      <c r="X390" s="37" t="n">
        <f aca="false">p_en^2*(1+p_fc/B390)/R390</f>
        <v>2.32394686418347E-011</v>
      </c>
      <c r="Y390" s="37" t="n">
        <f aca="false">p_in^2*Q390/R390</f>
        <v>9.03583816933336E-016</v>
      </c>
      <c r="Z390" s="37" t="n">
        <f aca="false">p_eo^2/L_G^2/R390</f>
        <v>2.29845327809501E-011</v>
      </c>
      <c r="AA390" s="37" t="n">
        <f aca="false">SUM(S390:Z390)</f>
        <v>7.52013470717338E-011</v>
      </c>
      <c r="AB390" s="47" t="n">
        <f aca="false">10*LOG10(AA390/L_PREF^2)</f>
        <v>-7.25834371207319</v>
      </c>
      <c r="AC390" s="47" t="n">
        <f aca="false">10*LOG10(S390/L_PREF^2)</f>
        <v>-19.311075317632</v>
      </c>
      <c r="AD390" s="47" t="n">
        <f aca="false">10*LOG10(T390/L_PREF^2)</f>
        <v>-14.8716527737495</v>
      </c>
      <c r="AE390" s="47" t="n">
        <f aca="false">10*LOG10(U390/L_PREF^2)</f>
        <v>-16.0587031919242</v>
      </c>
      <c r="AF390" s="47" t="n">
        <f aca="false">10*LOG10(V390/L_PREF^2)</f>
        <v>-24.7440018104572</v>
      </c>
      <c r="AG390" s="47" t="n">
        <f aca="false">10*LOG10(W390/L_PREF^2)</f>
        <v>-48.274534681508</v>
      </c>
      <c r="AH390" s="47" t="n">
        <f aca="false">10*LOG10(X390/L_PREF^2)</f>
        <v>-12.358337974099</v>
      </c>
      <c r="AI390" s="47" t="n">
        <f aca="false">10*LOG10(Y390/L_PREF^2)</f>
        <v>-56.4609154716672</v>
      </c>
      <c r="AJ390" s="47" t="n">
        <f aca="false">10*LOG10(Z390/L_PREF^2)</f>
        <v>-12.4062431129112</v>
      </c>
      <c r="AK390" s="47" t="n">
        <f aca="false">10*LOG10(R390/$R$6)</f>
        <v>-8.88146593351477</v>
      </c>
      <c r="AL390" s="37" t="n">
        <f aca="false">(12194^2*B390^4/((B390^2+20.6^2)*SQRT((B390^2+107.7^2)*(B390^2+737.9^2))*(B390^2+12194^2))*1.2589254)^2</f>
        <v>0.00186254401424655</v>
      </c>
      <c r="AM390" s="37" t="n">
        <v>0</v>
      </c>
      <c r="AN390" s="37" t="n">
        <v>0</v>
      </c>
      <c r="AO390" s="37" t="n">
        <v>0</v>
      </c>
      <c r="AP390" s="37" t="n">
        <v>0</v>
      </c>
      <c r="AQ390" s="37" t="n">
        <v>0</v>
      </c>
      <c r="AR390" s="37" t="n">
        <v>0</v>
      </c>
      <c r="AS390" s="37" t="n">
        <v>0</v>
      </c>
      <c r="AT390" s="37" t="n">
        <v>0</v>
      </c>
      <c r="AU390" s="37" t="n">
        <v>0</v>
      </c>
      <c r="AV390" s="37" t="n">
        <v>0</v>
      </c>
      <c r="AW390" s="37" t="n">
        <v>0</v>
      </c>
      <c r="AX390" s="37" t="n">
        <v>0</v>
      </c>
      <c r="AY390" s="37" t="n">
        <v>0</v>
      </c>
      <c r="AZ390" s="37" t="n">
        <v>0</v>
      </c>
      <c r="BA390" s="37" t="n">
        <v>0</v>
      </c>
      <c r="BB390" s="37" t="n">
        <v>0</v>
      </c>
      <c r="BC390" s="37" t="n">
        <v>0</v>
      </c>
      <c r="BD390" s="37" t="n">
        <v>0</v>
      </c>
      <c r="BE390" s="37" t="n">
        <f aca="false">IF(B390&gt;2000,AK390,-999)</f>
        <v>-8.88146593351477</v>
      </c>
      <c r="BF390" s="37" t="n">
        <f aca="false">IF(AND(B390&lt;1000,AK390&gt;=-3),B390,1000000000)</f>
        <v>1000000000</v>
      </c>
    </row>
    <row r="391" customFormat="false" ht="15" hidden="false" customHeight="false" outlineLevel="0" collapsed="false">
      <c r="A391" s="5" t="n">
        <v>352</v>
      </c>
      <c r="B391" s="47" t="n">
        <f aca="false">20*10^(A391/100)</f>
        <v>66226.2242965182</v>
      </c>
      <c r="C391" s="37" t="n">
        <f aca="false">2*PI()*B391</f>
        <v>416111.639449863</v>
      </c>
      <c r="D391" s="37" t="n">
        <f aca="false">SQRT(L_Rp0^2+L_Rp1^2*C391)</f>
        <v>287750297.728744</v>
      </c>
      <c r="E391" s="5" t="str">
        <f aca="false">COMPLEX(D391,C391*L_Mp)</f>
        <v>287750297.728744+6147100391.61983i</v>
      </c>
      <c r="F391" s="5" t="str">
        <f aca="false">IMDIV(1,E391)</f>
        <v>7.59844222045851e-12-1.62322637084158e-10i</v>
      </c>
      <c r="G391" s="5" t="str">
        <f aca="false">COMPLEX(0,C391*L_Cf)</f>
        <v>4.40003848419016e-10i</v>
      </c>
      <c r="H391" s="5" t="str">
        <f aca="false">COMPLEX(0,C391*L_Cbv)</f>
        <v>4.40003848419016e-09i</v>
      </c>
      <c r="I391" s="5" t="str">
        <f aca="false">COMPLEX(L_Rsq+L_Rh,C391*(L_Md+L_Mh)-1/(C391*L_Cd))</f>
        <v>552400610.124532-1200530886.59731i</v>
      </c>
      <c r="J391" s="5" t="str">
        <f aca="false">IMDIV(1,I391)</f>
        <v>3.16304407442555e-10+6.87423590310736e-10i</v>
      </c>
      <c r="K391" s="5" t="str">
        <f aca="false">IMSUM(F391,G391,H391)</f>
        <v>7.59844222045851e-12+4.67771969552502e-09i</v>
      </c>
      <c r="L391" s="5" t="str">
        <f aca="false">IMSUM(IMPRODUCT(IMSUM(F391,G391),H391),IMPRODUCT(IMSUM(J391,L_Yv),K391))</f>
        <v>-4.4349642661265e-18+1.52759558248833e-18i</v>
      </c>
      <c r="M391" s="37" t="n">
        <f aca="false">IMABS(IMDIV(IMPRODUCT(J391,F391,H391),L391))^2</f>
        <v>1.33045950462851E-020</v>
      </c>
      <c r="N391" s="5" t="str">
        <f aca="false">IMDIV(IMPRODUCT(L_Yv,K391,E391),H391)</f>
        <v>0.000633050655003237+0.0130690793826229i</v>
      </c>
      <c r="O391" s="37" t="n">
        <f aca="false">IMABS(IMSUM(1,IMPRODUCT(E391,G391),N391))^2</f>
        <v>2.92351776870936</v>
      </c>
      <c r="P391" s="37" t="n">
        <f aca="false">IMABS(N391)^2</f>
        <v>0.000171201589041099</v>
      </c>
      <c r="Q391" s="37" t="n">
        <f aca="false">p_Rb^2/(1+(C391*p_Rb*L_Ctot)^2)</f>
        <v>952034631677.485</v>
      </c>
      <c r="R391" s="37" t="n">
        <f aca="false">M391*L_Kt^2*Q391</f>
        <v>2.54209532686041E-006</v>
      </c>
      <c r="S391" s="37" t="n">
        <f aca="false">L_kT4*D391</f>
        <v>4.73798704980686E-012</v>
      </c>
      <c r="T391" s="37" t="n">
        <f aca="false">L_kT4*L_Rsq*O391</f>
        <v>1.51014058442517E-011</v>
      </c>
      <c r="U391" s="37" t="n">
        <f aca="false">L_kT4*L_Rh*O391</f>
        <v>1.14897965155408E-011</v>
      </c>
      <c r="V391" s="37" t="n">
        <f aca="false">L_kT4*p_Rv*P391</f>
        <v>1.40947015204783E-012</v>
      </c>
      <c r="W391" s="37" t="n">
        <f aca="false">L_kT4/p_Rb*Q391/R391</f>
        <v>6.16650378199971E-015</v>
      </c>
      <c r="X391" s="37" t="n">
        <f aca="false">p_en^2*(1+p_fc/B391)/R391</f>
        <v>2.52140971181497E-011</v>
      </c>
      <c r="Y391" s="37" t="n">
        <f aca="false">p_in^2*Q391/R391</f>
        <v>9.3626960171207E-016</v>
      </c>
      <c r="Z391" s="37" t="n">
        <f aca="false">p_eo^2/L_G^2/R391</f>
        <v>2.49383754529539E-011</v>
      </c>
      <c r="AA391" s="37" t="n">
        <f aca="false">SUM(S391:Z391)</f>
        <v>8.28982349061345E-011</v>
      </c>
      <c r="AB391" s="47" t="n">
        <f aca="false">10*LOG10(AA391/L_PREF^2)</f>
        <v>-6.8351470780648</v>
      </c>
      <c r="AC391" s="47" t="n">
        <f aca="false">10*LOG10(S391/L_PREF^2)</f>
        <v>-19.2646612198324</v>
      </c>
      <c r="AD391" s="47" t="n">
        <f aca="false">10*LOG10(T391/L_PREF^2)</f>
        <v>-14.2304261211553</v>
      </c>
      <c r="AE391" s="47" t="n">
        <f aca="false">10*LOG10(U391/L_PREF^2)</f>
        <v>-15.41747653933</v>
      </c>
      <c r="AF391" s="47" t="n">
        <f aca="false">10*LOG10(V391/L_PREF^2)</f>
        <v>-24.5300410795481</v>
      </c>
      <c r="AG391" s="47" t="n">
        <f aca="false">10*LOG10(W391/L_PREF^2)</f>
        <v>-48.120209891332</v>
      </c>
      <c r="AH391" s="47" t="n">
        <f aca="false">10*LOG10(X391/L_PREF^2)</f>
        <v>-12.0041657003749</v>
      </c>
      <c r="AI391" s="47" t="n">
        <f aca="false">10*LOG10(Y391/L_PREF^2)</f>
        <v>-56.3065906814912</v>
      </c>
      <c r="AJ391" s="47" t="n">
        <f aca="false">10*LOG10(Z391/L_PREF^2)</f>
        <v>-12.0519183227354</v>
      </c>
      <c r="AK391" s="47" t="n">
        <f aca="false">10*LOG10(R391/$R$6)</f>
        <v>-9.2357907236906</v>
      </c>
      <c r="AL391" s="37" t="n">
        <f aca="false">(12194^2*B391^4/((B391^2+20.6^2)*SQRT((B391^2+107.7^2)*(B391^2+737.9^2))*(B391^2+12194^2))*1.2589254)^2</f>
        <v>0.00170392475277279</v>
      </c>
      <c r="AM391" s="37" t="n">
        <v>0</v>
      </c>
      <c r="AN391" s="37" t="n">
        <v>0</v>
      </c>
      <c r="AO391" s="37" t="n">
        <v>0</v>
      </c>
      <c r="AP391" s="37" t="n">
        <v>0</v>
      </c>
      <c r="AQ391" s="37" t="n">
        <v>0</v>
      </c>
      <c r="AR391" s="37" t="n">
        <v>0</v>
      </c>
      <c r="AS391" s="37" t="n">
        <v>0</v>
      </c>
      <c r="AT391" s="37" t="n">
        <v>0</v>
      </c>
      <c r="AU391" s="37" t="n">
        <v>0</v>
      </c>
      <c r="AV391" s="37" t="n">
        <v>0</v>
      </c>
      <c r="AW391" s="37" t="n">
        <v>0</v>
      </c>
      <c r="AX391" s="37" t="n">
        <v>0</v>
      </c>
      <c r="AY391" s="37" t="n">
        <v>0</v>
      </c>
      <c r="AZ391" s="37" t="n">
        <v>0</v>
      </c>
      <c r="BA391" s="37" t="n">
        <v>0</v>
      </c>
      <c r="BB391" s="37" t="n">
        <v>0</v>
      </c>
      <c r="BC391" s="37" t="n">
        <v>0</v>
      </c>
      <c r="BD391" s="37" t="n">
        <v>0</v>
      </c>
      <c r="BE391" s="37" t="n">
        <f aca="false">IF(B391&gt;2000,AK391,-999)</f>
        <v>-9.2357907236906</v>
      </c>
      <c r="BF391" s="37" t="n">
        <f aca="false">IF(AND(B391&lt;1000,AK391&gt;=-3),B391,1000000000)</f>
        <v>1000000000</v>
      </c>
    </row>
    <row r="392" customFormat="false" ht="15" hidden="false" customHeight="false" outlineLevel="0" collapsed="false">
      <c r="A392" s="5" t="n">
        <v>353</v>
      </c>
      <c r="B392" s="47" t="n">
        <f aca="false">20*10^(A392/100)</f>
        <v>67768.8312278405</v>
      </c>
      <c r="C392" s="37" t="n">
        <f aca="false">2*PI()*B392</f>
        <v>425804.1246555</v>
      </c>
      <c r="D392" s="37" t="n">
        <f aca="false">SQRT(L_Rp0^2+L_Rp1^2*C392)</f>
        <v>290847128.834155</v>
      </c>
      <c r="E392" s="5" t="str">
        <f aca="false">COMPLEX(D392,C392*L_Mp)</f>
        <v>290847128.834155+6290284753.59085i</v>
      </c>
      <c r="F392" s="5" t="str">
        <f aca="false">IMDIV(1,E392)</f>
        <v>7.33494190994331e-12-1.58636165498818e-10i</v>
      </c>
      <c r="G392" s="5" t="str">
        <f aca="false">COMPLEX(0,C392*L_Cf)</f>
        <v>4.50252854663742e-10i</v>
      </c>
      <c r="H392" s="5" t="str">
        <f aca="false">COMPLEX(0,C392*L_Cbv)</f>
        <v>4.50252854663742e-09i</v>
      </c>
      <c r="I392" s="5" t="str">
        <f aca="false">COMPLEX(L_Rsq+L_Rh,C392*(L_Md+L_Mh)-1/(C392*L_Cd))</f>
        <v>552400610.124532-1100992405.48426i</v>
      </c>
      <c r="J392" s="5" t="str">
        <f aca="false">IMDIV(1,I392)</f>
        <v>3.64060785246007e-10+7.2561136310137e-10i</v>
      </c>
      <c r="K392" s="5" t="str">
        <f aca="false">IMSUM(F392,G392,H392)</f>
        <v>7.33494190994331e-12+4.79414523580234e-09i</v>
      </c>
      <c r="L392" s="5" t="str">
        <f aca="false">IMSUM(IMPRODUCT(IMSUM(F392,G392),H392),IMPRODUCT(IMSUM(J392,L_Yv),K392))</f>
        <v>-4.78901369250215e-18+1.7932966721362e-18i</v>
      </c>
      <c r="M392" s="37" t="n">
        <f aca="false">IMABS(IMDIV(IMPRODUCT(J392,F392,H392),L392))^2</f>
        <v>1.28849732568692E-020</v>
      </c>
      <c r="N392" s="5" t="str">
        <f aca="false">IMDIV(IMPRODUCT(L_Yv,K392,E392),H392)</f>
        <v>0.000639863683435141+0.0133944316062107i</v>
      </c>
      <c r="O392" s="37" t="n">
        <f aca="false">IMABS(IMSUM(1,IMPRODUCT(E392,G392),N392))^2</f>
        <v>3.37551759882162</v>
      </c>
      <c r="P392" s="37" t="n">
        <f aca="false">IMABS(N392)^2</f>
        <v>0.000179820223586835</v>
      </c>
      <c r="Q392" s="37" t="n">
        <f aca="false">p_Rb^2/(1+(C392*p_Rb*L_Ctot)^2)</f>
        <v>909186014887.687</v>
      </c>
      <c r="R392" s="37" t="n">
        <f aca="false">M392*L_Kt^2*Q392</f>
        <v>2.35111403142624E-006</v>
      </c>
      <c r="S392" s="37" t="n">
        <f aca="false">L_kT4*D392</f>
        <v>4.78897829391222E-012</v>
      </c>
      <c r="T392" s="37" t="n">
        <f aca="false">L_kT4*L_Rsq*O392</f>
        <v>1.74362070721133E-011</v>
      </c>
      <c r="U392" s="37" t="n">
        <f aca="false">L_kT4*L_Rh*O392</f>
        <v>1.32662133133568E-011</v>
      </c>
      <c r="V392" s="37" t="n">
        <f aca="false">L_kT4*p_Rv*P392</f>
        <v>1.48042573261027E-012</v>
      </c>
      <c r="W392" s="37" t="n">
        <f aca="false">L_kT4/p_Rb*Q392/R392</f>
        <v>6.36732681048857E-015</v>
      </c>
      <c r="X392" s="37" t="n">
        <f aca="false">p_en^2*(1+p_fc/B392)/R392</f>
        <v>2.72613058484331E-011</v>
      </c>
      <c r="Y392" s="37" t="n">
        <f aca="false">p_in^2*Q392/R392</f>
        <v>9.66760866056499E-016</v>
      </c>
      <c r="Z392" s="37" t="n">
        <f aca="false">p_eo^2/L_G^2/R392</f>
        <v>2.69641229013411E-011</v>
      </c>
      <c r="AA392" s="37" t="n">
        <f aca="false">SUM(S392:Z392)</f>
        <v>9.12045872494434E-011</v>
      </c>
      <c r="AB392" s="47" t="n">
        <f aca="false">10*LOG10(AA392/L_PREF^2)</f>
        <v>-6.42043309062934</v>
      </c>
      <c r="AC392" s="47" t="n">
        <f aca="false">10*LOG10(S392/L_PREF^2)</f>
        <v>-19.2181712272459</v>
      </c>
      <c r="AD392" s="47" t="n">
        <f aca="false">10*LOG10(T392/L_PREF^2)</f>
        <v>-13.6060797327744</v>
      </c>
      <c r="AE392" s="47" t="n">
        <f aca="false">10*LOG10(U392/L_PREF^2)</f>
        <v>-14.7931301509492</v>
      </c>
      <c r="AF392" s="47" t="n">
        <f aca="false">10*LOG10(V392/L_PREF^2)</f>
        <v>-24.3167336597655</v>
      </c>
      <c r="AG392" s="47" t="n">
        <f aca="false">10*LOG10(W392/L_PREF^2)</f>
        <v>-47.9810285022031</v>
      </c>
      <c r="AH392" s="47" t="n">
        <f aca="false">10*LOG10(X392/L_PREF^2)</f>
        <v>-11.6651333611744</v>
      </c>
      <c r="AI392" s="47" t="n">
        <f aca="false">10*LOG10(Y392/L_PREF^2)</f>
        <v>-56.1674092923623</v>
      </c>
      <c r="AJ392" s="47" t="n">
        <f aca="false">10*LOG10(Z392/L_PREF^2)</f>
        <v>-11.7127369336067</v>
      </c>
      <c r="AK392" s="47" t="n">
        <f aca="false">10*LOG10(R392/$R$6)</f>
        <v>-9.57497211281933</v>
      </c>
      <c r="AL392" s="37" t="n">
        <f aca="false">(12194^2*B392^4/((B392^2+20.6^2)*SQRT((B392^2+107.7^2)*(B392^2+737.9^2))*(B392^2+12194^2))*1.2589254)^2</f>
        <v>0.00155860380357538</v>
      </c>
      <c r="AM392" s="37" t="n">
        <v>0</v>
      </c>
      <c r="AN392" s="37" t="n">
        <v>0</v>
      </c>
      <c r="AO392" s="37" t="n">
        <v>0</v>
      </c>
      <c r="AP392" s="37" t="n">
        <v>0</v>
      </c>
      <c r="AQ392" s="37" t="n">
        <v>0</v>
      </c>
      <c r="AR392" s="37" t="n">
        <v>0</v>
      </c>
      <c r="AS392" s="37" t="n">
        <v>0</v>
      </c>
      <c r="AT392" s="37" t="n">
        <v>0</v>
      </c>
      <c r="AU392" s="37" t="n">
        <v>0</v>
      </c>
      <c r="AV392" s="37" t="n">
        <v>0</v>
      </c>
      <c r="AW392" s="37" t="n">
        <v>0</v>
      </c>
      <c r="AX392" s="37" t="n">
        <v>0</v>
      </c>
      <c r="AY392" s="37" t="n">
        <v>0</v>
      </c>
      <c r="AZ392" s="37" t="n">
        <v>0</v>
      </c>
      <c r="BA392" s="37" t="n">
        <v>0</v>
      </c>
      <c r="BB392" s="37" t="n">
        <v>0</v>
      </c>
      <c r="BC392" s="37" t="n">
        <v>0</v>
      </c>
      <c r="BD392" s="37" t="n">
        <v>0</v>
      </c>
      <c r="BE392" s="37" t="n">
        <f aca="false">IF(B392&gt;2000,AK392,-999)</f>
        <v>-9.57497211281933</v>
      </c>
      <c r="BF392" s="37" t="n">
        <f aca="false">IF(AND(B392&lt;1000,AK392&gt;=-3),B392,1000000000)</f>
        <v>1000000000</v>
      </c>
    </row>
    <row r="393" customFormat="false" ht="15" hidden="false" customHeight="false" outlineLevel="0" collapsed="false">
      <c r="A393" s="5" t="n">
        <v>354</v>
      </c>
      <c r="B393" s="47" t="n">
        <f aca="false">20*10^(A393/100)</f>
        <v>69347.3700905063</v>
      </c>
      <c r="C393" s="37" t="n">
        <f aca="false">2*PI()*B393</f>
        <v>435722.376844214</v>
      </c>
      <c r="D393" s="37" t="n">
        <f aca="false">SQRT(L_Rp0^2+L_Rp1^2*C393)</f>
        <v>293982325.444643</v>
      </c>
      <c r="E393" s="5" t="str">
        <f aca="false">COMPLEX(D393,C393*L_Mp)</f>
        <v>293982325.444643+6436804307.79999i</v>
      </c>
      <c r="F393" s="5" t="str">
        <f aca="false">IMDIV(1,E393)</f>
        <v>7.08069096978088e-12-1.55033205032145e-10i</v>
      </c>
      <c r="G393" s="5" t="str">
        <f aca="false">COMPLEX(0,C393*L_Cf)</f>
        <v>4.60740590931812e-10i</v>
      </c>
      <c r="H393" s="5" t="str">
        <f aca="false">COMPLEX(0,C393*L_Cbv)</f>
        <v>4.60740590931812e-09i</v>
      </c>
      <c r="I393" s="5" t="str">
        <f aca="false">COMPLEX(L_Rsq+L_Rh,C393*(L_Md+L_Mh)-1/(C393*L_Cd))</f>
        <v>552400610.124532-1002037685.11794i</v>
      </c>
      <c r="J393" s="5" t="str">
        <f aca="false">IMDIV(1,I393)</f>
        <v>4.21929161576598e-10+7.65366497793431e-10i</v>
      </c>
      <c r="K393" s="5" t="str">
        <f aca="false">IMSUM(F393,G393,H393)</f>
        <v>7.08069096978088e-12+4.91311329521779e-09i</v>
      </c>
      <c r="L393" s="5" t="str">
        <f aca="false">IMSUM(IMPRODUCT(IMSUM(F393,G393),H393),IMPRODUCT(IMSUM(J393,L_Yv),K393))</f>
        <v>-5.1658486209533e-18+2.12085494103823e-18i</v>
      </c>
      <c r="M393" s="37" t="n">
        <f aca="false">IMABS(IMDIV(IMPRODUCT(J393,F393,H393),L393))^2</f>
        <v>1.25233550905349E-020</v>
      </c>
      <c r="N393" s="5" t="str">
        <f aca="false">IMDIV(IMPRODUCT(L_Yv,K393,E393),H393)</f>
        <v>0.000646761115978215+0.0137268857347324i</v>
      </c>
      <c r="O393" s="37" t="n">
        <f aca="false">IMABS(IMSUM(1,IMPRODUCT(E393,G393),N393))^2</f>
        <v>3.88367614287555</v>
      </c>
      <c r="P393" s="37" t="n">
        <f aca="false">IMABS(N393)^2</f>
        <v>0.000188845691915541</v>
      </c>
      <c r="Q393" s="37" t="n">
        <f aca="false">p_Rb^2/(1+(C393*p_Rb*L_Ctot)^2)</f>
        <v>868265903532.15</v>
      </c>
      <c r="R393" s="37" t="n">
        <f aca="false">M393*L_Kt^2*Q393</f>
        <v>2.18228198095851E-006</v>
      </c>
      <c r="S393" s="37" t="n">
        <f aca="false">L_kT4*D393</f>
        <v>4.84060124984428E-012</v>
      </c>
      <c r="T393" s="37" t="n">
        <f aca="false">L_kT4*L_Rsq*O393</f>
        <v>2.00610956529583E-011</v>
      </c>
      <c r="U393" s="37" t="n">
        <f aca="false">L_kT4*L_Rh*O393</f>
        <v>1.52633409967609E-011</v>
      </c>
      <c r="V393" s="37" t="n">
        <f aca="false">L_kT4*p_Rv*P393</f>
        <v>1.5547306984042E-012</v>
      </c>
      <c r="W393" s="37" t="n">
        <f aca="false">L_kT4/p_Rb*Q393/R393</f>
        <v>6.55118656923648E-015</v>
      </c>
      <c r="X393" s="37" t="n">
        <f aca="false">p_en^2*(1+p_fc/B393)/R393</f>
        <v>2.93693892756927E-011</v>
      </c>
      <c r="Y393" s="37" t="n">
        <f aca="false">p_in^2*Q393/R393</f>
        <v>9.9467657148366E-016</v>
      </c>
      <c r="Z393" s="37" t="n">
        <f aca="false">p_eo^2/L_G^2/R393</f>
        <v>2.90501998603314E-011</v>
      </c>
      <c r="AA393" s="37" t="n">
        <f aca="false">SUM(S393:Z393)</f>
        <v>1.00146903597132E-010</v>
      </c>
      <c r="AB393" s="47" t="n">
        <f aca="false">10*LOG10(AA393/L_PREF^2)</f>
        <v>-6.01422465271686</v>
      </c>
      <c r="AC393" s="47" t="n">
        <f aca="false">10*LOG10(S393/L_PREF^2)</f>
        <v>-19.1716068272649</v>
      </c>
      <c r="AD393" s="47" t="n">
        <f aca="false">10*LOG10(T393/L_PREF^2)</f>
        <v>-12.9970534265156</v>
      </c>
      <c r="AE393" s="47" t="n">
        <f aca="false">10*LOG10(U393/L_PREF^2)</f>
        <v>-14.1841038446904</v>
      </c>
      <c r="AF393" s="47" t="n">
        <f aca="false">10*LOG10(V393/L_PREF^2)</f>
        <v>-24.1040481746715</v>
      </c>
      <c r="AG393" s="47" t="n">
        <f aca="false">10*LOG10(W393/L_PREF^2)</f>
        <v>-47.8574002358033</v>
      </c>
      <c r="AH393" s="47" t="n">
        <f aca="false">10*LOG10(X393/L_PREF^2)</f>
        <v>-11.3416507568546</v>
      </c>
      <c r="AI393" s="47" t="n">
        <f aca="false">10*LOG10(Y393/L_PREF^2)</f>
        <v>-56.0437810259624</v>
      </c>
      <c r="AJ393" s="47" t="n">
        <f aca="false">10*LOG10(Z393/L_PREF^2)</f>
        <v>-11.389108667207</v>
      </c>
      <c r="AK393" s="47" t="n">
        <f aca="false">10*LOG10(R393/$R$6)</f>
        <v>-9.898600379219</v>
      </c>
      <c r="AL393" s="37" t="n">
        <f aca="false">(12194^2*B393^4/((B393^2+20.6^2)*SQRT((B393^2+107.7^2)*(B393^2+737.9^2))*(B393^2+12194^2))*1.2589254)^2</f>
        <v>0.00142549262202369</v>
      </c>
      <c r="AM393" s="37" t="n">
        <v>0</v>
      </c>
      <c r="AN393" s="37" t="n">
        <v>0</v>
      </c>
      <c r="AO393" s="37" t="n">
        <v>0</v>
      </c>
      <c r="AP393" s="37" t="n">
        <v>0</v>
      </c>
      <c r="AQ393" s="37" t="n">
        <v>0</v>
      </c>
      <c r="AR393" s="37" t="n">
        <v>0</v>
      </c>
      <c r="AS393" s="37" t="n">
        <v>0</v>
      </c>
      <c r="AT393" s="37" t="n">
        <v>0</v>
      </c>
      <c r="AU393" s="37" t="n">
        <v>0</v>
      </c>
      <c r="AV393" s="37" t="n">
        <v>0</v>
      </c>
      <c r="AW393" s="37" t="n">
        <v>0</v>
      </c>
      <c r="AX393" s="37" t="n">
        <v>0</v>
      </c>
      <c r="AY393" s="37" t="n">
        <v>0</v>
      </c>
      <c r="AZ393" s="37" t="n">
        <v>0</v>
      </c>
      <c r="BA393" s="37" t="n">
        <v>0</v>
      </c>
      <c r="BB393" s="37" t="n">
        <v>0</v>
      </c>
      <c r="BC393" s="37" t="n">
        <v>0</v>
      </c>
      <c r="BD393" s="37" t="n">
        <v>0</v>
      </c>
      <c r="BE393" s="37" t="n">
        <f aca="false">IF(B393&gt;2000,AK393,-999)</f>
        <v>-9.898600379219</v>
      </c>
      <c r="BF393" s="37" t="n">
        <f aca="false">IF(AND(B393&lt;1000,AK393&gt;=-3),B393,1000000000)</f>
        <v>1000000000</v>
      </c>
    </row>
    <row r="394" customFormat="false" ht="15" hidden="false" customHeight="false" outlineLevel="0" collapsed="false">
      <c r="A394" s="5" t="n">
        <v>355</v>
      </c>
      <c r="B394" s="47" t="n">
        <f aca="false">20*10^(A394/100)</f>
        <v>70962.6778467151</v>
      </c>
      <c r="C394" s="37" t="n">
        <f aca="false">2*PI()*B394</f>
        <v>445871.654804598</v>
      </c>
      <c r="D394" s="37" t="n">
        <f aca="false">SQRT(L_Rp0^2+L_Rp1^2*C394)</f>
        <v>297156309.013602</v>
      </c>
      <c r="E394" s="5" t="str">
        <f aca="false">COMPLEX(D394,C394*L_Mp)</f>
        <v>297156309.013602+6586736740.8543i</v>
      </c>
      <c r="F394" s="5" t="str">
        <f aca="false">IMDIV(1,E394)</f>
        <v>6.8353588656912e-12-1.51511874430744e-10i</v>
      </c>
      <c r="G394" s="5" t="str">
        <f aca="false">COMPLEX(0,C394*L_Cf)</f>
        <v>4.71472617959816e-10i</v>
      </c>
      <c r="H394" s="5" t="str">
        <f aca="false">COMPLEX(0,C394*L_Cbv)</f>
        <v>4.71472617959817e-09i</v>
      </c>
      <c r="I394" s="5" t="str">
        <f aca="false">COMPLEX(L_Rsq+L_Rh,C394*(L_Md+L_Mh)-1/(C394*L_Cd))</f>
        <v>552400610.124532-903614258.395813i</v>
      </c>
      <c r="J394" s="5" t="str">
        <f aca="false">IMDIV(1,I394)</f>
        <v>4.92482631018689e-10+8.05600716661859e-10i</v>
      </c>
      <c r="K394" s="5" t="str">
        <f aca="false">IMSUM(F394,G394,H394)</f>
        <v>6.8353588656912e-12+5.03468692312724e-09i</v>
      </c>
      <c r="L394" s="5" t="str">
        <f aca="false">IMSUM(IMPRODUCT(IMSUM(F394,G394),H394),IMPRODUCT(IMSUM(J394,L_Yv),K394))</f>
        <v>-5.56109472116374e-18+2.52729865149521e-18i</v>
      </c>
      <c r="M394" s="37" t="n">
        <f aca="false">IMABS(IMDIV(IMPRODUCT(J394,F394,H394),L394))^2</f>
        <v>1.22170335022767E-020</v>
      </c>
      <c r="N394" s="5" t="str">
        <f aca="false">IMDIV(IMPRODUCT(L_Yv,K394,E394),H394)</f>
        <v>0.000653743879829925+0.0140666180397674i</v>
      </c>
      <c r="O394" s="37" t="n">
        <f aca="false">IMABS(IMSUM(1,IMPRODUCT(E394,G394),N394))^2</f>
        <v>4.45400237061649</v>
      </c>
      <c r="P394" s="37" t="n">
        <f aca="false">IMABS(N394)^2</f>
        <v>0.000198297124137125</v>
      </c>
      <c r="Q394" s="37" t="n">
        <f aca="false">p_Rb^2/(1+(C394*p_Rb*L_Ctot)^2)</f>
        <v>829187500568.44</v>
      </c>
      <c r="R394" s="37" t="n">
        <f aca="false">M394*L_Kt^2*Q394</f>
        <v>2.03308687498463E-006</v>
      </c>
      <c r="S394" s="37" t="n">
        <f aca="false">L_kT4*D394</f>
        <v>4.89286285709449E-012</v>
      </c>
      <c r="T394" s="37" t="n">
        <f aca="false">L_kT4*L_Rsq*O394</f>
        <v>2.30071108682307E-011</v>
      </c>
      <c r="U394" s="37" t="n">
        <f aca="false">L_kT4*L_Rh*O394</f>
        <v>1.75047955808089E-011</v>
      </c>
      <c r="V394" s="37" t="n">
        <f aca="false">L_kT4*p_Rv*P394</f>
        <v>1.6325425439895E-012</v>
      </c>
      <c r="W394" s="37" t="n">
        <f aca="false">L_kT4/p_Rb*Q394/R394</f>
        <v>6.71544656528957E-015</v>
      </c>
      <c r="X394" s="37" t="n">
        <f aca="false">p_en^2*(1+p_fc/B394)/R394</f>
        <v>3.15235856580329E-011</v>
      </c>
      <c r="Y394" s="37" t="n">
        <f aca="false">p_in^2*Q394/R394</f>
        <v>1.01961641527826E-015</v>
      </c>
      <c r="Z394" s="37" t="n">
        <f aca="false">p_eo^2/L_G^2/R394</f>
        <v>3.11820062774857E-011</v>
      </c>
      <c r="AA394" s="37" t="n">
        <f aca="false">SUM(S394:Z394)</f>
        <v>1.09750638848623E-010</v>
      </c>
      <c r="AB394" s="47" t="n">
        <f aca="false">10*LOG10(AA394/L_PREF^2)</f>
        <v>-5.61652934417229</v>
      </c>
      <c r="AC394" s="47" t="n">
        <f aca="false">10*LOG10(S394/L_PREF^2)</f>
        <v>-19.1249694831313</v>
      </c>
      <c r="AD394" s="47" t="n">
        <f aca="false">10*LOG10(T394/L_PREF^2)</f>
        <v>-12.4019790602584</v>
      </c>
      <c r="AE394" s="47" t="n">
        <f aca="false">10*LOG10(U394/L_PREF^2)</f>
        <v>-13.5890294784331</v>
      </c>
      <c r="AF394" s="47" t="n">
        <f aca="false">10*LOG10(V394/L_PREF^2)</f>
        <v>-23.8919548353759</v>
      </c>
      <c r="AG394" s="47" t="n">
        <f aca="false">10*LOG10(W394/L_PREF^2)</f>
        <v>-47.7498509354995</v>
      </c>
      <c r="AH394" s="47" t="n">
        <f aca="false">10*LOG10(X394/L_PREF^2)</f>
        <v>-11.0342438076773</v>
      </c>
      <c r="AI394" s="47" t="n">
        <f aca="false">10*LOG10(Y394/L_PREF^2)</f>
        <v>-55.9362317256587</v>
      </c>
      <c r="AJ394" s="47" t="n">
        <f aca="false">10*LOG10(Z394/L_PREF^2)</f>
        <v>-11.0815593669034</v>
      </c>
      <c r="AK394" s="47" t="n">
        <f aca="false">10*LOG10(R394/$R$6)</f>
        <v>-10.2061496795226</v>
      </c>
      <c r="AL394" s="37" t="n">
        <f aca="false">(12194^2*B394^4/((B394^2+20.6^2)*SQRT((B394^2+107.7^2)*(B394^2+737.9^2))*(B394^2+12194^2))*1.2589254)^2</f>
        <v>0.00130358847102283</v>
      </c>
      <c r="AM394" s="37" t="n">
        <v>0</v>
      </c>
      <c r="AN394" s="37" t="n">
        <v>0</v>
      </c>
      <c r="AO394" s="37" t="n">
        <v>0</v>
      </c>
      <c r="AP394" s="37" t="n">
        <v>0</v>
      </c>
      <c r="AQ394" s="37" t="n">
        <v>0</v>
      </c>
      <c r="AR394" s="37" t="n">
        <v>0</v>
      </c>
      <c r="AS394" s="37" t="n">
        <v>0</v>
      </c>
      <c r="AT394" s="37" t="n">
        <v>0</v>
      </c>
      <c r="AU394" s="37" t="n">
        <v>0</v>
      </c>
      <c r="AV394" s="37" t="n">
        <v>0</v>
      </c>
      <c r="AW394" s="37" t="n">
        <v>0</v>
      </c>
      <c r="AX394" s="37" t="n">
        <v>0</v>
      </c>
      <c r="AY394" s="37" t="n">
        <v>0</v>
      </c>
      <c r="AZ394" s="37" t="n">
        <v>0</v>
      </c>
      <c r="BA394" s="37" t="n">
        <v>0</v>
      </c>
      <c r="BB394" s="37" t="n">
        <v>0</v>
      </c>
      <c r="BC394" s="37" t="n">
        <v>0</v>
      </c>
      <c r="BD394" s="37" t="n">
        <v>0</v>
      </c>
      <c r="BE394" s="37" t="n">
        <f aca="false">IF(B394&gt;2000,AK394,-999)</f>
        <v>-10.2061496795226</v>
      </c>
      <c r="BF394" s="37" t="n">
        <f aca="false">IF(AND(B394&lt;1000,AK394&gt;=-3),B394,1000000000)</f>
        <v>1000000000</v>
      </c>
    </row>
    <row r="395" customFormat="false" ht="15" hidden="false" customHeight="false" outlineLevel="0" collapsed="false">
      <c r="A395" s="5" t="n">
        <v>356</v>
      </c>
      <c r="B395" s="47" t="n">
        <f aca="false">20*10^(A395/100)</f>
        <v>72615.6109540203</v>
      </c>
      <c r="C395" s="37" t="n">
        <f aca="false">2*PI()*B395</f>
        <v>456257.339818169</v>
      </c>
      <c r="D395" s="37" t="n">
        <f aca="false">SQRT(L_Rp0^2+L_Rp1^2*C395)</f>
        <v>300369505.95806</v>
      </c>
      <c r="E395" s="5" t="str">
        <f aca="false">COMPLEX(D395,C395*L_Mp)</f>
        <v>300369505.958059+6740161548.91438i</v>
      </c>
      <c r="F395" s="5" t="str">
        <f aca="false">IMDIV(1,E395)</f>
        <v>6.59862717391588e-12-1.48070334275076e-10i</v>
      </c>
      <c r="G395" s="5" t="str">
        <f aca="false">COMPLEX(0,C395*L_Cf)</f>
        <v>4.82454626010542e-10i</v>
      </c>
      <c r="H395" s="5" t="str">
        <f aca="false">COMPLEX(0,C395*L_Cbv)</f>
        <v>4.82454626010542e-09i</v>
      </c>
      <c r="I395" s="5" t="str">
        <f aca="false">COMPLEX(L_Rsq+L_Rh,C395*(L_Md+L_Mh)-1/(C395*L_Cd))</f>
        <v>552400610.124532-805669939.914232i</v>
      </c>
      <c r="J395" s="5" t="str">
        <f aca="false">IMDIV(1,I395)</f>
        <v>5.78884284727762e-10+8.44296074888055e-10i</v>
      </c>
      <c r="K395" s="5" t="str">
        <f aca="false">IMSUM(F395,G395,H395)</f>
        <v>6.59862717391588e-12+5.15893055184089e-09i</v>
      </c>
      <c r="L395" s="5" t="str">
        <f aca="false">IMSUM(IMPRODUCT(IMSUM(F395,G395),H395),IMPRODUCT(IMSUM(J395,L_Yv),K395))</f>
        <v>-5.96508426084357e-18+3.03414826064263e-18i</v>
      </c>
      <c r="M395" s="37" t="n">
        <f aca="false">IMABS(IMDIV(IMPRODUCT(J395,F395,H395),L395))^2</f>
        <v>1.19642056435101E-020</v>
      </c>
      <c r="N395" s="5" t="str">
        <f aca="false">IMDIV(IMPRODUCT(L_Yv,K395,E395),H395)</f>
        <v>0.000660812913107731+0.0144138086518808i</v>
      </c>
      <c r="O395" s="37" t="n">
        <f aca="false">IMABS(IMSUM(1,IMPRODUCT(E395,G395),N395))^2</f>
        <v>5.09311278769607</v>
      </c>
      <c r="P395" s="37" t="n">
        <f aca="false">IMABS(N395)^2</f>
        <v>0.000208194553559164</v>
      </c>
      <c r="Q395" s="37" t="n">
        <f aca="false">p_Rb^2/(1+(C395*p_Rb*L_Ctot)^2)</f>
        <v>791867915464.534</v>
      </c>
      <c r="R395" s="37" t="n">
        <f aca="false">M395*L_Kt^2*Q395</f>
        <v>1.90140241439481E-006</v>
      </c>
      <c r="S395" s="37" t="n">
        <f aca="false">L_kT4*D395</f>
        <v>4.94577013688354E-012</v>
      </c>
      <c r="T395" s="37" t="n">
        <f aca="false">L_kT4*L_Rsq*O395</f>
        <v>2.6308430220864E-011</v>
      </c>
      <c r="U395" s="37" t="n">
        <f aca="false">L_kT4*L_Rh*O395</f>
        <v>2.00165807739081E-011</v>
      </c>
      <c r="V395" s="37" t="n">
        <f aca="false">L_kT4*p_Rv*P395</f>
        <v>1.71402619978089E-012</v>
      </c>
      <c r="W395" s="37" t="n">
        <f aca="false">L_kT4/p_Rb*Q395/R395</f>
        <v>6.857357530911E-015</v>
      </c>
      <c r="X395" s="37" t="n">
        <f aca="false">p_en^2*(1+p_fc/B395)/R395</f>
        <v>3.37057189121669E-011</v>
      </c>
      <c r="Y395" s="37" t="n">
        <f aca="false">p_in^2*Q395/R395</f>
        <v>1.04116297195901E-015</v>
      </c>
      <c r="Z395" s="37" t="n">
        <f aca="false">p_eo^2/L_G^2/R395</f>
        <v>3.33415626373982E-011</v>
      </c>
      <c r="AA395" s="37" t="n">
        <f aca="false">SUM(S395:Z395)</f>
        <v>1.20039987401504E-010</v>
      </c>
      <c r="AB395" s="47" t="n">
        <f aca="false">10*LOG10(AA395/L_PREF^2)</f>
        <v>-5.22734050155432</v>
      </c>
      <c r="AC395" s="47" t="n">
        <f aca="false">10*LOG10(S395/L_PREF^2)</f>
        <v>-19.0782606341164</v>
      </c>
      <c r="AD395" s="47" t="n">
        <f aca="false">10*LOG10(T395/L_PREF^2)</f>
        <v>-11.8196505607979</v>
      </c>
      <c r="AE395" s="47" t="n">
        <f aca="false">10*LOG10(U395/L_PREF^2)</f>
        <v>-13.0067009789726</v>
      </c>
      <c r="AF395" s="47" t="n">
        <f aca="false">10*LOG10(V395/L_PREF^2)</f>
        <v>-23.6804253527328</v>
      </c>
      <c r="AG395" s="47" t="n">
        <f aca="false">10*LOG10(W395/L_PREF^2)</f>
        <v>-47.6590319789965</v>
      </c>
      <c r="AH395" s="47" t="n">
        <f aca="false">10*LOG10(X395/L_PREF^2)</f>
        <v>-10.7435639665015</v>
      </c>
      <c r="AI395" s="47" t="n">
        <f aca="false">10*LOG10(Y395/L_PREF^2)</f>
        <v>-55.8454127691557</v>
      </c>
      <c r="AJ395" s="47" t="n">
        <f aca="false">10*LOG10(Z395/L_PREF^2)</f>
        <v>-10.7907404104006</v>
      </c>
      <c r="AK395" s="47" t="n">
        <f aca="false">10*LOG10(R395/$R$6)</f>
        <v>-10.4969686360254</v>
      </c>
      <c r="AL395" s="37" t="n">
        <f aca="false">(12194^2*B395^4/((B395^2+20.6^2)*SQRT((B395^2+107.7^2)*(B395^2+737.9^2))*(B395^2+12194^2))*1.2589254)^2</f>
        <v>0.00119196806893474</v>
      </c>
      <c r="AM395" s="37" t="n">
        <v>0</v>
      </c>
      <c r="AN395" s="37" t="n">
        <v>0</v>
      </c>
      <c r="AO395" s="37" t="n">
        <v>0</v>
      </c>
      <c r="AP395" s="37" t="n">
        <v>0</v>
      </c>
      <c r="AQ395" s="37" t="n">
        <v>0</v>
      </c>
      <c r="AR395" s="37" t="n">
        <v>0</v>
      </c>
      <c r="AS395" s="37" t="n">
        <v>0</v>
      </c>
      <c r="AT395" s="37" t="n">
        <v>0</v>
      </c>
      <c r="AU395" s="37" t="n">
        <v>0</v>
      </c>
      <c r="AV395" s="37" t="n">
        <v>0</v>
      </c>
      <c r="AW395" s="37" t="n">
        <v>0</v>
      </c>
      <c r="AX395" s="37" t="n">
        <v>0</v>
      </c>
      <c r="AY395" s="37" t="n">
        <v>0</v>
      </c>
      <c r="AZ395" s="37" t="n">
        <v>0</v>
      </c>
      <c r="BA395" s="37" t="n">
        <v>0</v>
      </c>
      <c r="BB395" s="37" t="n">
        <v>0</v>
      </c>
      <c r="BC395" s="37" t="n">
        <v>0</v>
      </c>
      <c r="BD395" s="37" t="n">
        <v>0</v>
      </c>
      <c r="BE395" s="37" t="n">
        <f aca="false">IF(B395&gt;2000,AK395,-999)</f>
        <v>-10.4969686360254</v>
      </c>
      <c r="BF395" s="37" t="n">
        <f aca="false">IF(AND(B395&lt;1000,AK395&gt;=-3),B395,1000000000)</f>
        <v>1000000000</v>
      </c>
    </row>
    <row r="396" customFormat="false" ht="15" hidden="false" customHeight="false" outlineLevel="0" collapsed="false">
      <c r="A396" s="5" t="n">
        <v>357</v>
      </c>
      <c r="B396" s="47" t="n">
        <f aca="false">20*10^(A396/100)</f>
        <v>74307.0458194345</v>
      </c>
      <c r="C396" s="37" t="n">
        <f aca="false">2*PI()*B396</f>
        <v>466884.938512591</v>
      </c>
      <c r="D396" s="37" t="n">
        <f aca="false">SQRT(L_Rp0^2+L_Rp1^2*C396)</f>
        <v>303622347.720085</v>
      </c>
      <c r="E396" s="5" t="str">
        <f aca="false">COMPLEX(D396,C396*L_Mp)</f>
        <v>303622347.720085+6897160079.84428i</v>
      </c>
      <c r="F396" s="5" t="str">
        <f aca="false">IMDIV(1,E396)</f>
        <v>6.37018912299453e-12-1.4470678607848e-10i</v>
      </c>
      <c r="G396" s="5" t="str">
        <f aca="false">COMPLEX(0,C396*L_Cf)</f>
        <v>4.93692437890019e-10i</v>
      </c>
      <c r="H396" s="5" t="str">
        <f aca="false">COMPLEX(0,C396*L_Cbv)</f>
        <v>4.93692437890019e-09i</v>
      </c>
      <c r="I396" s="5" t="str">
        <f aca="false">COMPLEX(L_Rsq+L_Rh,C396*(L_Md+L_Mh)-1/(C396*L_Cd))</f>
        <v>552400610.124532-708152798.2991i</v>
      </c>
      <c r="J396" s="5" t="str">
        <f aca="false">IMDIV(1,I396)</f>
        <v>6.84827973186175e-10+8.77918736288075e-10i</v>
      </c>
      <c r="K396" s="5" t="str">
        <f aca="false">IMSUM(F396,G396,H396)</f>
        <v>6.37018912299453e-12+5.28591003071173e-09i</v>
      </c>
      <c r="L396" s="5" t="str">
        <f aca="false">IMSUM(IMPRODUCT(IMSUM(F396,G396),H396),IMPRODUCT(IMSUM(J396,L_Yv),K396))</f>
        <v>-6.3591400025255e-18+3.66755252320251e-18i</v>
      </c>
      <c r="M396" s="37" t="n">
        <f aca="false">IMABS(IMDIV(IMPRODUCT(J396,F396,H396),L396))^2</f>
        <v>1.17639697562578E-020</v>
      </c>
      <c r="N396" s="5" t="str">
        <f aca="false">IMDIV(IMPRODUCT(L_Yv,K396,E396),H396)</f>
        <v>0.000667969164984188+0.0147686416561308i</v>
      </c>
      <c r="O396" s="37" t="n">
        <f aca="false">IMABS(IMSUM(1,IMPRODUCT(E396,G396),N396))^2</f>
        <v>5.80829135656546</v>
      </c>
      <c r="P396" s="37" t="n">
        <f aca="false">IMABS(N396)^2</f>
        <v>0.000218558959172572</v>
      </c>
      <c r="Q396" s="37" t="n">
        <f aca="false">p_Rb^2/(1+(C396*p_Rb*L_Ctot)^2)</f>
        <v>756227988376.907</v>
      </c>
      <c r="R396" s="37" t="n">
        <f aca="false">M396*L_Kt^2*Q396</f>
        <v>1.78543511164468E-006</v>
      </c>
      <c r="S396" s="37" t="n">
        <f aca="false">L_kT4*D396</f>
        <v>4.9993301931726E-012</v>
      </c>
      <c r="T396" s="37" t="n">
        <f aca="false">L_kT4*L_Rsq*O396</f>
        <v>3.00026789561388E-011</v>
      </c>
      <c r="U396" s="37" t="n">
        <f aca="false">L_kT4*L_Rh*O396</f>
        <v>2.2827323474546E-011</v>
      </c>
      <c r="V396" s="37" t="n">
        <f aca="false">L_kT4*p_Rv*P396</f>
        <v>1.79935438182427E-012</v>
      </c>
      <c r="W396" s="37" t="n">
        <f aca="false">L_kT4/p_Rb*Q396/R396</f>
        <v>6.97407740505703E-015</v>
      </c>
      <c r="X396" s="37" t="n">
        <f aca="false">p_en^2*(1+p_fc/B396)/R396</f>
        <v>3.58938438567458E-011</v>
      </c>
      <c r="Y396" s="37" t="n">
        <f aca="false">p_in^2*Q396/R396</f>
        <v>1.05888472709643E-015</v>
      </c>
      <c r="Z396" s="37" t="n">
        <f aca="false">p_eo^2/L_G^2/R396</f>
        <v>3.55071586107919E-011</v>
      </c>
      <c r="AA396" s="37" t="n">
        <f aca="false">SUM(S396:Z396)</f>
        <v>1.31037722435351E-010</v>
      </c>
      <c r="AB396" s="47" t="n">
        <f aca="false">10*LOG10(AA396/L_PREF^2)</f>
        <v>-4.84663655311764</v>
      </c>
      <c r="AC396" s="47" t="n">
        <f aca="false">10*LOG10(S396/L_PREF^2)</f>
        <v>-19.0314816957096</v>
      </c>
      <c r="AD396" s="47" t="n">
        <f aca="false">10*LOG10(T396/L_PREF^2)</f>
        <v>-11.248999564775</v>
      </c>
      <c r="AE396" s="47" t="n">
        <f aca="false">10*LOG10(U396/L_PREF^2)</f>
        <v>-12.4360499829497</v>
      </c>
      <c r="AF396" s="47" t="n">
        <f aca="false">10*LOG10(V396/L_PREF^2)</f>
        <v>-23.4694328550664</v>
      </c>
      <c r="AG396" s="47" t="n">
        <f aca="false">10*LOG10(W396/L_PREF^2)</f>
        <v>-47.58573228041</v>
      </c>
      <c r="AH396" s="47" t="n">
        <f aca="false">10*LOG10(X396/L_PREF^2)</f>
        <v>-10.470400220896</v>
      </c>
      <c r="AI396" s="47" t="n">
        <f aca="false">10*LOG10(Y396/L_PREF^2)</f>
        <v>-55.7721130705692</v>
      </c>
      <c r="AJ396" s="47" t="n">
        <f aca="false">10*LOG10(Z396/L_PREF^2)</f>
        <v>-10.5174407118143</v>
      </c>
      <c r="AK396" s="47" t="n">
        <f aca="false">10*LOG10(R396/$R$6)</f>
        <v>-10.7702683346117</v>
      </c>
      <c r="AL396" s="37" t="n">
        <f aca="false">(12194^2*B396^4/((B396^2+20.6^2)*SQRT((B396^2+107.7^2)*(B396^2+737.9^2))*(B396^2+12194^2))*1.2589254)^2</f>
        <v>0.00108978165594781</v>
      </c>
      <c r="AM396" s="37" t="n">
        <v>0</v>
      </c>
      <c r="AN396" s="37" t="n">
        <v>0</v>
      </c>
      <c r="AO396" s="37" t="n">
        <v>0</v>
      </c>
      <c r="AP396" s="37" t="n">
        <v>0</v>
      </c>
      <c r="AQ396" s="37" t="n">
        <v>0</v>
      </c>
      <c r="AR396" s="37" t="n">
        <v>0</v>
      </c>
      <c r="AS396" s="37" t="n">
        <v>0</v>
      </c>
      <c r="AT396" s="37" t="n">
        <v>0</v>
      </c>
      <c r="AU396" s="37" t="n">
        <v>0</v>
      </c>
      <c r="AV396" s="37" t="n">
        <v>0</v>
      </c>
      <c r="AW396" s="37" t="n">
        <v>0</v>
      </c>
      <c r="AX396" s="37" t="n">
        <v>0</v>
      </c>
      <c r="AY396" s="37" t="n">
        <v>0</v>
      </c>
      <c r="AZ396" s="37" t="n">
        <v>0</v>
      </c>
      <c r="BA396" s="37" t="n">
        <v>0</v>
      </c>
      <c r="BB396" s="37" t="n">
        <v>0</v>
      </c>
      <c r="BC396" s="37" t="n">
        <v>0</v>
      </c>
      <c r="BD396" s="37" t="n">
        <v>0</v>
      </c>
      <c r="BE396" s="37" t="n">
        <f aca="false">IF(B396&gt;2000,AK396,-999)</f>
        <v>-10.7702683346117</v>
      </c>
      <c r="BF396" s="37" t="n">
        <f aca="false">IF(AND(B396&lt;1000,AK396&gt;=-3),B396,1000000000)</f>
        <v>1000000000</v>
      </c>
    </row>
    <row r="397" customFormat="false" ht="15" hidden="false" customHeight="false" outlineLevel="0" collapsed="false">
      <c r="A397" s="5" t="n">
        <v>358</v>
      </c>
      <c r="B397" s="47" t="n">
        <f aca="false">20*10^(A397/100)</f>
        <v>76037.8792641123</v>
      </c>
      <c r="C397" s="37" t="n">
        <f aca="false">2*PI()*B397</f>
        <v>477760.085781365</v>
      </c>
      <c r="D397" s="37" t="n">
        <f aca="false">SQRT(L_Rp0^2+L_Rp1^2*C397)</f>
        <v>306915270.828764</v>
      </c>
      <c r="E397" s="5" t="str">
        <f aca="false">COMPLEX(D397,C397*L_Mp)</f>
        <v>306915270.828764+7057815576.34322i</v>
      </c>
      <c r="F397" s="5" t="str">
        <f aca="false">IMDIV(1,E397)</f>
        <v>6.14974915353227e-12-1.41419471403949e-10i</v>
      </c>
      <c r="G397" s="5" t="str">
        <f aca="false">COMPLEX(0,C397*L_Cf)</f>
        <v>5.05192012034858e-10i</v>
      </c>
      <c r="H397" s="5" t="str">
        <f aca="false">COMPLEX(0,C397*L_Cbv)</f>
        <v>5.05192012034858e-09i</v>
      </c>
      <c r="I397" s="5" t="str">
        <f aca="false">COMPLEX(L_Rsq+L_Rh,C397*(L_Md+L_Mh)-1/(C397*L_Cd))</f>
        <v>552400610.124532-611011128.671133i</v>
      </c>
      <c r="J397" s="5" t="str">
        <f aca="false">IMDIV(1,I397)</f>
        <v>8.14172516120659e-10+9.00557419543313e-10i</v>
      </c>
      <c r="K397" s="5" t="str">
        <f aca="false">IMSUM(F397,G397,H397)</f>
        <v>6.14974915353227e-12+5.41569266097949e-09i</v>
      </c>
      <c r="L397" s="5" t="str">
        <f aca="false">IMSUM(IMPRODUCT(IMSUM(F397,G397),H397),IMPRODUCT(IMSUM(J397,L_Yv),K397))</f>
        <v>-6.70987276881481e-18+4.45674574936019e-18i</v>
      </c>
      <c r="M397" s="37" t="n">
        <f aca="false">IMABS(IMDIV(IMPRODUCT(J397,F397,H397),L397))^2</f>
        <v>1.16163582887765E-020</v>
      </c>
      <c r="N397" s="5" t="str">
        <f aca="false">IMDIV(IMPRODUCT(L_Yv,K397,E397),H397)</f>
        <v>0.000675213595823282+0.0151313051896729i</v>
      </c>
      <c r="O397" s="37" t="n">
        <f aca="false">IMABS(IMSUM(1,IMPRODUCT(E397,G397),N397))^2</f>
        <v>6.6075552597851</v>
      </c>
      <c r="P397" s="37" t="n">
        <f aca="false">IMABS(N397)^2</f>
        <v>0.000229412310143007</v>
      </c>
      <c r="Q397" s="37" t="n">
        <f aca="false">p_Rb^2/(1+(C397*p_Rb*L_Ctot)^2)</f>
        <v>722192122241.875</v>
      </c>
      <c r="R397" s="37" t="n">
        <f aca="false">M397*L_Kt^2*Q397</f>
        <v>1.68368239401265E-006</v>
      </c>
      <c r="S397" s="37" t="n">
        <f aca="false">L_kT4*D397</f>
        <v>5.05355021368372E-012</v>
      </c>
      <c r="T397" s="37" t="n">
        <f aca="false">L_kT4*L_Rsq*O397</f>
        <v>3.41312697614921E-011</v>
      </c>
      <c r="U397" s="37" t="n">
        <f aca="false">L_kT4*L_Rh*O397</f>
        <v>2.5968532229458E-011</v>
      </c>
      <c r="V397" s="37" t="n">
        <f aca="false">L_kT4*p_Rv*P397</f>
        <v>1.88870795808609E-012</v>
      </c>
      <c r="W397" s="37" t="n">
        <f aca="false">L_kT4/p_Rb*Q397/R397</f>
        <v>7.06269844914818E-015</v>
      </c>
      <c r="X397" s="37" t="n">
        <f aca="false">p_en^2*(1+p_fc/B397)/R397</f>
        <v>3.80619104907377E-011</v>
      </c>
      <c r="Y397" s="37" t="n">
        <f aca="false">p_in^2*Q397/R397</f>
        <v>1.07234019434138E-015</v>
      </c>
      <c r="Z397" s="37" t="n">
        <f aca="false">p_eo^2/L_G^2/R397</f>
        <v>3.76530205007109E-011</v>
      </c>
      <c r="AA397" s="37" t="n">
        <f aca="false">SUM(S397:Z397)</f>
        <v>1.42765126192812E-010</v>
      </c>
      <c r="AB397" s="47" t="n">
        <f aca="false">10*LOG10(AA397/L_PREF^2)</f>
        <v>-4.47437857779265</v>
      </c>
      <c r="AC397" s="47" t="n">
        <f aca="false">10*LOG10(S397/L_PREF^2)</f>
        <v>-18.9846340598149</v>
      </c>
      <c r="AD397" s="47" t="n">
        <f aca="false">10*LOG10(T397/L_PREF^2)</f>
        <v>-10.689075459983</v>
      </c>
      <c r="AE397" s="47" t="n">
        <f aca="false">10*LOG10(U397/L_PREF^2)</f>
        <v>-11.8761258781577</v>
      </c>
      <c r="AF397" s="47" t="n">
        <f aca="false">10*LOG10(V397/L_PREF^2)</f>
        <v>-23.2589518110169</v>
      </c>
      <c r="AG397" s="47" t="n">
        <f aca="false">10*LOG10(W397/L_PREF^2)</f>
        <v>-47.5308932743369</v>
      </c>
      <c r="AH397" s="47" t="n">
        <f aca="false">10*LOG10(X397/L_PREF^2)</f>
        <v>-10.215694077248</v>
      </c>
      <c r="AI397" s="47" t="n">
        <f aca="false">10*LOG10(Y397/L_PREF^2)</f>
        <v>-55.717274064496</v>
      </c>
      <c r="AJ397" s="47" t="n">
        <f aca="false">10*LOG10(Z397/L_PREF^2)</f>
        <v>-10.2626017057412</v>
      </c>
      <c r="AK397" s="47" t="n">
        <f aca="false">10*LOG10(R397/$R$6)</f>
        <v>-11.0251073406848</v>
      </c>
      <c r="AL397" s="37" t="n">
        <f aca="false">(12194^2*B397^4/((B397^2+20.6^2)*SQRT((B397^2+107.7^2)*(B397^2+737.9^2))*(B397^2+12194^2))*1.2589254)^2</f>
        <v>0.000996247457982785</v>
      </c>
      <c r="AM397" s="37" t="n">
        <v>0</v>
      </c>
      <c r="AN397" s="37" t="n">
        <v>0</v>
      </c>
      <c r="AO397" s="37" t="n">
        <v>0</v>
      </c>
      <c r="AP397" s="37" t="n">
        <v>0</v>
      </c>
      <c r="AQ397" s="37" t="n">
        <v>0</v>
      </c>
      <c r="AR397" s="37" t="n">
        <v>0</v>
      </c>
      <c r="AS397" s="37" t="n">
        <v>0</v>
      </c>
      <c r="AT397" s="37" t="n">
        <v>0</v>
      </c>
      <c r="AU397" s="37" t="n">
        <v>0</v>
      </c>
      <c r="AV397" s="37" t="n">
        <v>0</v>
      </c>
      <c r="AW397" s="37" t="n">
        <v>0</v>
      </c>
      <c r="AX397" s="37" t="n">
        <v>0</v>
      </c>
      <c r="AY397" s="37" t="n">
        <v>0</v>
      </c>
      <c r="AZ397" s="37" t="n">
        <v>0</v>
      </c>
      <c r="BA397" s="37" t="n">
        <v>0</v>
      </c>
      <c r="BB397" s="37" t="n">
        <v>0</v>
      </c>
      <c r="BC397" s="37" t="n">
        <v>0</v>
      </c>
      <c r="BD397" s="37" t="n">
        <v>0</v>
      </c>
      <c r="BE397" s="37" t="n">
        <f aca="false">IF(B397&gt;2000,AK397,-999)</f>
        <v>-11.0251073406848</v>
      </c>
      <c r="BF397" s="37" t="n">
        <f aca="false">IF(AND(B397&lt;1000,AK397&gt;=-3),B397,1000000000)</f>
        <v>1000000000</v>
      </c>
    </row>
    <row r="398" customFormat="false" ht="15" hidden="false" customHeight="false" outlineLevel="0" collapsed="false">
      <c r="A398" s="5" t="n">
        <v>359</v>
      </c>
      <c r="B398" s="47" t="n">
        <f aca="false">20*10^(A398/100)</f>
        <v>77809.0289988561</v>
      </c>
      <c r="C398" s="37" t="n">
        <f aca="false">2*PI()*B398</f>
        <v>488888.547771523</v>
      </c>
      <c r="D398" s="37" t="n">
        <f aca="false">SQRT(L_Rp0^2+L_Rp1^2*C398)</f>
        <v>310248716.962734</v>
      </c>
      <c r="E398" s="5" t="str">
        <f aca="false">COMPLEX(D398,C398*L_Mp)</f>
        <v>310248716.962734+7222213220.08196i</v>
      </c>
      <c r="F398" s="5" t="str">
        <f aca="false">IMDIV(1,E398)</f>
        <v>5.93702249522656e-12-1.38206670998416e-10i</v>
      </c>
      <c r="G398" s="5" t="str">
        <f aca="false">COMPLEX(0,C398*L_Cf)</f>
        <v>5.16959445671485e-10i</v>
      </c>
      <c r="H398" s="5" t="str">
        <f aca="false">COMPLEX(0,C398*L_Cbv)</f>
        <v>5.16959445671485e-09i</v>
      </c>
      <c r="I398" s="5" t="str">
        <f aca="false">COMPLEX(L_Rsq+L_Rh,C398*(L_Md+L_Mh)-1/(C398*L_Cd))</f>
        <v>552400610.124532-514193425.231279i</v>
      </c>
      <c r="J398" s="5" t="str">
        <f aca="false">IMDIV(1,I398)</f>
        <v>9.69904373725346e-10+9.02820241201769e-10i</v>
      </c>
      <c r="K398" s="5" t="str">
        <f aca="false">IMSUM(F398,G398,H398)</f>
        <v>5.93702249522656e-12+5.54834723138792e-09i</v>
      </c>
      <c r="L398" s="5" t="str">
        <f aca="false">IMSUM(IMPRODUCT(IMSUM(F398,G398),H398),IMPRODUCT(IMSUM(J398,L_Yv),K398))</f>
        <v>-6.96138821199806e-18+5.42851500379472e-18i</v>
      </c>
      <c r="M398" s="37" t="n">
        <f aca="false">IMABS(IMDIV(IMPRODUCT(J398,F398,H398),L398))^2</f>
        <v>1.15224122289224E-020</v>
      </c>
      <c r="N398" s="5" t="str">
        <f aca="false">IMDIV(IMPRODUCT(L_Yv,K398,E398),H398)</f>
        <v>0.000682547177318015+0.0155019915415131i</v>
      </c>
      <c r="O398" s="37" t="n">
        <f aca="false">IMABS(IMSUM(1,IMPRODUCT(E398,G398),N398))^2</f>
        <v>7.49972707229069</v>
      </c>
      <c r="P398" s="37" t="n">
        <f aca="false">IMABS(N398)^2</f>
        <v>0.000240777612402409</v>
      </c>
      <c r="Q398" s="37" t="n">
        <f aca="false">p_Rb^2/(1+(C398*p_Rb*L_Ctot)^2)</f>
        <v>689688122424.1</v>
      </c>
      <c r="R398" s="37" t="n">
        <f aca="false">M398*L_Kt^2*Q398</f>
        <v>1.59490044958491E-006</v>
      </c>
      <c r="S398" s="37" t="n">
        <f aca="false">L_kT4*D398</f>
        <v>5.10843747092947E-012</v>
      </c>
      <c r="T398" s="37" t="n">
        <f aca="false">L_kT4*L_Rsq*O398</f>
        <v>3.8739775571736E-011</v>
      </c>
      <c r="U398" s="37" t="n">
        <f aca="false">L_kT4*L_Rh*O398</f>
        <v>2.94748808798087E-011</v>
      </c>
      <c r="V398" s="37" t="n">
        <f aca="false">L_kT4*p_Rv*P398</f>
        <v>1.98227633203256E-012</v>
      </c>
      <c r="W398" s="37" t="n">
        <f aca="false">L_kT4/p_Rb*Q398/R398</f>
        <v>7.12028297902379E-015</v>
      </c>
      <c r="X398" s="37" t="n">
        <f aca="false">p_en^2*(1+p_fc/B398)/R398</f>
        <v>4.01794686820276E-011</v>
      </c>
      <c r="Y398" s="37" t="n">
        <f aca="false">p_in^2*Q398/R398</f>
        <v>1.08108334066179E-015</v>
      </c>
      <c r="Z398" s="37" t="n">
        <f aca="false">p_eo^2/L_G^2/R398</f>
        <v>3.97490186393414E-011</v>
      </c>
      <c r="AA398" s="37" t="n">
        <f aca="false">SUM(S398:Z398)</f>
        <v>1.55242058942195E-010</v>
      </c>
      <c r="AB398" s="47" t="n">
        <f aca="false">10*LOG10(AA398/L_PREF^2)</f>
        <v>-4.11050597267043</v>
      </c>
      <c r="AC398" s="47" t="n">
        <f aca="false">10*LOG10(S398/L_PREF^2)</f>
        <v>-18.9377190949553</v>
      </c>
      <c r="AD398" s="47" t="n">
        <f aca="false">10*LOG10(T398/L_PREF^2)</f>
        <v>-10.1390289090354</v>
      </c>
      <c r="AE398" s="47" t="n">
        <f aca="false">10*LOG10(U398/L_PREF^2)</f>
        <v>-11.3260793272102</v>
      </c>
      <c r="AF398" s="47" t="n">
        <f aca="false">10*LOG10(V398/L_PREF^2)</f>
        <v>-23.0489579571363</v>
      </c>
      <c r="AG398" s="47" t="n">
        <f aca="false">10*LOG10(W398/L_PREF^2)</f>
        <v>-47.4956273732785</v>
      </c>
      <c r="AH398" s="47" t="n">
        <f aca="false">10*LOG10(X398/L_PREF^2)</f>
        <v>-9.98055801822382</v>
      </c>
      <c r="AI398" s="47" t="n">
        <f aca="false">10*LOG10(Y398/L_PREF^2)</f>
        <v>-55.6820081634377</v>
      </c>
      <c r="AJ398" s="47" t="n">
        <f aca="false">10*LOG10(Z398/L_PREF^2)</f>
        <v>-10.027335804683</v>
      </c>
      <c r="AK398" s="47" t="n">
        <f aca="false">10*LOG10(R398/$R$6)</f>
        <v>-11.260373241743</v>
      </c>
      <c r="AL398" s="37" t="n">
        <f aca="false">(12194^2*B398^4/((B398^2+20.6^2)*SQRT((B398^2+107.7^2)*(B398^2+737.9^2))*(B398^2+12194^2))*1.2589254)^2</f>
        <v>0.000910646527353382</v>
      </c>
      <c r="AM398" s="37" t="n">
        <v>0</v>
      </c>
      <c r="AN398" s="37" t="n">
        <v>0</v>
      </c>
      <c r="AO398" s="37" t="n">
        <v>0</v>
      </c>
      <c r="AP398" s="37" t="n">
        <v>0</v>
      </c>
      <c r="AQ398" s="37" t="n">
        <v>0</v>
      </c>
      <c r="AR398" s="37" t="n">
        <v>0</v>
      </c>
      <c r="AS398" s="37" t="n">
        <v>0</v>
      </c>
      <c r="AT398" s="37" t="n">
        <v>0</v>
      </c>
      <c r="AU398" s="37" t="n">
        <v>0</v>
      </c>
      <c r="AV398" s="37" t="n">
        <v>0</v>
      </c>
      <c r="AW398" s="37" t="n">
        <v>0</v>
      </c>
      <c r="AX398" s="37" t="n">
        <v>0</v>
      </c>
      <c r="AY398" s="37" t="n">
        <v>0</v>
      </c>
      <c r="AZ398" s="37" t="n">
        <v>0</v>
      </c>
      <c r="BA398" s="37" t="n">
        <v>0</v>
      </c>
      <c r="BB398" s="37" t="n">
        <v>0</v>
      </c>
      <c r="BC398" s="37" t="n">
        <v>0</v>
      </c>
      <c r="BD398" s="37" t="n">
        <v>0</v>
      </c>
      <c r="BE398" s="37" t="n">
        <f aca="false">IF(B398&gt;2000,AK398,-999)</f>
        <v>-11.260373241743</v>
      </c>
      <c r="BF398" s="37" t="n">
        <f aca="false">IF(AND(B398&lt;1000,AK398&gt;=-3),B398,1000000000)</f>
        <v>1000000000</v>
      </c>
    </row>
    <row r="399" customFormat="false" ht="15" hidden="false" customHeight="false" outlineLevel="0" collapsed="false">
      <c r="A399" s="5" t="n">
        <v>360</v>
      </c>
      <c r="B399" s="47" t="n">
        <f aca="false">20*10^(A399/100)</f>
        <v>79621.4341106995</v>
      </c>
      <c r="C399" s="37" t="n">
        <f aca="false">2*PI()*B399</f>
        <v>500276.224940914</v>
      </c>
      <c r="D399" s="37" t="n">
        <f aca="false">SQRT(L_Rp0^2+L_Rp1^2*C399)</f>
        <v>313623133.013294</v>
      </c>
      <c r="E399" s="5" t="str">
        <f aca="false">COMPLEX(D399,C399*L_Mp)</f>
        <v>313623133.013294+7390440176.8673i</v>
      </c>
      <c r="F399" s="5" t="str">
        <f aca="false">IMDIV(1,E399)</f>
        <v>5.7317347604509e-12-1.35066703944277e-10i</v>
      </c>
      <c r="G399" s="5" t="str">
        <f aca="false">COMPLEX(0,C399*L_Cf)</f>
        <v>5.29000978048974e-10i</v>
      </c>
      <c r="H399" s="5" t="str">
        <f aca="false">COMPLEX(0,C399*L_Cbv)</f>
        <v>5.29000978048974e-09i</v>
      </c>
      <c r="I399" s="5" t="str">
        <f aca="false">COMPLEX(L_Rsq+L_Rh,C399*(L_Md+L_Mh)-1/(C399*L_Cd))</f>
        <v>552400610.124532-417648353.951635i</v>
      </c>
      <c r="J399" s="5" t="str">
        <f aca="false">IMDIV(1,I399)</f>
        <v>1.15185067680617e-09+8.70868949724231e-10i</v>
      </c>
      <c r="K399" s="5" t="str">
        <f aca="false">IMSUM(F399,G399,H399)</f>
        <v>5.7317347604509e-12+5.68394405459444e-09i</v>
      </c>
      <c r="L399" s="5" t="str">
        <f aca="false">IMSUM(IMPRODUCT(IMSUM(F399,G399),H399),IMPRODUCT(IMSUM(J399,L_Yv),K399))</f>
        <v>-7.0272729859673e-18+6.59373521709509e-18i</v>
      </c>
      <c r="M399" s="37" t="n">
        <f aca="false">IMABS(IMDIV(IMPRODUCT(J399,F399,H399),L399))^2</f>
        <v>1.14843050805641E-020</v>
      </c>
      <c r="N399" s="5" t="str">
        <f aca="false">IMDIV(IMPRODUCT(L_Yv,K399,E399),H399)</f>
        <v>0.000689970892629248+0.0158808972544617i</v>
      </c>
      <c r="O399" s="37" t="n">
        <f aca="false">IMABS(IMSUM(1,IMPRODUCT(E399,G399),N399))^2</f>
        <v>8.49451396394927</v>
      </c>
      <c r="P399" s="37" t="n">
        <f aca="false">IMABS(N399)^2</f>
        <v>0.000252678957439445</v>
      </c>
      <c r="Q399" s="37" t="n">
        <f aca="false">p_Rb^2/(1+(C399*p_Rb*L_Ctot)^2)</f>
        <v>658647043582.08</v>
      </c>
      <c r="R399" s="37" t="n">
        <f aca="false">M399*L_Kt^2*Q399</f>
        <v>1.51808081864143E-006</v>
      </c>
      <c r="S399" s="37" t="n">
        <f aca="false">L_kT4*D399</f>
        <v>5.16399932325215E-012</v>
      </c>
      <c r="T399" s="37" t="n">
        <f aca="false">L_kT4*L_Rsq*O399</f>
        <v>4.38783386891786E-011</v>
      </c>
      <c r="U399" s="37" t="n">
        <f aca="false">L_kT4*L_Rh*O399</f>
        <v>3.3384519837307E-011</v>
      </c>
      <c r="V399" s="37" t="n">
        <f aca="false">L_kT4*p_Rv*P399</f>
        <v>2.08025784431221E-012</v>
      </c>
      <c r="W399" s="37" t="n">
        <f aca="false">L_kT4/p_Rb*Q399/R399</f>
        <v>7.14390945689349E-015</v>
      </c>
      <c r="X399" s="37" t="n">
        <f aca="false">p_en^2*(1+p_fc/B399)/R399</f>
        <v>4.2211441959431E-011</v>
      </c>
      <c r="Y399" s="37" t="n">
        <f aca="false">p_in^2*Q399/R399</f>
        <v>1.08467058455346E-015</v>
      </c>
      <c r="Z399" s="37" t="n">
        <f aca="false">p_eo^2/L_G^2/R399</f>
        <v>4.17604431331785E-011</v>
      </c>
      <c r="AA399" s="37" t="n">
        <f aca="false">SUM(S399:Z399)</f>
        <v>1.68487229366701E-010</v>
      </c>
      <c r="AB399" s="47" t="n">
        <f aca="false">10*LOG10(AA399/L_PREF^2)</f>
        <v>-3.7549300259394</v>
      </c>
      <c r="AC399" s="47" t="n">
        <f aca="false">10*LOG10(S399/L_PREF^2)</f>
        <v>-18.8907381464835</v>
      </c>
      <c r="AD399" s="47" t="n">
        <f aca="false">10*LOG10(T399/L_PREF^2)</f>
        <v>-9.59809815264416</v>
      </c>
      <c r="AE399" s="47" t="n">
        <f aca="false">10*LOG10(U399/L_PREF^2)</f>
        <v>-10.7851485708189</v>
      </c>
      <c r="AF399" s="47" t="n">
        <f aca="false">10*LOG10(V399/L_PREF^2)</f>
        <v>-22.8394282298933</v>
      </c>
      <c r="AG399" s="47" t="n">
        <f aca="false">10*LOG10(W399/L_PREF^2)</f>
        <v>-47.4812404973369</v>
      </c>
      <c r="AH399" s="47" t="n">
        <f aca="false">10*LOG10(X399/L_PREF^2)</f>
        <v>-9.76629803250132</v>
      </c>
      <c r="AI399" s="47" t="n">
        <f aca="false">10*LOG10(Y399/L_PREF^2)</f>
        <v>-55.667621287496</v>
      </c>
      <c r="AJ399" s="47" t="n">
        <f aca="false">10*LOG10(Z399/L_PREF^2)</f>
        <v>-9.81294892874152</v>
      </c>
      <c r="AK399" s="47" t="n">
        <f aca="false">10*LOG10(R399/$R$6)</f>
        <v>-11.4747601176845</v>
      </c>
      <c r="AL399" s="37" t="n">
        <f aca="false">(12194^2*B399^4/((B399^2+20.6^2)*SQRT((B399^2+107.7^2)*(B399^2+737.9^2))*(B399^2+12194^2))*1.2589254)^2</f>
        <v>0.000832317939686469</v>
      </c>
      <c r="AM399" s="37" t="n">
        <v>0</v>
      </c>
      <c r="AN399" s="37" t="n">
        <v>0</v>
      </c>
      <c r="AO399" s="37" t="n">
        <v>0</v>
      </c>
      <c r="AP399" s="37" t="n">
        <v>0</v>
      </c>
      <c r="AQ399" s="37" t="n">
        <v>0</v>
      </c>
      <c r="AR399" s="37" t="n">
        <v>0</v>
      </c>
      <c r="AS399" s="37" t="n">
        <v>0</v>
      </c>
      <c r="AT399" s="37" t="n">
        <v>0</v>
      </c>
      <c r="AU399" s="37" t="n">
        <v>0</v>
      </c>
      <c r="AV399" s="37" t="n">
        <v>0</v>
      </c>
      <c r="AW399" s="37" t="n">
        <v>0</v>
      </c>
      <c r="AX399" s="37" t="n">
        <v>0</v>
      </c>
      <c r="AY399" s="37" t="n">
        <v>0</v>
      </c>
      <c r="AZ399" s="37" t="n">
        <v>0</v>
      </c>
      <c r="BA399" s="37" t="n">
        <v>0</v>
      </c>
      <c r="BB399" s="37" t="n">
        <v>0</v>
      </c>
      <c r="BC399" s="37" t="n">
        <v>0</v>
      </c>
      <c r="BD399" s="37" t="n">
        <v>0</v>
      </c>
      <c r="BE399" s="37" t="n">
        <f aca="false">IF(B399&gt;2000,AK399,-999)</f>
        <v>-11.4747601176845</v>
      </c>
      <c r="BF399" s="37" t="n">
        <f aca="false">IF(AND(B399&lt;1000,AK399&gt;=-3),B399,1000000000)</f>
        <v>1000000000</v>
      </c>
    </row>
    <row r="400" customFormat="false" ht="15" hidden="false" customHeight="false" outlineLevel="0" collapsed="false">
      <c r="A400" s="5" t="n">
        <v>361</v>
      </c>
      <c r="B400" s="47" t="n">
        <f aca="false">20*10^(A400/100)</f>
        <v>81476.0555608225</v>
      </c>
      <c r="C400" s="37" t="n">
        <f aca="false">2*PI()*B400</f>
        <v>511929.155186708</v>
      </c>
      <c r="D400" s="37" t="n">
        <f aca="false">SQRT(L_Rp0^2+L_Rp1^2*C400)</f>
        <v>317038971.148092</v>
      </c>
      <c r="E400" s="5" t="str">
        <f aca="false">COMPLEX(D400,C400*L_Mp)</f>
        <v>317038971.148092+7562585642.85844i</v>
      </c>
      <c r="F400" s="5" t="str">
        <f aca="false">IMDIV(1,E400)</f>
        <v>5.53362155372384e-12-1.31997926827917e-10i</v>
      </c>
      <c r="G400" s="5" t="str">
        <f aca="false">COMPLEX(0,C400*L_Cf)</f>
        <v>5.4132299374718e-10i</v>
      </c>
      <c r="H400" s="5" t="str">
        <f aca="false">COMPLEX(0,C400*L_Cbv)</f>
        <v>5.4132299374718e-09i</v>
      </c>
      <c r="I400" s="5" t="str">
        <f aca="false">COMPLEX(L_Rsq+L_Rh,C400*(L_Md+L_Mh)-1/(C400*L_Cd))</f>
        <v>552400610.124532-321324725.357488i</v>
      </c>
      <c r="J400" s="5" t="str">
        <f aca="false">IMDIV(1,I400)</f>
        <v>1.35261019275622e-09+7.86796920092379e-10i</v>
      </c>
      <c r="K400" s="5" t="str">
        <f aca="false">IMSUM(F400,G400,H400)</f>
        <v>5.53362155372384e-12+5.82255500439106e-09i</v>
      </c>
      <c r="L400" s="5" t="str">
        <f aca="false">IMSUM(IMPRODUCT(IMSUM(F400,G400),H400),IMPRODUCT(IMSUM(J400,L_Yv),K400))</f>
        <v>-6.78944315076883e-18+7.92160095908456e-18i</v>
      </c>
      <c r="M400" s="37" t="n">
        <f aca="false">IMABS(IMDIV(IMPRODUCT(J400,F400,H400),L400))^2</f>
        <v>1.15055294840364E-020</v>
      </c>
      <c r="N400" s="5" t="str">
        <f aca="false">IMDIV(IMPRODUCT(L_Yv,K400,E400),H400)</f>
        <v>0.000697485736525802+0.0162682232293432i</v>
      </c>
      <c r="O400" s="37" t="n">
        <f aca="false">IMABS(IMSUM(1,IMPRODUCT(E400,G400),N400))^2</f>
        <v>9.60259461382415</v>
      </c>
      <c r="P400" s="37" t="n">
        <f aca="false">IMABS(N400)^2</f>
        <v>0.000265141573392399</v>
      </c>
      <c r="Q400" s="37" t="n">
        <f aca="false">p_Rb^2/(1+(C400*p_Rb*L_Ctot)^2)</f>
        <v>629003043425.843</v>
      </c>
      <c r="R400" s="37" t="n">
        <f aca="false">M400*L_Kt^2*Q400</f>
        <v>1.45243525343983E-006</v>
      </c>
      <c r="S400" s="37" t="n">
        <f aca="false">L_kT4*D400</f>
        <v>5.22024321587243E-012</v>
      </c>
      <c r="T400" s="37" t="n">
        <f aca="false">L_kT4*L_Rsq*O400</f>
        <v>4.96021197385101E-011</v>
      </c>
      <c r="U400" s="37" t="n">
        <f aca="false">L_kT4*L_Rh*O400</f>
        <v>3.77394176683166E-011</v>
      </c>
      <c r="V400" s="37" t="n">
        <f aca="false">L_kT4*p_Rv*P400</f>
        <v>2.18286019339383E-012</v>
      </c>
      <c r="W400" s="37" t="n">
        <f aca="false">L_kT4/p_Rb*Q400/R400</f>
        <v>7.13073099197425E-015</v>
      </c>
      <c r="X400" s="37" t="n">
        <f aca="false">p_en^2*(1+p_fc/B400)/R400</f>
        <v>4.41180083818151E-011</v>
      </c>
      <c r="Y400" s="37" t="n">
        <f aca="false">p_in^2*Q400/R400</f>
        <v>1.08266967828026E-015</v>
      </c>
      <c r="Z400" s="37" t="n">
        <f aca="false">p_eo^2/L_G^2/R400</f>
        <v>4.3647885541406E-011</v>
      </c>
      <c r="AA400" s="37" t="n">
        <f aca="false">SUM(S400:Z400)</f>
        <v>1.82518748139984E-010</v>
      </c>
      <c r="AB400" s="47" t="n">
        <f aca="false">10*LOG10(AA400/L_PREF^2)</f>
        <v>-3.4075250995713</v>
      </c>
      <c r="AC400" s="47" t="n">
        <f aca="false">10*LOG10(S400/L_PREF^2)</f>
        <v>-18.8436925367999</v>
      </c>
      <c r="AD400" s="47" t="n">
        <f aca="false">10*LOG10(T400/L_PREF^2)</f>
        <v>-9.06559754937219</v>
      </c>
      <c r="AE400" s="47" t="n">
        <f aca="false">10*LOG10(U400/L_PREF^2)</f>
        <v>-10.2526479675469</v>
      </c>
      <c r="AF400" s="47" t="n">
        <f aca="false">10*LOG10(V400/L_PREF^2)</f>
        <v>-22.6303407017766</v>
      </c>
      <c r="AG400" s="47" t="n">
        <f aca="false">10*LOG10(W400/L_PREF^2)</f>
        <v>-47.4892593840345</v>
      </c>
      <c r="AH400" s="47" t="n">
        <f aca="false">10*LOG10(X400/L_PREF^2)</f>
        <v>-9.5744409246259</v>
      </c>
      <c r="AI400" s="47" t="n">
        <f aca="false">10*LOG10(Y400/L_PREF^2)</f>
        <v>-55.6756401741936</v>
      </c>
      <c r="AJ400" s="47" t="n">
        <f aca="false">10*LOG10(Z400/L_PREF^2)</f>
        <v>-9.62096781543923</v>
      </c>
      <c r="AK400" s="47" t="n">
        <f aca="false">10*LOG10(R400/$R$6)</f>
        <v>-11.6667412309868</v>
      </c>
      <c r="AL400" s="37" t="n">
        <f aca="false">(12194^2*B400^4/((B400^2+20.6^2)*SQRT((B400^2+107.7^2)*(B400^2+737.9^2))*(B400^2+12194^2))*1.2589254)^2</f>
        <v>0.000760654327024275</v>
      </c>
      <c r="AM400" s="37" t="n">
        <v>0</v>
      </c>
      <c r="AN400" s="37" t="n">
        <v>0</v>
      </c>
      <c r="AO400" s="37" t="n">
        <v>0</v>
      </c>
      <c r="AP400" s="37" t="n">
        <v>0</v>
      </c>
      <c r="AQ400" s="37" t="n">
        <v>0</v>
      </c>
      <c r="AR400" s="37" t="n">
        <v>0</v>
      </c>
      <c r="AS400" s="37" t="n">
        <v>0</v>
      </c>
      <c r="AT400" s="37" t="n">
        <v>0</v>
      </c>
      <c r="AU400" s="37" t="n">
        <v>0</v>
      </c>
      <c r="AV400" s="37" t="n">
        <v>0</v>
      </c>
      <c r="AW400" s="37" t="n">
        <v>0</v>
      </c>
      <c r="AX400" s="37" t="n">
        <v>0</v>
      </c>
      <c r="AY400" s="37" t="n">
        <v>0</v>
      </c>
      <c r="AZ400" s="37" t="n">
        <v>0</v>
      </c>
      <c r="BA400" s="37" t="n">
        <v>0</v>
      </c>
      <c r="BB400" s="37" t="n">
        <v>0</v>
      </c>
      <c r="BC400" s="37" t="n">
        <v>0</v>
      </c>
      <c r="BD400" s="37" t="n">
        <v>0</v>
      </c>
      <c r="BE400" s="37" t="n">
        <f aca="false">IF(B400&gt;2000,AK400,-999)</f>
        <v>-11.6667412309868</v>
      </c>
      <c r="BF400" s="37" t="n">
        <f aca="false">IF(AND(B400&lt;1000,AK400&gt;=-3),B400,1000000000)</f>
        <v>1000000000</v>
      </c>
    </row>
    <row r="401" customFormat="false" ht="15" hidden="false" customHeight="false" outlineLevel="0" collapsed="false">
      <c r="A401" s="5" t="n">
        <v>362</v>
      </c>
      <c r="B401" s="47" t="n">
        <f aca="false">20*10^(A401/100)</f>
        <v>83373.8766940671</v>
      </c>
      <c r="C401" s="37" t="n">
        <f aca="false">2*PI()*B401</f>
        <v>523853.517046765</v>
      </c>
      <c r="D401" s="37" t="n">
        <f aca="false">SQRT(L_Rp0^2+L_Rp1^2*C401)</f>
        <v>320496688.875421</v>
      </c>
      <c r="E401" s="5" t="str">
        <f aca="false">COMPLEX(D401,C401*L_Mp)</f>
        <v>320496688.875421+7738740891.86009i</v>
      </c>
      <c r="F401" s="5" t="str">
        <f aca="false">IMDIV(1,E401)</f>
        <v>5.34242809641837e-12-1.28998732924962e-10i</v>
      </c>
      <c r="G401" s="5" t="str">
        <f aca="false">COMPLEX(0,C401*L_Cf)</f>
        <v>5.53932026061928e-10i</v>
      </c>
      <c r="H401" s="5" t="str">
        <f aca="false">COMPLEX(0,C401*L_Cbv)</f>
        <v>5.53932026061928e-09i</v>
      </c>
      <c r="I401" s="5" t="str">
        <f aca="false">COMPLEX(L_Rsq+L_Rh,C401*(L_Md+L_Mh)-1/(C401*L_Cd))</f>
        <v>552400610.124532-225171467.385959i</v>
      </c>
      <c r="J401" s="5" t="str">
        <f aca="false">IMDIV(1,I401)</f>
        <v>1.55234718695845e-09+6.32773185933122e-10i</v>
      </c>
      <c r="K401" s="5" t="str">
        <f aca="false">IMSUM(F401,G401,H401)</f>
        <v>5.34242809641837e-12+5.96425355375625e-09i</v>
      </c>
      <c r="L401" s="5" t="str">
        <f aca="false">IMSUM(IMPRODUCT(IMSUM(F401,G401),H401),IMPRODUCT(IMSUM(J401,L_Yv),K401))</f>
        <v>-6.11955733492536e-18+9.30349469903055e-18i</v>
      </c>
      <c r="M401" s="37" t="n">
        <f aca="false">IMABS(IMDIV(IMPRODUCT(J401,F401,H401),L401))^2</f>
        <v>1.15911658272207E-020</v>
      </c>
      <c r="N401" s="5" t="str">
        <f aca="false">IMDIV(IMPRODUCT(L_Yv,K401,E401),H401)</f>
        <v>0.000705092715525928+0.0166641748315163i</v>
      </c>
      <c r="O401" s="37" t="n">
        <f aca="false">IMABS(IMSUM(1,IMPRODUCT(E401,G401),N401))^2</f>
        <v>10.8357145834578</v>
      </c>
      <c r="P401" s="37" t="n">
        <f aca="false">IMABS(N401)^2</f>
        <v>0.000278191878552829</v>
      </c>
      <c r="Q401" s="37" t="n">
        <f aca="false">p_Rb^2/(1+(C401*p_Rb*L_Ctot)^2)</f>
        <v>600693243056.616</v>
      </c>
      <c r="R401" s="37" t="n">
        <f aca="false">M401*L_Kt^2*Q401</f>
        <v>1.39738890560286E-006</v>
      </c>
      <c r="S401" s="37" t="n">
        <f aca="false">L_kT4*D401</f>
        <v>5.27717668194799E-012</v>
      </c>
      <c r="T401" s="37" t="n">
        <f aca="false">L_kT4*L_Rsq*O401</f>
        <v>5.59717903166748E-011</v>
      </c>
      <c r="U401" s="37" t="n">
        <f aca="false">L_kT4*L_Rh*O401</f>
        <v>4.25857359229841E-011</v>
      </c>
      <c r="V401" s="37" t="n">
        <f aca="false">L_kT4*p_Rv*P401</f>
        <v>2.29030087605202E-012</v>
      </c>
      <c r="W401" s="37" t="n">
        <f aca="false">L_kT4/p_Rb*Q401/R401</f>
        <v>7.07804865307182E-015</v>
      </c>
      <c r="X401" s="37" t="n">
        <f aca="false">p_en^2*(1+p_fc/B401)/R401</f>
        <v>4.58546381730178E-011</v>
      </c>
      <c r="Y401" s="37" t="n">
        <f aca="false">p_in^2*Q401/R401</f>
        <v>1.07467083903436E-015</v>
      </c>
      <c r="Z401" s="37" t="n">
        <f aca="false">p_eo^2/L_G^2/R401</f>
        <v>4.53672756698281E-011</v>
      </c>
      <c r="AA401" s="37" t="n">
        <f aca="false">SUM(S401:Z401)</f>
        <v>1.97355070359997E-010</v>
      </c>
      <c r="AB401" s="47" t="n">
        <f aca="false">10*LOG10(AA401/L_PREF^2)</f>
        <v>-3.06811702749553</v>
      </c>
      <c r="AC401" s="47" t="n">
        <f aca="false">10*LOG10(S401/L_PREF^2)</f>
        <v>-18.796583565576</v>
      </c>
      <c r="AD401" s="47" t="n">
        <f aca="false">10*LOG10(T401/L_PREF^2)</f>
        <v>-8.54090792832567</v>
      </c>
      <c r="AE401" s="47" t="n">
        <f aca="false">10*LOG10(U401/L_PREF^2)</f>
        <v>-9.7279583465004</v>
      </c>
      <c r="AF401" s="47" t="n">
        <f aca="false">10*LOG10(V401/L_PREF^2)</f>
        <v>-22.4216745212091</v>
      </c>
      <c r="AG401" s="47" t="n">
        <f aca="false">10*LOG10(W401/L_PREF^2)</f>
        <v>-47.5214644776396</v>
      </c>
      <c r="AH401" s="47" t="n">
        <f aca="false">10*LOG10(X401/L_PREF^2)</f>
        <v>-9.40676720437082</v>
      </c>
      <c r="AI401" s="47" t="n">
        <f aca="false">10*LOG10(Y401/L_PREF^2)</f>
        <v>-55.7078452677988</v>
      </c>
      <c r="AJ401" s="47" t="n">
        <f aca="false">10*LOG10(Z401/L_PREF^2)</f>
        <v>-9.45317290904454</v>
      </c>
      <c r="AK401" s="47" t="n">
        <f aca="false">10*LOG10(R401/$R$6)</f>
        <v>-11.8345361373815</v>
      </c>
      <c r="AL401" s="37" t="n">
        <f aca="false">(12194^2*B401^4/((B401^2+20.6^2)*SQRT((B401^2+107.7^2)*(B401^2+737.9^2))*(B401^2+12194^2))*1.2589254)^2</f>
        <v>0.000695097727552017</v>
      </c>
      <c r="AM401" s="37" t="n">
        <v>0</v>
      </c>
      <c r="AN401" s="37" t="n">
        <v>0</v>
      </c>
      <c r="AO401" s="37" t="n">
        <v>0</v>
      </c>
      <c r="AP401" s="37" t="n">
        <v>0</v>
      </c>
      <c r="AQ401" s="37" t="n">
        <v>0</v>
      </c>
      <c r="AR401" s="37" t="n">
        <v>0</v>
      </c>
      <c r="AS401" s="37" t="n">
        <v>0</v>
      </c>
      <c r="AT401" s="37" t="n">
        <v>0</v>
      </c>
      <c r="AU401" s="37" t="n">
        <v>0</v>
      </c>
      <c r="AV401" s="37" t="n">
        <v>0</v>
      </c>
      <c r="AW401" s="37" t="n">
        <v>0</v>
      </c>
      <c r="AX401" s="37" t="n">
        <v>0</v>
      </c>
      <c r="AY401" s="37" t="n">
        <v>0</v>
      </c>
      <c r="AZ401" s="37" t="n">
        <v>0</v>
      </c>
      <c r="BA401" s="37" t="n">
        <v>0</v>
      </c>
      <c r="BB401" s="37" t="n">
        <v>0</v>
      </c>
      <c r="BC401" s="37" t="n">
        <v>0</v>
      </c>
      <c r="BD401" s="37" t="n">
        <v>0</v>
      </c>
      <c r="BE401" s="37" t="n">
        <f aca="false">IF(B401&gt;2000,AK401,-999)</f>
        <v>-11.8345361373815</v>
      </c>
      <c r="BF401" s="37" t="n">
        <f aca="false">IF(AND(B401&lt;1000,AK401&gt;=-3),B401,1000000000)</f>
        <v>1000000000</v>
      </c>
    </row>
    <row r="402" customFormat="false" ht="15" hidden="false" customHeight="false" outlineLevel="0" collapsed="false">
      <c r="A402" s="5" t="n">
        <v>363</v>
      </c>
      <c r="B402" s="47" t="n">
        <f aca="false">20*10^(A402/100)</f>
        <v>85315.9037603185</v>
      </c>
      <c r="C402" s="37" t="n">
        <f aca="false">2*PI()*B402</f>
        <v>536055.632975581</v>
      </c>
      <c r="D402" s="37" t="n">
        <f aca="false">SQRT(L_Rp0^2+L_Rp1^2*C402)</f>
        <v>323996749.109102</v>
      </c>
      <c r="E402" s="5" t="str">
        <f aca="false">COMPLEX(D402,C402*L_Mp)</f>
        <v>323996749.109102+7918999323.71693i</v>
      </c>
      <c r="F402" s="5" t="str">
        <f aca="false">IMDIV(1,E402)</f>
        <v>5.15790886609459e-12-1.26067551402012e-10i</v>
      </c>
      <c r="G402" s="5" t="str">
        <f aca="false">COMPLEX(0,C402*L_Cf)</f>
        <v>5.6683476046905e-10i</v>
      </c>
      <c r="H402" s="5" t="str">
        <f aca="false">COMPLEX(0,C402*L_Cbv)</f>
        <v>5.6683476046905e-09i</v>
      </c>
      <c r="I402" s="5" t="str">
        <f aca="false">COMPLEX(L_Rsq+L_Rh,C402*(L_Md+L_Mh)-1/(C402*L_Cd))</f>
        <v>552400610.124532-129137598.306938i</v>
      </c>
      <c r="J402" s="5" t="str">
        <f aca="false">IMDIV(1,I402)</f>
        <v>1.71647362114167e-09+4.01269073438346e-10i</v>
      </c>
      <c r="K402" s="5" t="str">
        <f aca="false">IMSUM(F402,G402,H402)</f>
        <v>5.15790886609459e-12+6.10911481375754e-09i</v>
      </c>
      <c r="L402" s="5" t="str">
        <f aca="false">IMSUM(IMPRODUCT(IMSUM(F402,G402),H402),IMPRODUCT(IMSUM(J402,L_Yv),K402))</f>
        <v>-4.94095686425959e-18+1.0529659185646e-17i</v>
      </c>
      <c r="M402" s="37" t="n">
        <f aca="false">IMABS(IMDIV(IMPRODUCT(J402,F402,H402),L402))^2</f>
        <v>1.17482612159821E-020</v>
      </c>
      <c r="N402" s="5" t="str">
        <f aca="false">IMDIV(IMPRODUCT(L_Yv,K402,E402),H402)</f>
        <v>0.000712792848040026+0.0170689619997614i</v>
      </c>
      <c r="O402" s="37" t="n">
        <f aca="false">IMABS(IMSUM(1,IMPRODUCT(E402,G402),N402))^2</f>
        <v>12.2067909687327</v>
      </c>
      <c r="P402" s="37" t="n">
        <f aca="false">IMABS(N402)^2</f>
        <v>0.000291857537393516</v>
      </c>
      <c r="Q402" s="37" t="n">
        <f aca="false">p_Rb^2/(1+(C402*p_Rb*L_Ctot)^2)</f>
        <v>573657593592.257</v>
      </c>
      <c r="R402" s="37" t="n">
        <f aca="false">M402*L_Kt^2*Q402</f>
        <v>1.35258250617898E-006</v>
      </c>
      <c r="S402" s="37" t="n">
        <f aca="false">L_kT4*D402</f>
        <v>5.3348073436419E-012</v>
      </c>
      <c r="T402" s="37" t="n">
        <f aca="false">L_kT4*L_Rsq*O402</f>
        <v>6.30540735711546E-011</v>
      </c>
      <c r="U402" s="37" t="n">
        <f aca="false">L_kT4*L_Rh*O402</f>
        <v>4.79742404303555E-011</v>
      </c>
      <c r="V402" s="37" t="n">
        <f aca="false">L_kT4*p_Rv*P402</f>
        <v>2.40280764863456E-012</v>
      </c>
      <c r="W402" s="37" t="n">
        <f aca="false">L_kT4/p_Rb*Q402/R402</f>
        <v>6.98340240845872E-015</v>
      </c>
      <c r="X402" s="37" t="n">
        <f aca="false">p_en^2*(1+p_fc/B402)/R402</f>
        <v>4.73723525399577E-011</v>
      </c>
      <c r="Y402" s="37" t="n">
        <f aca="false">p_in^2*Q402/R402</f>
        <v>1.06030055647553E-015</v>
      </c>
      <c r="Z402" s="37" t="n">
        <f aca="false">p_eo^2/L_G^2/R402</f>
        <v>4.68701372440016E-011</v>
      </c>
      <c r="AA402" s="37" t="n">
        <f aca="false">SUM(S402:Z402)</f>
        <v>2.13016462480711E-010</v>
      </c>
      <c r="AB402" s="47" t="n">
        <f aca="false">10*LOG10(AA402/L_PREF^2)</f>
        <v>-2.73646823155632</v>
      </c>
      <c r="AC402" s="47" t="n">
        <f aca="false">10*LOG10(S402/L_PREF^2)</f>
        <v>-18.749412509984</v>
      </c>
      <c r="AD402" s="47" t="n">
        <f aca="false">10*LOG10(T402/L_PREF^2)</f>
        <v>-8.02346842174198</v>
      </c>
      <c r="AE402" s="47" t="n">
        <f aca="false">10*LOG10(U402/L_PREF^2)</f>
        <v>-9.21051883991671</v>
      </c>
      <c r="AF402" s="47" t="n">
        <f aca="false">10*LOG10(V402/L_PREF^2)</f>
        <v>-22.2134098560113</v>
      </c>
      <c r="AG402" s="47" t="n">
        <f aca="false">10*LOG10(W402/L_PREF^2)</f>
        <v>-47.579929229748</v>
      </c>
      <c r="AH402" s="47" t="n">
        <f aca="false">10*LOG10(X402/L_PREF^2)</f>
        <v>-9.26535038735267</v>
      </c>
      <c r="AI402" s="47" t="n">
        <f aca="false">10*LOG10(Y402/L_PREF^2)</f>
        <v>-55.7663100199071</v>
      </c>
      <c r="AJ402" s="47" t="n">
        <f aca="false">10*LOG10(Z402/L_PREF^2)</f>
        <v>-9.31163766115299</v>
      </c>
      <c r="AK402" s="47" t="n">
        <f aca="false">10*LOG10(R402/$R$6)</f>
        <v>-11.976071385273</v>
      </c>
      <c r="AL402" s="37" t="n">
        <f aca="false">(12194^2*B402^4/((B402^2+20.6^2)*SQRT((B402^2+107.7^2)*(B402^2+737.9^2))*(B402^2+12194^2))*1.2589254)^2</f>
        <v>0.000635135732998956</v>
      </c>
      <c r="AM402" s="37" t="n">
        <v>0</v>
      </c>
      <c r="AN402" s="37" t="n">
        <v>0</v>
      </c>
      <c r="AO402" s="37" t="n">
        <v>0</v>
      </c>
      <c r="AP402" s="37" t="n">
        <v>0</v>
      </c>
      <c r="AQ402" s="37" t="n">
        <v>0</v>
      </c>
      <c r="AR402" s="37" t="n">
        <v>0</v>
      </c>
      <c r="AS402" s="37" t="n">
        <v>0</v>
      </c>
      <c r="AT402" s="37" t="n">
        <v>0</v>
      </c>
      <c r="AU402" s="37" t="n">
        <v>0</v>
      </c>
      <c r="AV402" s="37" t="n">
        <v>0</v>
      </c>
      <c r="AW402" s="37" t="n">
        <v>0</v>
      </c>
      <c r="AX402" s="37" t="n">
        <v>0</v>
      </c>
      <c r="AY402" s="37" t="n">
        <v>0</v>
      </c>
      <c r="AZ402" s="37" t="n">
        <v>0</v>
      </c>
      <c r="BA402" s="37" t="n">
        <v>0</v>
      </c>
      <c r="BB402" s="37" t="n">
        <v>0</v>
      </c>
      <c r="BC402" s="37" t="n">
        <v>0</v>
      </c>
      <c r="BD402" s="37" t="n">
        <v>0</v>
      </c>
      <c r="BE402" s="37" t="n">
        <f aca="false">IF(B402&gt;2000,AK402,-999)</f>
        <v>-11.976071385273</v>
      </c>
      <c r="BF402" s="37" t="n">
        <f aca="false">IF(AND(B402&lt;1000,AK402&gt;=-3),B402,1000000000)</f>
        <v>1000000000</v>
      </c>
    </row>
    <row r="403" customFormat="false" ht="15" hidden="false" customHeight="false" outlineLevel="0" collapsed="false">
      <c r="A403" s="5" t="n">
        <v>364</v>
      </c>
      <c r="B403" s="47" t="n">
        <f aca="false">20*10^(A403/100)</f>
        <v>87303.1664480332</v>
      </c>
      <c r="C403" s="37" t="n">
        <f aca="false">2*PI()*B403</f>
        <v>548541.972696536</v>
      </c>
      <c r="D403" s="37" t="n">
        <f aca="false">SQRT(L_Rp0^2+L_Rp1^2*C403)</f>
        <v>327539620.233995</v>
      </c>
      <c r="E403" s="5" t="str">
        <f aca="false">COMPLEX(D403,C403*L_Mp)</f>
        <v>327539620.233995+8103456513.83558i</v>
      </c>
      <c r="F403" s="5" t="str">
        <f aca="false">IMDIV(1,E403)</f>
        <v>4.97982724986375e-12-1.23202846534583e-10i</v>
      </c>
      <c r="G403" s="5" t="str">
        <f aca="false">COMPLEX(0,C403*L_Cf)</f>
        <v>5.80038038169119e-10i</v>
      </c>
      <c r="H403" s="5" t="str">
        <f aca="false">COMPLEX(0,C403*L_Cbv)</f>
        <v>5.8003803816912e-09i</v>
      </c>
      <c r="I403" s="5" t="str">
        <f aca="false">COMPLEX(L_Rsq+L_Rh,C403*(L_Md+L_Mh)-1/(C403*L_Cd))</f>
        <v>552400610.124532-33172199.6918709i</v>
      </c>
      <c r="J403" s="5" t="str">
        <f aca="false">IMDIV(1,I403)</f>
        <v>1.80377577169258e-09+1.08318508345702e-10i</v>
      </c>
      <c r="K403" s="5" t="str">
        <f aca="false">IMSUM(F403,G403,H403)</f>
        <v>4.97982724986375e-12+6.25721557332574e-09i</v>
      </c>
      <c r="L403" s="5" t="str">
        <f aca="false">IMSUM(IMPRODUCT(IMSUM(F403,G403),H403),IMPRODUCT(IMSUM(J403,L_Yv),K403))</f>
        <v>-3.31859768912822e-18+1.13285525803129e-17i</v>
      </c>
      <c r="M403" s="37" t="n">
        <f aca="false">IMABS(IMDIV(IMPRODUCT(J403,F403,H403),L403))^2</f>
        <v>1.19863601903215E-020</v>
      </c>
      <c r="N403" s="5" t="str">
        <f aca="false">IMDIV(IMPRODUCT(L_Yv,K403,E403),H403)</f>
        <v>0.00072058716451479+0.0174827993575932i</v>
      </c>
      <c r="O403" s="37" t="n">
        <f aca="false">IMABS(IMSUM(1,IMPRODUCT(E403,G403),N403))^2</f>
        <v>13.7300272291026</v>
      </c>
      <c r="P403" s="37" t="n">
        <f aca="false">IMABS(N403)^2</f>
        <v>0.000306167519239525</v>
      </c>
      <c r="Q403" s="37" t="n">
        <f aca="false">p_Rb^2/(1+(C403*p_Rb*L_Ctot)^2)</f>
        <v>547838748795.516</v>
      </c>
      <c r="R403" s="37" t="n">
        <f aca="false">M403*L_Kt^2*Q403</f>
        <v>1.31788494248971E-006</v>
      </c>
      <c r="S403" s="37" t="n">
        <f aca="false">L_kT4*D403</f>
        <v>5.39314291320125E-012</v>
      </c>
      <c r="T403" s="37" t="n">
        <f aca="false">L_kT4*L_Rsq*O403</f>
        <v>7.09223373493777E-011</v>
      </c>
      <c r="U403" s="37" t="n">
        <f aca="false">L_kT4*L_Rh*O403</f>
        <v>5.39607525918571E-011</v>
      </c>
      <c r="V403" s="37" t="n">
        <f aca="false">L_kT4*p_Rv*P403</f>
        <v>2.52061901009018E-012</v>
      </c>
      <c r="W403" s="37" t="n">
        <f aca="false">L_kT4/p_Rb*Q403/R403</f>
        <v>6.84468298701203E-015</v>
      </c>
      <c r="X403" s="37" t="n">
        <f aca="false">p_en^2*(1+p_fc/B403)/R403</f>
        <v>4.86182865431661E-011</v>
      </c>
      <c r="Y403" s="37" t="n">
        <f aca="false">p_in^2*Q403/R403</f>
        <v>1.03923857677696E-015</v>
      </c>
      <c r="Z403" s="37" t="n">
        <f aca="false">p_eo^2/L_G^2/R403</f>
        <v>4.8104144492826E-011</v>
      </c>
      <c r="AA403" s="37" t="n">
        <f aca="false">SUM(S403:Z403)</f>
        <v>2.29527166822082E-010</v>
      </c>
      <c r="AB403" s="47" t="n">
        <f aca="false">10*LOG10(AA403/L_PREF^2)</f>
        <v>-2.41225895342854</v>
      </c>
      <c r="AC403" s="47" t="n">
        <f aca="false">10*LOG10(S403/L_PREF^2)</f>
        <v>-18.702180624931</v>
      </c>
      <c r="AD403" s="47" t="n">
        <f aca="false">10*LOG10(T403/L_PREF^2)</f>
        <v>-7.51276951353259</v>
      </c>
      <c r="AE403" s="47" t="n">
        <f aca="false">10*LOG10(U403/L_PREF^2)</f>
        <v>-8.69981993170731</v>
      </c>
      <c r="AF403" s="47" t="n">
        <f aca="false">10*LOG10(V403/L_PREF^2)</f>
        <v>-22.0055278401708</v>
      </c>
      <c r="AG403" s="47" t="n">
        <f aca="false">10*LOG10(W403/L_PREF^2)</f>
        <v>-47.6670665283598</v>
      </c>
      <c r="AH403" s="47" t="n">
        <f aca="false">10*LOG10(X403/L_PREF^2)</f>
        <v>-9.15260342414244</v>
      </c>
      <c r="AI403" s="47" t="n">
        <f aca="false">10*LOG10(Y403/L_PREF^2)</f>
        <v>-55.853447318519</v>
      </c>
      <c r="AJ403" s="47" t="n">
        <f aca="false">10*LOG10(Z403/L_PREF^2)</f>
        <v>-9.19877495976493</v>
      </c>
      <c r="AK403" s="47" t="n">
        <f aca="false">10*LOG10(R403/$R$6)</f>
        <v>-12.0889340866611</v>
      </c>
      <c r="AL403" s="37" t="n">
        <f aca="false">(12194^2*B403^4/((B403^2+20.6^2)*SQRT((B403^2+107.7^2)*(B403^2+737.9^2))*(B403^2+12194^2))*1.2589254)^2</f>
        <v>0.000580297915428583</v>
      </c>
      <c r="AM403" s="37" t="n">
        <v>0</v>
      </c>
      <c r="AN403" s="37" t="n">
        <v>0</v>
      </c>
      <c r="AO403" s="37" t="n">
        <v>0</v>
      </c>
      <c r="AP403" s="37" t="n">
        <v>0</v>
      </c>
      <c r="AQ403" s="37" t="n">
        <v>0</v>
      </c>
      <c r="AR403" s="37" t="n">
        <v>0</v>
      </c>
      <c r="AS403" s="37" t="n">
        <v>0</v>
      </c>
      <c r="AT403" s="37" t="n">
        <v>0</v>
      </c>
      <c r="AU403" s="37" t="n">
        <v>0</v>
      </c>
      <c r="AV403" s="37" t="n">
        <v>0</v>
      </c>
      <c r="AW403" s="37" t="n">
        <v>0</v>
      </c>
      <c r="AX403" s="37" t="n">
        <v>0</v>
      </c>
      <c r="AY403" s="37" t="n">
        <v>0</v>
      </c>
      <c r="AZ403" s="37" t="n">
        <v>0</v>
      </c>
      <c r="BA403" s="37" t="n">
        <v>0</v>
      </c>
      <c r="BB403" s="37" t="n">
        <v>0</v>
      </c>
      <c r="BC403" s="37" t="n">
        <v>0</v>
      </c>
      <c r="BD403" s="37" t="n">
        <v>0</v>
      </c>
      <c r="BE403" s="37" t="n">
        <f aca="false">IF(B403&gt;2000,AK403,-999)</f>
        <v>-12.0889340866611</v>
      </c>
      <c r="BF403" s="37" t="n">
        <f aca="false">IF(AND(B403&lt;1000,AK403&gt;=-3),B403,1000000000)</f>
        <v>1000000000</v>
      </c>
    </row>
    <row r="404" customFormat="false" ht="15" hidden="false" customHeight="false" outlineLevel="0" collapsed="false">
      <c r="A404" s="5" t="n">
        <v>365</v>
      </c>
      <c r="B404" s="47" t="n">
        <f aca="false">20*10^(A404/100)</f>
        <v>89336.7184301926</v>
      </c>
      <c r="C404" s="37" t="n">
        <f aca="false">2*PI()*B404</f>
        <v>561319.156632226</v>
      </c>
      <c r="D404" s="37" t="n">
        <f aca="false">SQRT(L_Rp0^2+L_Rp1^2*C404)</f>
        <v>331125776.172122</v>
      </c>
      <c r="E404" s="5" t="str">
        <f aca="false">COMPLEX(D404,C404*L_Mp)</f>
        <v>331125776.172122+8292210263.85977i</v>
      </c>
      <c r="F404" s="5" t="str">
        <f aca="false">IMDIV(1,E404)</f>
        <v>4.80795521121705e-12-1.20403116941002e-10i</v>
      </c>
      <c r="G404" s="5" t="str">
        <f aca="false">COMPLEX(0,C404*L_Cf)</f>
        <v>5.93548859714736e-10i</v>
      </c>
      <c r="H404" s="5" t="str">
        <f aca="false">COMPLEX(0,C404*L_Cbv)</f>
        <v>5.93548859714736e-09i</v>
      </c>
      <c r="I404" s="5" t="str">
        <f aca="false">COMPLEX(L_Rsq+L_Rh,C404*(L_Md+L_Mh)-1/(C404*L_Cd))</f>
        <v>552400610.124532+62775610.5838268i</v>
      </c>
      <c r="J404" s="5" t="str">
        <f aca="false">IMDIV(1,I404)</f>
        <v>1.78719982529068e-09-2.03099993395443e-10i</v>
      </c>
      <c r="K404" s="5" t="str">
        <f aca="false">IMSUM(F404,G404,H404)</f>
        <v>4.80795521121705e-12+6.4086343399211e-09i</v>
      </c>
      <c r="L404" s="5" t="str">
        <f aca="false">IMSUM(IMPRODUCT(IMSUM(F404,G404),H404),IMPRODUCT(IMSUM(J404,L_Yv),K404))</f>
        <v>-1.49815517628662e-18+1.14938885089988e-17i</v>
      </c>
      <c r="M404" s="37" t="n">
        <f aca="false">IMABS(IMDIV(IMPRODUCT(J404,F404,H404),L404))^2</f>
        <v>1.23182474620641E-020</v>
      </c>
      <c r="N404" s="5" t="str">
        <f aca="false">IMDIV(IMPRODUCT(L_Yv,K404,E404),H404)</f>
        <v>0.000728476707578669+0.0179059063270567i</v>
      </c>
      <c r="O404" s="37" t="n">
        <f aca="false">IMABS(IMSUM(1,IMPRODUCT(E404,G404),N404))^2</f>
        <v>15.4210391798688</v>
      </c>
      <c r="P404" s="37" t="n">
        <f aca="false">IMABS(N404)^2</f>
        <v>0.000321152159706814</v>
      </c>
      <c r="Q404" s="37" t="n">
        <f aca="false">p_Rb^2/(1+(C404*p_Rb*L_Ctot)^2)</f>
        <v>523181943434.991</v>
      </c>
      <c r="R404" s="37" t="n">
        <f aca="false">M404*L_Kt^2*Q404</f>
        <v>1.29341858287375E-006</v>
      </c>
      <c r="S404" s="37" t="n">
        <f aca="false">L_kT4*D404</f>
        <v>5.45219119404595E-012</v>
      </c>
      <c r="T404" s="37" t="n">
        <f aca="false">L_kT4*L_Rsq*O404</f>
        <v>7.96572450107301E-011</v>
      </c>
      <c r="U404" s="37" t="n">
        <f aca="false">L_kT4*L_Rh*O404</f>
        <v>6.06066445469548E-011</v>
      </c>
      <c r="V404" s="37" t="n">
        <f aca="false">L_kT4*p_Rv*P404</f>
        <v>2.64398470778088E-012</v>
      </c>
      <c r="W404" s="37" t="n">
        <f aca="false">L_kT4/p_Rb*Q404/R404</f>
        <v>6.66026851007459E-015</v>
      </c>
      <c r="X404" s="37" t="n">
        <f aca="false">p_en^2*(1+p_fc/B404)/R404</f>
        <v>4.95366619320392E-011</v>
      </c>
      <c r="Y404" s="37" t="n">
        <f aca="false">p_in^2*Q404/R404</f>
        <v>1.01123864764756E-015</v>
      </c>
      <c r="Z404" s="37" t="n">
        <f aca="false">p_eo^2/L_G^2/R404</f>
        <v>4.90140844873207E-011</v>
      </c>
      <c r="AA404" s="37" t="n">
        <f aca="false">SUM(S404:Z404)</f>
        <v>2.46918483386029E-010</v>
      </c>
      <c r="AB404" s="47" t="n">
        <f aca="false">10*LOG10(AA404/L_PREF^2)</f>
        <v>-2.09506390532896</v>
      </c>
      <c r="AC404" s="47" t="n">
        <f aca="false">10*LOG10(S404/L_PREF^2)</f>
        <v>-18.6548891432981</v>
      </c>
      <c r="AD404" s="47" t="n">
        <f aca="false">10*LOG10(T404/L_PREF^2)</f>
        <v>-7.00834709306471</v>
      </c>
      <c r="AE404" s="47" t="n">
        <f aca="false">10*LOG10(U404/L_PREF^2)</f>
        <v>-8.19539751123943</v>
      </c>
      <c r="AF404" s="47" t="n">
        <f aca="false">10*LOG10(V404/L_PREF^2)</f>
        <v>-21.7980105236973</v>
      </c>
      <c r="AG404" s="47" t="n">
        <f aca="false">10*LOG10(W404/L_PREF^2)</f>
        <v>-47.7856825313468</v>
      </c>
      <c r="AH404" s="47" t="n">
        <f aca="false">10*LOG10(X404/L_PREF^2)</f>
        <v>-9.07133253376474</v>
      </c>
      <c r="AI404" s="47" t="n">
        <f aca="false">10*LOG10(Y404/L_PREF^2)</f>
        <v>-55.9720633215059</v>
      </c>
      <c r="AJ404" s="47" t="n">
        <f aca="false">10*LOG10(Z404/L_PREF^2)</f>
        <v>-9.11739096275202</v>
      </c>
      <c r="AK404" s="47" t="n">
        <f aca="false">10*LOG10(R404/$R$6)</f>
        <v>-12.170318083674</v>
      </c>
      <c r="AL404" s="37" t="n">
        <f aca="false">(12194^2*B404^4/((B404^2+20.6^2)*SQRT((B404^2+107.7^2)*(B404^2+737.9^2))*(B404^2+12194^2))*1.2589254)^2</f>
        <v>0.000530152515848855</v>
      </c>
      <c r="AM404" s="37" t="n">
        <v>0</v>
      </c>
      <c r="AN404" s="37" t="n">
        <v>0</v>
      </c>
      <c r="AO404" s="37" t="n">
        <v>0</v>
      </c>
      <c r="AP404" s="37" t="n">
        <v>0</v>
      </c>
      <c r="AQ404" s="37" t="n">
        <v>0</v>
      </c>
      <c r="AR404" s="37" t="n">
        <v>0</v>
      </c>
      <c r="AS404" s="37" t="n">
        <v>0</v>
      </c>
      <c r="AT404" s="37" t="n">
        <v>0</v>
      </c>
      <c r="AU404" s="37" t="n">
        <v>0</v>
      </c>
      <c r="AV404" s="37" t="n">
        <v>0</v>
      </c>
      <c r="AW404" s="37" t="n">
        <v>0</v>
      </c>
      <c r="AX404" s="37" t="n">
        <v>0</v>
      </c>
      <c r="AY404" s="37" t="n">
        <v>0</v>
      </c>
      <c r="AZ404" s="37" t="n">
        <v>0</v>
      </c>
      <c r="BA404" s="37" t="n">
        <v>0</v>
      </c>
      <c r="BB404" s="37" t="n">
        <v>0</v>
      </c>
      <c r="BC404" s="37" t="n">
        <v>0</v>
      </c>
      <c r="BD404" s="37" t="n">
        <v>0</v>
      </c>
      <c r="BE404" s="37" t="n">
        <f aca="false">IF(B404&gt;2000,AK404,-999)</f>
        <v>-12.170318083674</v>
      </c>
      <c r="BF404" s="37" t="n">
        <f aca="false">IF(AND(B404&lt;1000,AK404&gt;=-3),B404,1000000000)</f>
        <v>1000000000</v>
      </c>
    </row>
    <row r="405" customFormat="false" ht="15" hidden="false" customHeight="false" outlineLevel="0" collapsed="false">
      <c r="A405" s="5" t="n">
        <v>366</v>
      </c>
      <c r="B405" s="47" t="n">
        <f aca="false">20*10^(A405/100)</f>
        <v>91417.637922975</v>
      </c>
      <c r="C405" s="37" t="n">
        <f aca="false">2*PI()*B405</f>
        <v>574393.9594147</v>
      </c>
      <c r="D405" s="37" t="n">
        <f aca="false">SQRT(L_Rp0^2+L_Rp1^2*C405)</f>
        <v>334755696.449434</v>
      </c>
      <c r="E405" s="5" t="str">
        <f aca="false">COMPLEX(D405,C405*L_Mp)</f>
        <v>334755696.449434+8485360653.52625i</v>
      </c>
      <c r="F405" s="5" t="str">
        <f aca="false">IMDIV(1,E405)</f>
        <v>4.64207296977509e-12-1.17666894831996e-10i</v>
      </c>
      <c r="G405" s="5" t="str">
        <f aca="false">COMPLEX(0,C405*L_Cf)</f>
        <v>6.07374388722322e-10i</v>
      </c>
      <c r="H405" s="5" t="str">
        <f aca="false">COMPLEX(0,C405*L_Cbv)</f>
        <v>6.07374388722322e-09i</v>
      </c>
      <c r="I405" s="5" t="str">
        <f aca="false">COMPLEX(L_Rsq+L_Rh,C405*(L_Md+L_Mh)-1/(C405*L_Cd))</f>
        <v>552400610.124532+158756705.319194i</v>
      </c>
      <c r="J405" s="5" t="str">
        <f aca="false">IMDIV(1,I405)</f>
        <v>1.67216709606282e-09-4.8057104581085e-10i</v>
      </c>
      <c r="K405" s="5" t="str">
        <f aca="false">IMSUM(F405,G405,H405)</f>
        <v>4.64207296977509e-12+6.56345138111355e-09i</v>
      </c>
      <c r="L405" s="5" t="str">
        <f aca="false">IMSUM(IMPRODUCT(IMSUM(F405,G405),H405),IMPRODUCT(IMSUM(J405,L_Yv),K405))</f>
        <v>1.8761840263016e-19+1.10142782553308e-17i</v>
      </c>
      <c r="M405" s="37" t="n">
        <f aca="false">IMABS(IMDIV(IMPRODUCT(J405,F405,H405),L405))^2</f>
        <v>1.2760990221298E-020</v>
      </c>
      <c r="N405" s="5" t="str">
        <f aca="false">IMDIV(IMPRODUCT(L_Yv,K405,E405),H405)</f>
        <v>0.000736462532188756+0.0183385072450674i</v>
      </c>
      <c r="O405" s="37" t="n">
        <f aca="false">IMABS(IMSUM(1,IMPRODUCT(E405,G405),N405))^2</f>
        <v>17.296993228447</v>
      </c>
      <c r="P405" s="37" t="n">
        <f aca="false">IMABS(N405)^2</f>
        <v>0.000336843225038708</v>
      </c>
      <c r="Q405" s="37" t="n">
        <f aca="false">p_Rb^2/(1+(C405*p_Rb*L_Ctot)^2)</f>
        <v>499634877120.715</v>
      </c>
      <c r="R405" s="37" t="n">
        <f aca="false">M405*L_Kt^2*Q405</f>
        <v>1.27960093200932E-006</v>
      </c>
      <c r="S405" s="37" t="n">
        <f aca="false">L_kT4*D405</f>
        <v>5.51196008186808E-012</v>
      </c>
      <c r="T405" s="37" t="n">
        <f aca="false">L_kT4*L_Rsq*O405</f>
        <v>8.93474694848071E-011</v>
      </c>
      <c r="U405" s="37" t="n">
        <f aca="false">L_kT4*L_Rh*O405</f>
        <v>6.79793824592624E-011</v>
      </c>
      <c r="V405" s="37" t="n">
        <f aca="false">L_kT4*p_Rv*P405</f>
        <v>2.77316626715196E-012</v>
      </c>
      <c r="W405" s="37" t="n">
        <f aca="false">L_kT4/p_Rb*Q405/R405</f>
        <v>6.42919038790286E-015</v>
      </c>
      <c r="X405" s="37" t="n">
        <f aca="false">p_en^2*(1+p_fc/B405)/R405</f>
        <v>5.00703045529664E-011</v>
      </c>
      <c r="Y405" s="37" t="n">
        <f aca="false">p_in^2*Q405/R405</f>
        <v>9.76153706640693E-016</v>
      </c>
      <c r="Z405" s="37" t="n">
        <f aca="false">p_eo^2/L_G^2/R405</f>
        <v>4.95433584898191E-011</v>
      </c>
      <c r="AA405" s="37" t="n">
        <f aca="false">SUM(S405:Z405)</f>
        <v>2.6523304667997E-010</v>
      </c>
      <c r="AB405" s="47" t="n">
        <f aca="false">10*LOG10(AA405/L_PREF^2)</f>
        <v>-1.78432357354554</v>
      </c>
      <c r="AC405" s="47" t="n">
        <f aca="false">10*LOG10(S405/L_PREF^2)</f>
        <v>-18.6075392761838</v>
      </c>
      <c r="AD405" s="47" t="n">
        <f aca="false">10*LOG10(T405/L_PREF^2)</f>
        <v>-6.50977734478996</v>
      </c>
      <c r="AE405" s="47" t="n">
        <f aca="false">10*LOG10(U405/L_PREF^2)</f>
        <v>-7.69682776296468</v>
      </c>
      <c r="AF405" s="47" t="n">
        <f aca="false">10*LOG10(V405/L_PREF^2)</f>
        <v>-21.5908408253557</v>
      </c>
      <c r="AG405" s="47" t="n">
        <f aca="false">10*LOG10(W405/L_PREF^2)</f>
        <v>-47.939037045941</v>
      </c>
      <c r="AH405" s="47" t="n">
        <f aca="false">10*LOG10(X405/L_PREF^2)</f>
        <v>-9.02479758321894</v>
      </c>
      <c r="AI405" s="47" t="n">
        <f aca="false">10*LOG10(Y405/L_PREF^2)</f>
        <v>-56.1254178361002</v>
      </c>
      <c r="AJ405" s="47" t="n">
        <f aca="false">10*LOG10(Z405/L_PREF^2)</f>
        <v>-9.07074547734638</v>
      </c>
      <c r="AK405" s="47" t="n">
        <f aca="false">10*LOG10(R405/$R$6)</f>
        <v>-12.2169635690796</v>
      </c>
      <c r="AL405" s="37" t="n">
        <f aca="false">(12194^2*B405^4/((B405^2+20.6^2)*SQRT((B405^2+107.7^2)*(B405^2+737.9^2))*(B405^2+12194^2))*1.2589254)^2</f>
        <v>0.000484303377820986</v>
      </c>
      <c r="AM405" s="37" t="n">
        <v>0</v>
      </c>
      <c r="AN405" s="37" t="n">
        <v>0</v>
      </c>
      <c r="AO405" s="37" t="n">
        <v>0</v>
      </c>
      <c r="AP405" s="37" t="n">
        <v>0</v>
      </c>
      <c r="AQ405" s="37" t="n">
        <v>0</v>
      </c>
      <c r="AR405" s="37" t="n">
        <v>0</v>
      </c>
      <c r="AS405" s="37" t="n">
        <v>0</v>
      </c>
      <c r="AT405" s="37" t="n">
        <v>0</v>
      </c>
      <c r="AU405" s="37" t="n">
        <v>0</v>
      </c>
      <c r="AV405" s="37" t="n">
        <v>0</v>
      </c>
      <c r="AW405" s="37" t="n">
        <v>0</v>
      </c>
      <c r="AX405" s="37" t="n">
        <v>0</v>
      </c>
      <c r="AY405" s="37" t="n">
        <v>0</v>
      </c>
      <c r="AZ405" s="37" t="n">
        <v>0</v>
      </c>
      <c r="BA405" s="37" t="n">
        <v>0</v>
      </c>
      <c r="BB405" s="37" t="n">
        <v>0</v>
      </c>
      <c r="BC405" s="37" t="n">
        <v>0</v>
      </c>
      <c r="BD405" s="37" t="n">
        <v>0</v>
      </c>
      <c r="BE405" s="37" t="n">
        <f aca="false">IF(B405&gt;2000,AK405,-999)</f>
        <v>-12.2169635690796</v>
      </c>
      <c r="BF405" s="37" t="n">
        <f aca="false">IF(AND(B405&lt;1000,AK405&gt;=-3),B405,1000000000)</f>
        <v>1000000000</v>
      </c>
    </row>
    <row r="406" customFormat="false" ht="15" hidden="false" customHeight="false" outlineLevel="0" collapsed="false">
      <c r="A406" s="5" t="n">
        <v>367</v>
      </c>
      <c r="B406" s="47" t="n">
        <f aca="false">20*10^(A406/100)</f>
        <v>93547.0282574396</v>
      </c>
      <c r="C406" s="37" t="n">
        <f aca="false">2*PI()*B406</f>
        <v>587773.313477458</v>
      </c>
      <c r="D406" s="37" t="n">
        <f aca="false">SQRT(L_Rp0^2+L_Rp1^2*C406)</f>
        <v>338429866.263216</v>
      </c>
      <c r="E406" s="5" t="str">
        <f aca="false">COMPLEX(D406,C406*L_Mp)</f>
        <v>338429866.263216+8683010093.72825i</v>
      </c>
      <c r="F406" s="5" t="str">
        <f aca="false">IMDIV(1,E406)</f>
        <v>4.48196869343815e-12-1.14992745275707e-10i</v>
      </c>
      <c r="G406" s="5" t="str">
        <f aca="false">COMPLEX(0,C406*L_Cf)</f>
        <v>6.21521955670359e-10i</v>
      </c>
      <c r="H406" s="5" t="str">
        <f aca="false">COMPLEX(0,C406*L_Cbv)</f>
        <v>6.21521955670359e-09i</v>
      </c>
      <c r="I406" s="5" t="str">
        <f aca="false">COMPLEX(L_Rsq+L_Rh,C406*(L_Md+L_Mh)-1/(C406*L_Cd))</f>
        <v>552400610.124532+254821974.96111i</v>
      </c>
      <c r="J406" s="5" t="str">
        <f aca="false">IMDIV(1,I406)</f>
        <v>1.49264917203849e-09-6.88557910638742e-10i</v>
      </c>
      <c r="K406" s="5" t="str">
        <f aca="false">IMSUM(F406,G406,H406)</f>
        <v>4.48196869343815e-12+6.72174876709824e-09i</v>
      </c>
      <c r="L406" s="5" t="str">
        <f aca="false">IMSUM(IMPRODUCT(IMSUM(F406,G406),H406),IMPRODUCT(IMSUM(J406,L_Yv),K406))</f>
        <v>1.48682200322198e-18+1.0071426553871e-17i</v>
      </c>
      <c r="M406" s="37" t="n">
        <f aca="false">IMABS(IMDIV(IMPRODUCT(J406,F406,H406),L406))^2</f>
        <v>1.33374060624354E-020</v>
      </c>
      <c r="N406" s="5" t="str">
        <f aca="false">IMDIV(IMPRODUCT(L_Yv,K406,E406),H406)</f>
        <v>0.000744545705779076+0.0187808314823583i</v>
      </c>
      <c r="O406" s="37" t="n">
        <f aca="false">IMABS(IMSUM(1,IMPRODUCT(E406,G406),N406))^2</f>
        <v>19.3767580400439</v>
      </c>
      <c r="P406" s="37" t="n">
        <f aca="false">IMABS(N406)^2</f>
        <v>0.000353273979476735</v>
      </c>
      <c r="Q406" s="37" t="n">
        <f aca="false">p_Rb^2/(1+(C406*p_Rb*L_Ctot)^2)</f>
        <v>477147603368.025</v>
      </c>
      <c r="R406" s="37" t="n">
        <f aca="false">M406*L_Kt^2*Q406</f>
        <v>1.2772077510509E-006</v>
      </c>
      <c r="S406" s="37" t="n">
        <f aca="false">L_kT4*D406</f>
        <v>5.57245756574175E-012</v>
      </c>
      <c r="T406" s="37" t="n">
        <f aca="false">L_kT4*L_Rsq*O406</f>
        <v>1.00090476699155E-010</v>
      </c>
      <c r="U406" s="37" t="n">
        <f aca="false">L_kT4*L_Rh*O406</f>
        <v>7.61531225819299E-011</v>
      </c>
      <c r="V406" s="37" t="n">
        <f aca="false">L_kT4*p_Rv*P406</f>
        <v>2.90843754638329E-012</v>
      </c>
      <c r="W406" s="37" t="n">
        <f aca="false">L_kT4/p_Rb*Q406/R406</f>
        <v>6.15133372162702E-015</v>
      </c>
      <c r="X406" s="37" t="n">
        <f aca="false">p_en^2*(1+p_fc/B406)/R406</f>
        <v>5.01628765830368E-011</v>
      </c>
      <c r="Y406" s="37" t="n">
        <f aca="false">p_in^2*Q406/R406</f>
        <v>9.33966308487059E-016</v>
      </c>
      <c r="Z406" s="37" t="n">
        <f aca="false">p_eo^2/L_G^2/R406</f>
        <v>4.96361908595388E-011</v>
      </c>
      <c r="AA406" s="37" t="n">
        <f aca="false">SUM(S406:Z406)</f>
        <v>2.84530647135816E-010</v>
      </c>
      <c r="AB406" s="47" t="n">
        <f aca="false">10*LOG10(AA406/L_PREF^2)</f>
        <v>-1.47930939700094</v>
      </c>
      <c r="AC406" s="47" t="n">
        <f aca="false">10*LOG10(S406/L_PREF^2)</f>
        <v>-18.560132213151</v>
      </c>
      <c r="AD406" s="47" t="n">
        <f aca="false">10*LOG10(T406/L_PREF^2)</f>
        <v>-6.01667233666427</v>
      </c>
      <c r="AE406" s="47" t="n">
        <f aca="false">10*LOG10(U406/L_PREF^2)</f>
        <v>-7.203722754839</v>
      </c>
      <c r="AF406" s="47" t="n">
        <f aca="false">10*LOG10(V406/L_PREF^2)</f>
        <v>-21.3840024880895</v>
      </c>
      <c r="AG406" s="47" t="n">
        <f aca="false">10*LOG10(W406/L_PREF^2)</f>
        <v>-48.1309070235826</v>
      </c>
      <c r="AH406" s="47" t="n">
        <f aca="false">10*LOG10(X406/L_PREF^2)</f>
        <v>-9.01677558235786</v>
      </c>
      <c r="AI406" s="47" t="n">
        <f aca="false">10*LOG10(Y406/L_PREF^2)</f>
        <v>-56.3172878137417</v>
      </c>
      <c r="AJ406" s="47" t="n">
        <f aca="false">10*LOG10(Z406/L_PREF^2)</f>
        <v>-9.06261545498803</v>
      </c>
      <c r="AK406" s="47" t="n">
        <f aca="false">10*LOG10(R406/$R$6)</f>
        <v>-12.225093591438</v>
      </c>
      <c r="AL406" s="37" t="n">
        <f aca="false">(12194^2*B406^4/((B406^2+20.6^2)*SQRT((B406^2+107.7^2)*(B406^2+737.9^2))*(B406^2+12194^2))*1.2589254)^2</f>
        <v>0.00044238711001383</v>
      </c>
      <c r="AM406" s="37" t="n">
        <v>0</v>
      </c>
      <c r="AN406" s="37" t="n">
        <v>0</v>
      </c>
      <c r="AO406" s="37" t="n">
        <v>0</v>
      </c>
      <c r="AP406" s="37" t="n">
        <v>0</v>
      </c>
      <c r="AQ406" s="37" t="n">
        <v>0</v>
      </c>
      <c r="AR406" s="37" t="n">
        <v>0</v>
      </c>
      <c r="AS406" s="37" t="n">
        <v>0</v>
      </c>
      <c r="AT406" s="37" t="n">
        <v>0</v>
      </c>
      <c r="AU406" s="37" t="n">
        <v>0</v>
      </c>
      <c r="AV406" s="37" t="n">
        <v>0</v>
      </c>
      <c r="AW406" s="37" t="n">
        <v>0</v>
      </c>
      <c r="AX406" s="37" t="n">
        <v>0</v>
      </c>
      <c r="AY406" s="37" t="n">
        <v>0</v>
      </c>
      <c r="AZ406" s="37" t="n">
        <v>0</v>
      </c>
      <c r="BA406" s="37" t="n">
        <v>0</v>
      </c>
      <c r="BB406" s="37" t="n">
        <v>0</v>
      </c>
      <c r="BC406" s="37" t="n">
        <v>0</v>
      </c>
      <c r="BD406" s="37" t="n">
        <v>0</v>
      </c>
      <c r="BE406" s="37" t="n">
        <f aca="false">IF(B406&gt;2000,AK406,-999)</f>
        <v>-12.225093591438</v>
      </c>
      <c r="BF406" s="37" t="n">
        <f aca="false">IF(AND(B406&lt;1000,AK406&gt;=-3),B406,1000000000)</f>
        <v>1000000000</v>
      </c>
    </row>
    <row r="407" customFormat="false" ht="15" hidden="false" customHeight="false" outlineLevel="0" collapsed="false">
      <c r="A407" s="5" t="n">
        <v>368</v>
      </c>
      <c r="B407" s="47" t="n">
        <f aca="false">20*10^(A407/100)</f>
        <v>95726.0184645277</v>
      </c>
      <c r="C407" s="37" t="n">
        <f aca="false">2*PI()*B407</f>
        <v>601464.312731122</v>
      </c>
      <c r="D407" s="37" t="n">
        <f aca="false">SQRT(L_Rp0^2+L_Rp1^2*C407)</f>
        <v>342148776.550152</v>
      </c>
      <c r="E407" s="5" t="str">
        <f aca="false">COMPLEX(D407,C407*L_Mp)</f>
        <v>342148776.550152+8885263380.81518i</v>
      </c>
      <c r="F407" s="5" t="str">
        <f aca="false">IMDIV(1,E407)</f>
        <v>4.32743820243749e-12-1.12379265477872e-10i</v>
      </c>
      <c r="G407" s="5" t="str">
        <f aca="false">COMPLEX(0,C407*L_Cf)</f>
        <v>6.35999061786108e-10i</v>
      </c>
      <c r="H407" s="5" t="str">
        <f aca="false">COMPLEX(0,C407*L_Cbv)</f>
        <v>6.35999061786108e-09i</v>
      </c>
      <c r="I407" s="5" t="str">
        <f aca="false">COMPLEX(L_Rsq+L_Rh,C407*(L_Md+L_Mh)-1/(C407*L_Cd))</f>
        <v>552400610.124532+351022354.587124i</v>
      </c>
      <c r="J407" s="5" t="str">
        <f aca="false">IMDIV(1,I407)</f>
        <v>1.28956153011276e-09-8.194504430093e-10i</v>
      </c>
      <c r="K407" s="5" t="str">
        <f aca="false">IMSUM(F407,G407,H407)</f>
        <v>4.32743820243749e-12+6.88361041416932e-09i</v>
      </c>
      <c r="L407" s="5" t="str">
        <f aca="false">IMSUM(IMPRODUCT(IMSUM(F407,G407),H407),IMPRODUCT(IMSUM(J407,L_Yv),K407))</f>
        <v>2.31614976425398e-18+8.91458274443946e-18i</v>
      </c>
      <c r="M407" s="37" t="n">
        <f aca="false">IMABS(IMDIV(IMPRODUCT(J407,F407,H407),L407))^2</f>
        <v>1.40781338988836E-020</v>
      </c>
      <c r="N407" s="5" t="str">
        <f aca="false">IMDIV(IMPRODUCT(L_Yv,K407,E407),H407)</f>
        <v>0.000752727308410336+0.0192331135650949i</v>
      </c>
      <c r="O407" s="37" t="n">
        <f aca="false">IMABS(IMSUM(1,IMPRODUCT(E407,G407),N407))^2</f>
        <v>21.6810709327235</v>
      </c>
      <c r="P407" s="37" t="n">
        <f aca="false">IMABS(N407)^2</f>
        <v>0.000370479255808664</v>
      </c>
      <c r="Q407" s="37" t="n">
        <f aca="false">p_Rb^2/(1+(C407*p_Rb*L_Ctot)^2)</f>
        <v>455672423654.37</v>
      </c>
      <c r="R407" s="37" t="n">
        <f aca="false">M407*L_Kt^2*Q407</f>
        <v>1.28746450163899E-006</v>
      </c>
      <c r="S407" s="37" t="n">
        <f aca="false">L_kT4*D407</f>
        <v>5.63369172924385E-012</v>
      </c>
      <c r="T407" s="37" t="n">
        <f aca="false">L_kT4*L_Rsq*O407</f>
        <v>1.11993385091553E-010</v>
      </c>
      <c r="U407" s="37" t="n">
        <f aca="false">L_kT4*L_Rh*O407</f>
        <v>8.5209365211409E-011</v>
      </c>
      <c r="V407" s="37" t="n">
        <f aca="false">L_kT4*p_Rv*P407</f>
        <v>3.0500853171979E-012</v>
      </c>
      <c r="W407" s="37" t="n">
        <f aca="false">L_kT4/p_Rb*Q407/R407</f>
        <v>5.82767831732283E-015</v>
      </c>
      <c r="X407" s="37" t="n">
        <f aca="false">p_en^2*(1+p_fc/B407)/R407</f>
        <v>4.976203801707E-011</v>
      </c>
      <c r="Y407" s="37" t="n">
        <f aca="false">p_in^2*Q407/R407</f>
        <v>8.84825218625994E-016</v>
      </c>
      <c r="Z407" s="37" t="n">
        <f aca="false">p_eo^2/L_G^2/R407</f>
        <v>4.92407577977797E-011</v>
      </c>
      <c r="AA407" s="37" t="n">
        <f aca="false">SUM(S407:Z407)</f>
        <v>3.04896035667789E-010</v>
      </c>
      <c r="AB407" s="47" t="n">
        <f aca="false">10*LOG10(AA407/L_PREF^2)</f>
        <v>-1.17908213728067</v>
      </c>
      <c r="AC407" s="47" t="n">
        <f aca="false">10*LOG10(S407/L_PREF^2)</f>
        <v>-18.5126691224782</v>
      </c>
      <c r="AD407" s="47" t="n">
        <f aca="false">10*LOG10(T407/L_PREF^2)</f>
        <v>-5.5286761957811</v>
      </c>
      <c r="AE407" s="47" t="n">
        <f aca="false">10*LOG10(U407/L_PREF^2)</f>
        <v>-6.71572661395583</v>
      </c>
      <c r="AF407" s="47" t="n">
        <f aca="false">10*LOG10(V407/L_PREF^2)</f>
        <v>-21.1774800369592</v>
      </c>
      <c r="AG407" s="47" t="n">
        <f aca="false">10*LOG10(W407/L_PREF^2)</f>
        <v>-48.3656442023882</v>
      </c>
      <c r="AH407" s="47" t="n">
        <f aca="false">10*LOG10(X407/L_PREF^2)</f>
        <v>-9.05161832638719</v>
      </c>
      <c r="AI407" s="47" t="n">
        <f aca="false">10*LOG10(Y407/L_PREF^2)</f>
        <v>-56.5520249925474</v>
      </c>
      <c r="AJ407" s="47" t="n">
        <f aca="false">10*LOG10(Z407/L_PREF^2)</f>
        <v>-9.09735263379373</v>
      </c>
      <c r="AK407" s="47" t="n">
        <f aca="false">10*LOG10(R407/$R$6)</f>
        <v>-12.1903564126323</v>
      </c>
      <c r="AL407" s="37" t="n">
        <f aca="false">(12194^2*B407^4/((B407^2+20.6^2)*SQRT((B407^2+107.7^2)*(B407^2+737.9^2))*(B407^2+12194^2))*1.2589254)^2</f>
        <v>0.000404070462429127</v>
      </c>
      <c r="AM407" s="37" t="n">
        <v>0</v>
      </c>
      <c r="AN407" s="37" t="n">
        <v>0</v>
      </c>
      <c r="AO407" s="37" t="n">
        <v>0</v>
      </c>
      <c r="AP407" s="37" t="n">
        <v>0</v>
      </c>
      <c r="AQ407" s="37" t="n">
        <v>0</v>
      </c>
      <c r="AR407" s="37" t="n">
        <v>0</v>
      </c>
      <c r="AS407" s="37" t="n">
        <v>0</v>
      </c>
      <c r="AT407" s="37" t="n">
        <v>0</v>
      </c>
      <c r="AU407" s="37" t="n">
        <v>0</v>
      </c>
      <c r="AV407" s="37" t="n">
        <v>0</v>
      </c>
      <c r="AW407" s="37" t="n">
        <v>0</v>
      </c>
      <c r="AX407" s="37" t="n">
        <v>0</v>
      </c>
      <c r="AY407" s="37" t="n">
        <v>0</v>
      </c>
      <c r="AZ407" s="37" t="n">
        <v>0</v>
      </c>
      <c r="BA407" s="37" t="n">
        <v>0</v>
      </c>
      <c r="BB407" s="37" t="n">
        <v>0</v>
      </c>
      <c r="BC407" s="37" t="n">
        <v>0</v>
      </c>
      <c r="BD407" s="37" t="n">
        <v>0</v>
      </c>
      <c r="BE407" s="37" t="n">
        <f aca="false">IF(B407&gt;2000,AK407,-999)</f>
        <v>-12.1903564126323</v>
      </c>
      <c r="BF407" s="37" t="n">
        <f aca="false">IF(AND(B407&lt;1000,AK407&gt;=-3),B407,1000000000)</f>
        <v>1000000000</v>
      </c>
    </row>
    <row r="408" customFormat="false" ht="15" hidden="false" customHeight="false" outlineLevel="0" collapsed="false">
      <c r="A408" s="5" t="n">
        <v>369</v>
      </c>
      <c r="B408" s="47" t="n">
        <f aca="false">20*10^(A408/100)</f>
        <v>97955.7638736892</v>
      </c>
      <c r="C408" s="37" t="n">
        <f aca="false">2*PI()*B408</f>
        <v>615474.216324717</v>
      </c>
      <c r="D408" s="37" t="n">
        <f aca="false">SQRT(L_Rp0^2+L_Rp1^2*C408)</f>
        <v>345912924.055056</v>
      </c>
      <c r="E408" s="5" t="str">
        <f aca="false">COMPLEX(D408,C408*L_Mp)</f>
        <v>345912924.055056+9092227752.15697i</v>
      </c>
      <c r="F408" s="5" t="str">
        <f aca="false">IMDIV(1,E408)</f>
        <v>4.17828468480976e-12-1.0982508407692e-10i</v>
      </c>
      <c r="G408" s="5" t="str">
        <f aca="false">COMPLEX(0,C408*L_Cf)</f>
        <v>6.50813383022858e-10i</v>
      </c>
      <c r="H408" s="5" t="str">
        <f aca="false">COMPLEX(0,C408*L_Cbv)</f>
        <v>6.50813383022858e-09i</v>
      </c>
      <c r="I408" s="5" t="str">
        <f aca="false">COMPLEX(L_Rsq+L_Rh,C408*(L_Md+L_Mh)-1/(C408*L_Cd))</f>
        <v>552400610.124532+447408850.911865i</v>
      </c>
      <c r="J408" s="5" t="str">
        <f aca="false">IMDIV(1,I408)</f>
        <v>1.09316748278575e-09-8.85395125137764e-10i</v>
      </c>
      <c r="K408" s="5" t="str">
        <f aca="false">IMSUM(F408,G408,H408)</f>
        <v>4.17828468480976e-12+7.04912212917452e-09i</v>
      </c>
      <c r="L408" s="5" t="str">
        <f aca="false">IMSUM(IMPRODUCT(IMSUM(F408,G408),H408),IMPRODUCT(IMSUM(J408,L_Yv),K408))</f>
        <v>2.72501004106461e-18+7.74346274107556e-18i</v>
      </c>
      <c r="M408" s="37" t="n">
        <f aca="false">IMABS(IMDIV(IMPRODUCT(J408,F408,H408),L408))^2</f>
        <v>1.50245439436626E-020</v>
      </c>
      <c r="N408" s="5" t="str">
        <f aca="false">IMDIV(IMPRODUCT(L_Yv,K408,E408),H408)</f>
        <v>0.000761008432921123+0.019695593299224i</v>
      </c>
      <c r="O408" s="37" t="n">
        <f aca="false">IMABS(IMSUM(1,IMPRODUCT(E408,G408),N408))^2</f>
        <v>24.2327204274607</v>
      </c>
      <c r="P408" s="37" t="n">
        <f aca="false">IMABS(N408)^2</f>
        <v>0.000388495529243415</v>
      </c>
      <c r="Q408" s="37" t="n">
        <f aca="false">p_Rb^2/(1+(C408*p_Rb*L_Ctot)^2)</f>
        <v>435163786244.351</v>
      </c>
      <c r="R408" s="37" t="n">
        <f aca="false">M408*L_Kt^2*Q408</f>
        <v>1.31217412666603E-006</v>
      </c>
      <c r="S408" s="37" t="n">
        <f aca="false">L_kT4*D408</f>
        <v>5.69567075158568E-012</v>
      </c>
      <c r="T408" s="37" t="n">
        <f aca="false">L_kT4*L_Rsq*O408</f>
        <v>1.25173908570744E-010</v>
      </c>
      <c r="U408" s="37" t="n">
        <f aca="false">L_kT4*L_Rh*O408</f>
        <v>9.52376721323743E-011</v>
      </c>
      <c r="V408" s="37" t="n">
        <f aca="false">L_kT4*p_Rv*P408</f>
        <v>3.19840987306003E-012</v>
      </c>
      <c r="W408" s="37" t="n">
        <f aca="false">L_kT4/p_Rb*Q408/R408</f>
        <v>5.46058742139041E-015</v>
      </c>
      <c r="X408" s="37" t="n">
        <f aca="false">p_en^2*(1+p_fc/B408)/R408</f>
        <v>4.88238064691968E-011</v>
      </c>
      <c r="Y408" s="37" t="n">
        <f aca="false">p_in^2*Q408/R408</f>
        <v>8.29089252335007E-016</v>
      </c>
      <c r="Z408" s="37" t="n">
        <f aca="false">p_eo^2/L_G^2/R408</f>
        <v>4.8313502308966E-011</v>
      </c>
      <c r="AA408" s="37" t="n">
        <f aca="false">SUM(S408:Z408)</f>
        <v>3.26449259782601E-010</v>
      </c>
      <c r="AB408" s="47" t="n">
        <f aca="false">10*LOG10(AA408/L_PREF^2)</f>
        <v>-0.882443031407241</v>
      </c>
      <c r="AC408" s="47" t="n">
        <f aca="false">10*LOG10(S408/L_PREF^2)</f>
        <v>-18.4651511514129</v>
      </c>
      <c r="AD408" s="47" t="n">
        <f aca="false">10*LOG10(T408/L_PREF^2)</f>
        <v>-5.04546177985752</v>
      </c>
      <c r="AE408" s="47" t="n">
        <f aca="false">10*LOG10(U408/L_PREF^2)</f>
        <v>-6.23251219803225</v>
      </c>
      <c r="AF408" s="47" t="n">
        <f aca="false">10*LOG10(V408/L_PREF^2)</f>
        <v>-20.9712587394334</v>
      </c>
      <c r="AG408" s="47" t="n">
        <f aca="false">10*LOG10(W408/L_PREF^2)</f>
        <v>-48.6482062698476</v>
      </c>
      <c r="AH408" s="47" t="n">
        <f aca="false">10*LOG10(X408/L_PREF^2)</f>
        <v>-9.13428355859159</v>
      </c>
      <c r="AI408" s="47" t="n">
        <f aca="false">10*LOG10(Y408/L_PREF^2)</f>
        <v>-56.8345870600068</v>
      </c>
      <c r="AJ408" s="47" t="n">
        <f aca="false">10*LOG10(Z408/L_PREF^2)</f>
        <v>-9.17991470125325</v>
      </c>
      <c r="AK408" s="47" t="n">
        <f aca="false">10*LOG10(R408/$R$6)</f>
        <v>-12.1077943451728</v>
      </c>
      <c r="AL408" s="37" t="n">
        <f aca="false">(12194^2*B408^4/((B408^2+20.6^2)*SQRT((B408^2+107.7^2)*(B408^2+737.9^2))*(B408^2+12194^2))*1.2589254)^2</f>
        <v>0.000369047901802897</v>
      </c>
      <c r="AM408" s="37" t="n">
        <v>0</v>
      </c>
      <c r="AN408" s="37" t="n">
        <v>0</v>
      </c>
      <c r="AO408" s="37" t="n">
        <v>0</v>
      </c>
      <c r="AP408" s="37" t="n">
        <v>0</v>
      </c>
      <c r="AQ408" s="37" t="n">
        <v>0</v>
      </c>
      <c r="AR408" s="37" t="n">
        <v>0</v>
      </c>
      <c r="AS408" s="37" t="n">
        <v>0</v>
      </c>
      <c r="AT408" s="37" t="n">
        <v>0</v>
      </c>
      <c r="AU408" s="37" t="n">
        <v>0</v>
      </c>
      <c r="AV408" s="37" t="n">
        <v>0</v>
      </c>
      <c r="AW408" s="37" t="n">
        <v>0</v>
      </c>
      <c r="AX408" s="37" t="n">
        <v>0</v>
      </c>
      <c r="AY408" s="37" t="n">
        <v>0</v>
      </c>
      <c r="AZ408" s="37" t="n">
        <v>0</v>
      </c>
      <c r="BA408" s="37" t="n">
        <v>0</v>
      </c>
      <c r="BB408" s="37" t="n">
        <v>0</v>
      </c>
      <c r="BC408" s="37" t="n">
        <v>0</v>
      </c>
      <c r="BD408" s="37" t="n">
        <v>0</v>
      </c>
      <c r="BE408" s="37" t="n">
        <f aca="false">IF(B408&gt;2000,AK408,-999)</f>
        <v>-12.1077943451728</v>
      </c>
      <c r="BF408" s="37" t="n">
        <f aca="false">IF(AND(B408&lt;1000,AK408&gt;=-3),B408,1000000000)</f>
        <v>1000000000</v>
      </c>
    </row>
    <row r="409" customFormat="false" ht="15" hidden="false" customHeight="false" outlineLevel="0" collapsed="false">
      <c r="A409" s="5" t="n">
        <v>370</v>
      </c>
      <c r="B409" s="47" t="n">
        <f aca="false">20*10^(A409/100)</f>
        <v>100237.446725455</v>
      </c>
      <c r="C409" s="37" t="n">
        <f aca="false">2*PI()*B409</f>
        <v>629810.452494572</v>
      </c>
      <c r="D409" s="37" t="n">
        <f aca="false">SQRT(L_Rp0^2+L_Rp1^2*C409)</f>
        <v>349722811.400273</v>
      </c>
      <c r="E409" s="5" t="str">
        <f aca="false">COMPLEX(D409,C409*L_Mp)</f>
        <v>349722811.400273+9304012943.00282i</v>
      </c>
      <c r="F409" s="5" t="str">
        <f aca="false">IMDIV(1,E409)</f>
        <v>4.03431842283589e-12-1.07328860453712e-10i</v>
      </c>
      <c r="G409" s="5" t="str">
        <f aca="false">COMPLEX(0,C409*L_Cf)</f>
        <v>6.65972774129821e-10i</v>
      </c>
      <c r="H409" s="5" t="str">
        <f aca="false">COMPLEX(0,C409*L_Cbv)</f>
        <v>6.65972774129822e-09i</v>
      </c>
      <c r="I409" s="5" t="str">
        <f aca="false">COMPLEX(L_Rsq+L_Rh,C409*(L_Md+L_Mh)-1/(C409*L_Cd))</f>
        <v>552400610.124532+544032569.331521i</v>
      </c>
      <c r="J409" s="5" t="str">
        <f aca="false">IMDIV(1,I409)</f>
        <v>9.18955561261983e-10-9.05034762691773e-10i</v>
      </c>
      <c r="K409" s="5" t="str">
        <f aca="false">IMSUM(F409,G409,H409)</f>
        <v>4.03431842283589e-12+7.21837165497433e-09i</v>
      </c>
      <c r="L409" s="5" t="str">
        <f aca="false">IMSUM(IMPRODUCT(IMSUM(F409,G409),H409),IMPRODUCT(IMSUM(J409,L_Yv),K409))</f>
        <v>2.81617633635194e-18+6.67101578280583e-18i</v>
      </c>
      <c r="M409" s="37" t="n">
        <f aca="false">IMABS(IMDIV(IMPRODUCT(J409,F409,H409),L409))^2</f>
        <v>1.62327584158809E-020</v>
      </c>
      <c r="N409" s="5" t="str">
        <f aca="false">IMDIV(IMPRODUCT(L_Yv,K409,E409),H409)</f>
        <v>0.000769390185080601+0.0201685158976224i</v>
      </c>
      <c r="O409" s="37" t="n">
        <f aca="false">IMABS(IMSUM(1,IMPRODUCT(E409,G409),N409))^2</f>
        <v>27.0567465165384</v>
      </c>
      <c r="P409" s="37" t="n">
        <f aca="false">IMABS(N409)^2</f>
        <v>0.000407360994769546</v>
      </c>
      <c r="Q409" s="37" t="n">
        <f aca="false">p_Rb^2/(1+(C409*p_Rb*L_Ctot)^2)</f>
        <v>415578189568.38</v>
      </c>
      <c r="R409" s="37" t="n">
        <f aca="false">M409*L_Kt^2*Q409</f>
        <v>1.35388724628501E-006</v>
      </c>
      <c r="S409" s="37" t="n">
        <f aca="false">L_kT4*D409</f>
        <v>5.75840290875577E-012</v>
      </c>
      <c r="T409" s="37" t="n">
        <f aca="false">L_kT4*L_Rsq*O409</f>
        <v>1.39761391001113E-010</v>
      </c>
      <c r="U409" s="37" t="n">
        <f aca="false">L_kT4*L_Rh*O409</f>
        <v>1.06336453697983E-010</v>
      </c>
      <c r="V409" s="37" t="n">
        <f aca="false">L_kT4*p_Rv*P409</f>
        <v>3.35372566605298E-012</v>
      </c>
      <c r="W409" s="37" t="n">
        <f aca="false">L_kT4/p_Rb*Q409/R409</f>
        <v>5.05415244710518E-015</v>
      </c>
      <c r="X409" s="37" t="n">
        <f aca="false">p_en^2*(1+p_fc/B409)/R409</f>
        <v>4.73184517912157E-011</v>
      </c>
      <c r="Y409" s="37" t="n">
        <f aca="false">p_in^2*Q409/R409</f>
        <v>7.6737961508372E-016</v>
      </c>
      <c r="Z409" s="37" t="n">
        <f aca="false">p_eo^2/L_G^2/R409</f>
        <v>4.68249685285084E-011</v>
      </c>
      <c r="AA409" s="37" t="n">
        <f aca="false">SUM(S409:Z409)</f>
        <v>3.49359215125691E-010</v>
      </c>
      <c r="AB409" s="47" t="n">
        <f aca="false">10*LOG10(AA409/L_PREF^2)</f>
        <v>-0.587877881044097</v>
      </c>
      <c r="AC409" s="47" t="n">
        <f aca="false">10*LOG10(S409/L_PREF^2)</f>
        <v>-18.4175794264287</v>
      </c>
      <c r="AD409" s="47" t="n">
        <f aca="false">10*LOG10(T409/L_PREF^2)</f>
        <v>-4.56672776935363</v>
      </c>
      <c r="AE409" s="47" t="n">
        <f aca="false">10*LOG10(U409/L_PREF^2)</f>
        <v>-5.75377818752835</v>
      </c>
      <c r="AF409" s="47" t="n">
        <f aca="false">10*LOG10(V409/L_PREF^2)</f>
        <v>-20.7653245678841</v>
      </c>
      <c r="AG409" s="47" t="n">
        <f aca="false">10*LOG10(W409/L_PREF^2)</f>
        <v>-48.9841165403333</v>
      </c>
      <c r="AH409" s="47" t="n">
        <f aca="false">10*LOG10(X409/L_PREF^2)</f>
        <v>-9.27029464787359</v>
      </c>
      <c r="AI409" s="47" t="n">
        <f aca="false">10*LOG10(Y409/L_PREF^2)</f>
        <v>-57.1704973304925</v>
      </c>
      <c r="AJ409" s="47" t="n">
        <f aca="false">10*LOG10(Z409/L_PREF^2)</f>
        <v>-9.31582497173901</v>
      </c>
      <c r="AK409" s="47" t="n">
        <f aca="false">10*LOG10(R409/$R$6)</f>
        <v>-11.971884074687</v>
      </c>
      <c r="AL409" s="37" t="n">
        <f aca="false">(12194^2*B409^4/((B409^2+20.6^2)*SQRT((B409^2+107.7^2)*(B409^2+737.9^2))*(B409^2+12194^2))*1.2589254)^2</f>
        <v>0.000337039372461977</v>
      </c>
      <c r="AM409" s="37" t="n">
        <v>0</v>
      </c>
      <c r="AN409" s="37" t="n">
        <v>0</v>
      </c>
      <c r="AO409" s="37" t="n">
        <v>0</v>
      </c>
      <c r="AP409" s="37" t="n">
        <v>0</v>
      </c>
      <c r="AQ409" s="37" t="n">
        <v>0</v>
      </c>
      <c r="AR409" s="37" t="n">
        <v>0</v>
      </c>
      <c r="AS409" s="37" t="n">
        <v>0</v>
      </c>
      <c r="AT409" s="37" t="n">
        <v>0</v>
      </c>
      <c r="AU409" s="37" t="n">
        <v>0</v>
      </c>
      <c r="AV409" s="37" t="n">
        <v>0</v>
      </c>
      <c r="AW409" s="37" t="n">
        <v>0</v>
      </c>
      <c r="AX409" s="37" t="n">
        <v>0</v>
      </c>
      <c r="AY409" s="37" t="n">
        <v>0</v>
      </c>
      <c r="AZ409" s="37" t="n">
        <v>0</v>
      </c>
      <c r="BA409" s="37" t="n">
        <v>0</v>
      </c>
      <c r="BB409" s="37" t="n">
        <v>0</v>
      </c>
      <c r="BC409" s="37" t="n">
        <v>0</v>
      </c>
      <c r="BD409" s="37" t="n">
        <v>0</v>
      </c>
      <c r="BE409" s="37" t="n">
        <f aca="false">IF(B409&gt;2000,AK409,-999)</f>
        <v>-11.971884074687</v>
      </c>
      <c r="BF409" s="37" t="n">
        <f aca="false">IF(AND(B409&lt;1000,AK409&gt;=-3),B409,1000000000)</f>
        <v>1000000000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2" t="s">
        <v>282</v>
      </c>
    </row>
    <row r="2" customFormat="false" ht="14.15" hidden="false" customHeight="false" outlineLevel="0" collapsed="false">
      <c r="A2" s="7" t="s">
        <v>283</v>
      </c>
    </row>
    <row r="3" customFormat="false" ht="14.15" hidden="false" customHeight="false" outlineLevel="0" collapsed="false">
      <c r="A3" s="7" t="s">
        <v>284</v>
      </c>
    </row>
    <row r="4" customFormat="false" ht="14.15" hidden="false" customHeight="false" outlineLevel="0" collapsed="false">
      <c r="A4" s="7" t="s">
        <v>285</v>
      </c>
    </row>
    <row r="5" customFormat="false" ht="15" hidden="false" customHeight="false" outlineLevel="0" collapsed="false">
      <c r="A5" s="5" t="s">
        <v>286</v>
      </c>
    </row>
    <row r="6" customFormat="false" ht="15" hidden="false" customHeight="false" outlineLevel="0" collapsed="false">
      <c r="A6" s="5" t="s">
        <v>287</v>
      </c>
    </row>
    <row r="7" customFormat="false" ht="14.15" hidden="false" customHeight="false" outlineLevel="0" collapsed="false">
      <c r="A7" s="7" t="s">
        <v>288</v>
      </c>
    </row>
    <row r="8" customFormat="false" ht="14.15" hidden="false" customHeight="false" outlineLevel="0" collapsed="false">
      <c r="A8" s="5" t="s">
        <v>289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12" t="s">
        <v>290</v>
      </c>
    </row>
    <row r="11" customFormat="false" ht="14.15" hidden="false" customHeight="false" outlineLevel="0" collapsed="false">
      <c r="A11" s="7" t="s">
        <v>291</v>
      </c>
    </row>
    <row r="12" customFormat="false" ht="14.15" hidden="false" customHeight="false" outlineLevel="0" collapsed="false">
      <c r="A12" s="7" t="s">
        <v>292</v>
      </c>
    </row>
    <row r="13" customFormat="false" ht="14.15" hidden="false" customHeight="false" outlineLevel="0" collapsed="false">
      <c r="A13" s="7" t="s">
        <v>293</v>
      </c>
    </row>
    <row r="14" customFormat="false" ht="14.15" hidden="false" customHeight="false" outlineLevel="0" collapsed="false">
      <c r="A14" s="7" t="s">
        <v>294</v>
      </c>
    </row>
    <row r="15" customFormat="false" ht="14.15" hidden="false" customHeight="false" outlineLevel="0" collapsed="false">
      <c r="A15" s="7" t="s">
        <v>295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12" t="s">
        <v>296</v>
      </c>
    </row>
    <row r="18" customFormat="false" ht="14.15" hidden="false" customHeight="false" outlineLevel="0" collapsed="false">
      <c r="A18" s="7" t="s">
        <v>297</v>
      </c>
    </row>
    <row r="19" customFormat="false" ht="14.15" hidden="false" customHeight="false" outlineLevel="0" collapsed="false">
      <c r="A19" s="5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2026-10-23T04:57:47Z</dcterms:created>
  <dc:creator>openpyxl</dc:creator>
  <dc:description/>
  <dc:language>en-US</dc:language>
  <cp:lastModifiedBy/>
  <dcterms:modified xsi:type="dcterms:W3CDTF">2026-10-23T04:57:49Z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